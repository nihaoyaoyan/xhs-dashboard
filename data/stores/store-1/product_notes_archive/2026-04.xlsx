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笔记数据-(2026年04月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33">
    <font>
      <sz val="11.0"/>
      <color indexed="8"/>
      <name val="Calibri"/>
      <family val="2"/>
      <scheme val="minor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  <font>
      <name val="Calibri"/>
      <sz val="11.0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/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/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/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/>
    <xf numFmtId="0" fontId="860" fillId="0" borderId="0" xfId="0" applyFont="true"/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/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/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/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/>
    <xf numFmtId="0" fontId="948" fillId="0" borderId="0" xfId="0" applyFont="true"/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/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  <xf numFmtId="0" fontId="998" fillId="0" borderId="0" xfId="0" applyFont="true"/>
    <xf numFmtId="0" fontId="999" fillId="0" borderId="0" xfId="0" applyFont="true"/>
    <xf numFmtId="0" fontId="1000" fillId="0" borderId="0" xfId="0" applyFont="true"/>
    <xf numFmtId="0" fontId="1001" fillId="0" borderId="0" xfId="0" applyFont="true"/>
    <xf numFmtId="0" fontId="1002" fillId="0" borderId="0" xfId="0" applyFont="true"/>
    <xf numFmtId="0" fontId="1003" fillId="0" borderId="0" xfId="0" applyFont="true"/>
    <xf numFmtId="0" fontId="1004" fillId="0" borderId="0" xfId="0" applyFont="true"/>
    <xf numFmtId="0" fontId="1005" fillId="0" borderId="0" xfId="0" applyFont="true"/>
    <xf numFmtId="0" fontId="1006" fillId="0" borderId="0" xfId="0" applyFont="true"/>
    <xf numFmtId="0" fontId="1007" fillId="0" borderId="0" xfId="0" applyFont="true"/>
    <xf numFmtId="0" fontId="1008" fillId="0" borderId="0" xfId="0" applyFont="true"/>
    <xf numFmtId="0" fontId="1009" fillId="0" borderId="0" xfId="0" applyFont="true"/>
    <xf numFmtId="0" fontId="1010" fillId="0" borderId="0" xfId="0" applyFont="true"/>
    <xf numFmtId="0" fontId="1011" fillId="0" borderId="0" xfId="0" applyFont="true"/>
    <xf numFmtId="0" fontId="1012" fillId="0" borderId="0" xfId="0" applyFont="true"/>
    <xf numFmtId="0" fontId="1013" fillId="0" borderId="0" xfId="0" applyFont="true"/>
    <xf numFmtId="0" fontId="1014" fillId="0" borderId="0" xfId="0" applyFont="true"/>
    <xf numFmtId="0" fontId="1015" fillId="0" borderId="0" xfId="0" applyFont="true"/>
    <xf numFmtId="0" fontId="1016" fillId="0" borderId="0" xfId="0" applyFont="true"/>
    <xf numFmtId="0" fontId="1017" fillId="0" borderId="0" xfId="0" applyFont="true"/>
    <xf numFmtId="0" fontId="1018" fillId="0" borderId="0" xfId="0" applyFont="true"/>
    <xf numFmtId="0" fontId="1019" fillId="0" borderId="0" xfId="0" applyFont="true"/>
    <xf numFmtId="0" fontId="1020" fillId="0" borderId="0" xfId="0" applyFont="true"/>
    <xf numFmtId="0" fontId="1021" fillId="0" borderId="0" xfId="0" applyFont="true"/>
    <xf numFmtId="0" fontId="1022" fillId="0" borderId="0" xfId="0" applyFont="true"/>
    <xf numFmtId="0" fontId="1023" fillId="0" borderId="0" xfId="0" applyFont="true"/>
    <xf numFmtId="0" fontId="1024" fillId="0" borderId="0" xfId="0" applyFont="true"/>
    <xf numFmtId="0" fontId="1025" fillId="0" borderId="0" xfId="0" applyFont="true"/>
    <xf numFmtId="0" fontId="1026" fillId="0" borderId="0" xfId="0" applyFont="true"/>
    <xf numFmtId="0" fontId="1027" fillId="0" borderId="0" xfId="0" applyFont="true"/>
    <xf numFmtId="0" fontId="1028" fillId="0" borderId="0" xfId="0" applyFont="true"/>
    <xf numFmtId="0" fontId="1029" fillId="0" borderId="0" xfId="0" applyFont="true"/>
    <xf numFmtId="0" fontId="1030" fillId="0" borderId="0" xfId="0" applyFont="true"/>
    <xf numFmtId="0" fontId="1031" fillId="0" borderId="0" xfId="0" applyFont="true"/>
    <xf numFmtId="0" fontId="103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</cols>
  <sheetData>
    <row r="1">
      <c r="A1" t="inlineStr">
        <is>
          <t>笔记标题</t>
        </is>
      </c>
      <c r="B1" t="inlineStr">
        <is>
          <t>笔记ID</t>
        </is>
      </c>
      <c r="C1" t="inlineStr">
        <is>
          <t>笔记链接</t>
        </is>
      </c>
      <c r="D1" t="inlineStr">
        <is>
          <t>作者昵称</t>
        </is>
      </c>
      <c r="E1" t="inlineStr">
        <is>
          <t>作者xhs_ID</t>
        </is>
      </c>
      <c r="F1" t="inlineStr">
        <is>
          <t>笔记创建时间</t>
        </is>
      </c>
      <c r="G1" t="inlineStr">
        <is>
          <t>笔记类型</t>
        </is>
      </c>
      <c r="H1" t="inlineStr">
        <is>
          <t>关联商品名称</t>
        </is>
      </c>
      <c r="I1" t="inlineStr">
        <is>
          <t>关联商品ID</t>
        </is>
      </c>
      <c r="J1" t="inlineStr">
        <is>
          <t>视频时长（秒）</t>
        </is>
      </c>
      <c r="K1" t="inlineStr">
        <is>
          <t>笔记支付金额</t>
        </is>
      </c>
      <c r="L1" t="inlineStr">
        <is>
          <t>笔记支付订单数</t>
        </is>
      </c>
      <c r="M1" t="inlineStr">
        <is>
          <t>笔记商品点击次数</t>
        </is>
      </c>
      <c r="N1" t="inlineStr">
        <is>
          <t>笔记商品点击率（PV）</t>
        </is>
      </c>
      <c r="O1" t="inlineStr">
        <is>
          <t>笔记商品点击人数</t>
        </is>
      </c>
      <c r="P1" t="inlineStr">
        <is>
          <t>笔记支付人数</t>
        </is>
      </c>
      <c r="Q1" t="inlineStr">
        <is>
          <t>笔记支付转化率（PV）</t>
        </is>
      </c>
      <c r="R1" t="inlineStr">
        <is>
          <t>笔记支付转化率（UV）</t>
        </is>
      </c>
      <c r="S1" t="inlineStr">
        <is>
          <t>笔记退款金额（退款时间）</t>
        </is>
      </c>
      <c r="T1" t="inlineStr">
        <is>
          <t>笔记退款订单数（退款时间）</t>
        </is>
      </c>
      <c r="U1" t="inlineStr">
        <is>
          <t>笔记退款人数（退款时间）</t>
        </is>
      </c>
      <c r="V1" t="inlineStr">
        <is>
          <t>笔记退款金额（支付时间）</t>
        </is>
      </c>
      <c r="W1" t="inlineStr">
        <is>
          <t>笔记退款率（支付时间）</t>
        </is>
      </c>
      <c r="X1" t="inlineStr">
        <is>
          <t>笔记退款订单数（支付时间）</t>
        </is>
      </c>
      <c r="Y1" t="inlineStr">
        <is>
          <t>笔记加购件数</t>
        </is>
      </c>
      <c r="Z1" t="inlineStr">
        <is>
          <t>引流店铺主页次数</t>
        </is>
      </c>
      <c r="AA1" t="inlineStr">
        <is>
          <t>引流店铺主页支付金额</t>
        </is>
      </c>
      <c r="AB1" t="inlineStr">
        <is>
          <t>引流直播间次数</t>
        </is>
      </c>
      <c r="AC1" t="inlineStr">
        <is>
          <t>引流直播间支付金额</t>
        </is>
      </c>
      <c r="AD1" t="inlineStr">
        <is>
          <t>笔记阅读数</t>
        </is>
      </c>
      <c r="AE1" t="inlineStr">
        <is>
          <t>点赞次数</t>
        </is>
      </c>
      <c r="AF1" t="inlineStr">
        <is>
          <t>收藏次数</t>
        </is>
      </c>
      <c r="AG1" t="inlineStr">
        <is>
          <t>评论次数</t>
        </is>
      </c>
      <c r="AH1" t="inlineStr">
        <is>
          <t>分享次数</t>
        </is>
      </c>
      <c r="AI1" t="inlineStr">
        <is>
          <t>笔记点击关注次数</t>
        </is>
      </c>
      <c r="AJ1" t="inlineStr">
        <is>
          <t>弹幕次数</t>
        </is>
      </c>
      <c r="AK1" t="inlineStr">
        <is>
          <t>平均阅读时长（观播时长）</t>
        </is>
      </c>
      <c r="AL1" t="inlineStr">
        <is>
          <t>完播率（PV）</t>
        </is>
      </c>
    </row>
    <row r="2">
      <c r="A2" t="inlineStr">
        <is>
          <t>以为 69 没多少，结果解决了我一周上班带饭</t>
        </is>
      </c>
      <c r="B2" t="inlineStr">
        <is>
          <t>69cb9ed000000000230074e2</t>
        </is>
      </c>
      <c r="C2" s="1" t="n">
        <f>HYPERLINK("https://www.xiaohongshu.com/explore/69cb9ed000000000230074e2?xsec_token=TBNvk7eB588c7ey-qUUMF7OQgaVKUfny5-Ux8Z4SL_lhA=&amp;xsec_source=pc_trdark","https://www.xiaohongshu.com/explore/69cb9ed000000000230074e2?xsec_token=TBNvk7eB588c7ey-qUUMF7OQgaVKUfny5-Ux8Z4SL_lhA=&amp;xsec_source=pc_trdark")</f>
        <v>0.0</v>
      </c>
      <c r="D2" t="inlineStr">
        <is>
          <t>菲菲上班吃什么</t>
        </is>
      </c>
      <c r="E2" t="inlineStr">
        <is>
          <t>49936530607</t>
        </is>
      </c>
      <c r="F2" t="inlineStr">
        <is>
          <t>2026-03-31 18:15:44</t>
        </is>
      </c>
      <c r="G2" t="inlineStr">
        <is>
          <t>图文</t>
        </is>
      </c>
      <c r="H2" t="inlineStr">
        <is>
          <t>手剥虾仁 无冰衣无添加 低脂餐一人食 上班带饭 顺丰包邮 5盒装</t>
        </is>
      </c>
      <c r="I2" t="inlineStr">
        <is>
          <t>694baba01d450d00013662f0</t>
        </is>
      </c>
      <c r="J2" t="inlineStr">
        <is>
          <t/>
        </is>
      </c>
      <c r="K2" t="n">
        <v>3310.0</v>
      </c>
      <c r="L2" t="n">
        <v>43.0</v>
      </c>
      <c r="M2" t="n">
        <v>888.0</v>
      </c>
      <c r="N2" t="inlineStr">
        <is>
          <t>0.06578752407764113</t>
        </is>
      </c>
      <c r="O2" t="n">
        <v>783.0</v>
      </c>
      <c r="P2" t="n">
        <v>43.0</v>
      </c>
      <c r="Q2" t="inlineStr">
        <is>
          <t>0.04842342342342342</t>
        </is>
      </c>
      <c r="R2" t="inlineStr">
        <is>
          <t>0.05491698595146871</t>
        </is>
      </c>
      <c r="S2" t="n">
        <v>276.0</v>
      </c>
      <c r="T2" t="n">
        <v>4.0</v>
      </c>
      <c r="U2" t="n">
        <v>4.0</v>
      </c>
      <c r="V2" t="n">
        <v>276.0</v>
      </c>
      <c r="W2" t="inlineStr">
        <is>
          <t>0.08338368580060423</t>
        </is>
      </c>
      <c r="X2" t="n">
        <v>4.0</v>
      </c>
      <c r="Y2" t="n">
        <v>166.0</v>
      </c>
      <c r="Z2" t="n">
        <v>345.0</v>
      </c>
      <c r="AA2" t="n">
        <v>364.0</v>
      </c>
      <c r="AB2" t="n">
        <v>0.0</v>
      </c>
      <c r="AC2" t="n">
        <v>0.0</v>
      </c>
      <c r="AD2" t="n">
        <v>13498.0</v>
      </c>
      <c r="AE2" t="n">
        <v>103.0</v>
      </c>
      <c r="AF2" t="n">
        <v>51.0</v>
      </c>
      <c r="AG2" t="n">
        <v>12.0</v>
      </c>
      <c r="AH2" t="n">
        <v>36.0</v>
      </c>
      <c r="AI2" t="n">
        <v>9.0</v>
      </c>
      <c r="AJ2" t="n">
        <v>0.0</v>
      </c>
      <c r="AK2" t="n">
        <v>14.370202993036004</v>
      </c>
      <c r="AL2" t="inlineStr">
        <is>
          <t/>
        </is>
      </c>
    </row>
    <row r="3">
      <c r="A3" t="inlineStr">
        <is>
          <t>其实，300块能吃一个月的三文鱼😎</t>
        </is>
      </c>
      <c r="B3" t="inlineStr">
        <is>
          <t>69456f51000000001f006a7b</t>
        </is>
      </c>
      <c r="C3" s="2" t="n">
        <f>HYPERLINK("https://www.xiaohongshu.com/explore/69456f51000000001f006a7b?xsec_token=TB7p1vWXvB33zoX2lon7HfpbhaeUpox4g5KLr6HjX1WtA=&amp;xsec_source=pc_trdark","https://www.xiaohongshu.com/explore/69456f51000000001f006a7b?xsec_token=TB7p1vWXvB33zoX2lon7HfpbhaeUpox4g5KLr6HjX1WtA=&amp;xsec_source=pc_trdark")</f>
        <v>0.0</v>
      </c>
      <c r="D3" t="inlineStr">
        <is>
          <t>鲜水湾</t>
        </is>
      </c>
      <c r="E3" t="inlineStr">
        <is>
          <t>49316638994</t>
        </is>
      </c>
      <c r="F3" t="inlineStr">
        <is>
          <t>2025-12-19 23:29:21</t>
        </is>
      </c>
      <c r="G3" t="inlineStr">
        <is>
          <t>图文</t>
        </is>
      </c>
      <c r="H3" t="inlineStr">
        <is>
          <t>智利三文鱼切块·整条三文鱼·深海鱼一人食健康饮食</t>
        </is>
      </c>
      <c r="I3" t="inlineStr">
        <is>
          <t>691ac562a524ee0001b51d7b</t>
        </is>
      </c>
      <c r="J3" t="inlineStr">
        <is>
          <t/>
        </is>
      </c>
      <c r="K3" t="n">
        <v>13462.699999999999</v>
      </c>
      <c r="L3" t="n">
        <v>92.0</v>
      </c>
      <c r="M3" t="n">
        <v>2699.0</v>
      </c>
      <c r="N3" t="n">
        <v>0.2014780531501941</v>
      </c>
      <c r="O3" t="n">
        <v>2374.0</v>
      </c>
      <c r="P3" t="n">
        <v>92.0</v>
      </c>
      <c r="Q3" t="inlineStr">
        <is>
          <t>0.03408669877732493</t>
        </is>
      </c>
      <c r="R3" t="inlineStr">
        <is>
          <t>0.038753159224936815</t>
        </is>
      </c>
      <c r="S3" t="n">
        <v>964.0</v>
      </c>
      <c r="T3" t="n">
        <v>7.0</v>
      </c>
      <c r="U3" t="n">
        <v>7.0</v>
      </c>
      <c r="V3" t="n">
        <v>964.0</v>
      </c>
      <c r="W3" t="inlineStr">
        <is>
          <t>0.07160525006128043</t>
        </is>
      </c>
      <c r="X3" t="n">
        <v>7.0</v>
      </c>
      <c r="Y3" t="n">
        <v>502.0</v>
      </c>
      <c r="Z3" t="n">
        <v>551.0</v>
      </c>
      <c r="AA3" t="n">
        <v>2357.0</v>
      </c>
      <c r="AB3" t="n">
        <v>0.0</v>
      </c>
      <c r="AC3" t="n">
        <v>0.0</v>
      </c>
      <c r="AD3" t="n">
        <v>13396.0</v>
      </c>
      <c r="AE3" t="n">
        <v>85.0</v>
      </c>
      <c r="AF3" t="n">
        <v>49.0</v>
      </c>
      <c r="AG3" t="n">
        <v>16.0</v>
      </c>
      <c r="AH3" t="n">
        <v>14.0</v>
      </c>
      <c r="AI3" t="n">
        <v>8.0</v>
      </c>
      <c r="AJ3" t="n">
        <v>0.0</v>
      </c>
      <c r="AK3" t="n">
        <v>14.403627948641386</v>
      </c>
      <c r="AL3" t="inlineStr">
        <is>
          <t/>
        </is>
      </c>
    </row>
    <row r="4">
      <c r="A4" t="inlineStr">
        <is>
          <t>带饭三个月，存了一万二</t>
        </is>
      </c>
      <c r="B4" t="inlineStr">
        <is>
          <t>69e85ce5000000001f0004ce</t>
        </is>
      </c>
      <c r="C4" s="3" t="n">
        <f>HYPERLINK("https://www.xiaohongshu.com/explore/69e85ce5000000001f0004ce?xsec_token=TBrsJGfbmdICsvnXoyd4QdRivLQtuQAlD8uQG9REU-u1s=&amp;xsec_source=pc_trdark","https://www.xiaohongshu.com/explore/69e85ce5000000001f0004ce?xsec_token=TBrsJGfbmdICsvnXoyd4QdRivLQtuQAlD8uQG9REU-u1s=&amp;xsec_source=pc_trdark")</f>
        <v>0.0</v>
      </c>
      <c r="D4" t="inlineStr">
        <is>
          <t>婉婉上班吃什么</t>
        </is>
      </c>
      <c r="E4" t="inlineStr">
        <is>
          <t>11434449706</t>
        </is>
      </c>
      <c r="F4" t="inlineStr">
        <is>
          <t>2026-04-22 13:30:13</t>
        </is>
      </c>
      <c r="G4" t="inlineStr">
        <is>
          <t>图文</t>
        </is>
      </c>
      <c r="H4" t="inlineStr">
        <is>
          <t>智利三文鱼切块·整条三文鱼·深海鱼一人食健康饮食</t>
        </is>
      </c>
      <c r="I4" t="inlineStr">
        <is>
          <t>691ac562a524ee0001b51d7b</t>
        </is>
      </c>
      <c r="J4" t="inlineStr">
        <is>
          <t/>
        </is>
      </c>
      <c r="K4" t="n">
        <v>2912.0</v>
      </c>
      <c r="L4" t="n">
        <v>18.0</v>
      </c>
      <c r="M4" t="n">
        <v>770.0</v>
      </c>
      <c r="N4" t="inlineStr">
        <is>
          <t>0.07845134997452878</t>
        </is>
      </c>
      <c r="O4" t="n">
        <v>699.0</v>
      </c>
      <c r="P4" t="n">
        <v>18.0</v>
      </c>
      <c r="Q4" t="inlineStr">
        <is>
          <t>0.023376623376623377</t>
        </is>
      </c>
      <c r="R4" t="inlineStr">
        <is>
          <t>0.02575107296137339</t>
        </is>
      </c>
      <c r="S4" t="n">
        <v>0.0</v>
      </c>
      <c r="T4" t="n">
        <v>0.0</v>
      </c>
      <c r="U4" t="n">
        <v>0.0</v>
      </c>
      <c r="V4" t="n">
        <v>349.6</v>
      </c>
      <c r="W4" t="inlineStr">
        <is>
          <t>0.12005494505494506</t>
        </is>
      </c>
      <c r="X4" t="n">
        <v>1.0</v>
      </c>
      <c r="Y4" t="n">
        <v>171.0</v>
      </c>
      <c r="Z4" t="n">
        <v>371.0</v>
      </c>
      <c r="AA4" t="n">
        <v>0.0</v>
      </c>
      <c r="AB4" t="n">
        <v>0.0</v>
      </c>
      <c r="AC4" t="n">
        <v>0.0</v>
      </c>
      <c r="AD4" t="n">
        <v>9815.0</v>
      </c>
      <c r="AE4" t="n">
        <v>53.0</v>
      </c>
      <c r="AF4" t="n">
        <v>32.0</v>
      </c>
      <c r="AG4" t="n">
        <v>19.0</v>
      </c>
      <c r="AH4" t="n">
        <v>14.0</v>
      </c>
      <c r="AI4" t="n">
        <v>13.0</v>
      </c>
      <c r="AJ4" t="n">
        <v>0.0</v>
      </c>
      <c r="AK4" t="n">
        <v>19.173509933774834</v>
      </c>
      <c r="AL4" t="inlineStr">
        <is>
          <t/>
        </is>
      </c>
    </row>
    <row r="5">
      <c r="A5" t="inlineStr">
        <is>
          <t>同事问我：你天天带虾仁，月薪多少啊</t>
        </is>
      </c>
      <c r="B5" t="inlineStr">
        <is>
          <t>69d750700000000023006a58</t>
        </is>
      </c>
      <c r="C5" s="4" t="n">
        <f>HYPERLINK("https://www.xiaohongshu.com/explore/69d750700000000023006a58?xsec_token=TBabSJw1DqF320Z_FWL3yrQ7icBD2YBtgxXQUoeYygv_8=&amp;xsec_source=pc_trdark","https://www.xiaohongshu.com/explore/69d750700000000023006a58?xsec_token=TBabSJw1DqF320Z_FWL3yrQ7icBD2YBtgxXQUoeYygv_8=&amp;xsec_source=pc_trdark")</f>
        <v>0.0</v>
      </c>
      <c r="D5" t="inlineStr">
        <is>
          <t>婉婉上班吃什么</t>
        </is>
      </c>
      <c r="E5" t="inlineStr">
        <is>
          <t>11434449706</t>
        </is>
      </c>
      <c r="F5" t="inlineStr">
        <is>
          <t>2026-04-09 15:08:32</t>
        </is>
      </c>
      <c r="G5" t="inlineStr">
        <is>
          <t>图文</t>
        </is>
      </c>
      <c r="H5" t="inlineStr">
        <is>
          <t>手剥虾仁 无冰衣无添加 低脂餐一人食 上班带饭 顺丰包邮 5盒装</t>
        </is>
      </c>
      <c r="I5" t="inlineStr">
        <is>
          <t>694baba01d450d00013662f0</t>
        </is>
      </c>
      <c r="J5" t="inlineStr">
        <is>
          <t/>
        </is>
      </c>
      <c r="K5" t="n">
        <v>2304.0</v>
      </c>
      <c r="L5" t="n">
        <v>30.0</v>
      </c>
      <c r="M5" t="n">
        <v>584.0</v>
      </c>
      <c r="N5" t="inlineStr">
        <is>
          <t>0.10103806228373702</t>
        </is>
      </c>
      <c r="O5" t="n">
        <v>526.0</v>
      </c>
      <c r="P5" t="n">
        <v>30.0</v>
      </c>
      <c r="Q5" t="inlineStr">
        <is>
          <t>0.05136986301369863</t>
        </is>
      </c>
      <c r="R5" t="inlineStr">
        <is>
          <t>0.057034220532319393</t>
        </is>
      </c>
      <c r="S5" t="n">
        <v>167.0</v>
      </c>
      <c r="T5" t="n">
        <v>2.0</v>
      </c>
      <c r="U5" t="n">
        <v>2.0</v>
      </c>
      <c r="V5" t="n">
        <v>167.0</v>
      </c>
      <c r="W5" t="n">
        <v>0.0724826388888889</v>
      </c>
      <c r="X5" t="n">
        <v>2.0</v>
      </c>
      <c r="Y5" t="n">
        <v>137.0</v>
      </c>
      <c r="Z5" t="n">
        <v>122.0</v>
      </c>
      <c r="AA5" t="n">
        <v>0.0</v>
      </c>
      <c r="AB5" t="n">
        <v>0.0</v>
      </c>
      <c r="AC5" t="n">
        <v>0.0</v>
      </c>
      <c r="AD5" t="n">
        <v>5780.0</v>
      </c>
      <c r="AE5" t="n">
        <v>25.0</v>
      </c>
      <c r="AF5" t="n">
        <v>17.0</v>
      </c>
      <c r="AG5" t="n">
        <v>17.0</v>
      </c>
      <c r="AH5" t="n">
        <v>7.0</v>
      </c>
      <c r="AI5" t="n">
        <v>3.0</v>
      </c>
      <c r="AJ5" t="n">
        <v>0.0</v>
      </c>
      <c r="AK5" t="n">
        <v>14.990138408304498</v>
      </c>
      <c r="AL5" t="inlineStr">
        <is>
          <t/>
        </is>
      </c>
    </row>
    <row r="6">
      <c r="A6" t="inlineStr">
        <is>
          <t>区区 300 块够我吃一个月了</t>
        </is>
      </c>
      <c r="B6" t="inlineStr">
        <is>
          <t>69e097ea0000000022028566</t>
        </is>
      </c>
      <c r="C6" s="5" t="n">
        <f>HYPERLINK("https://www.xiaohongshu.com/explore/69e097ea0000000022028566?xsec_token=TB4w-SzmaCvFu1U8FhRGBUu4kz3I-6YzL8d8OqVzEuiyQ=&amp;xsec_source=pc_trdark","https://www.xiaohongshu.com/explore/69e097ea0000000022028566?xsec_token=TB4w-SzmaCvFu1U8FhRGBUu4kz3I-6YzL8d8OqVzEuiyQ=&amp;xsec_source=pc_trdark")</f>
        <v>0.0</v>
      </c>
      <c r="D6" t="inlineStr">
        <is>
          <t>婉婉上班吃什么</t>
        </is>
      </c>
      <c r="E6" t="inlineStr">
        <is>
          <t>11434449706</t>
        </is>
      </c>
      <c r="F6" t="inlineStr">
        <is>
          <t>2026-04-16 16:03:54</t>
        </is>
      </c>
      <c r="G6" t="inlineStr">
        <is>
          <t>图文</t>
        </is>
      </c>
      <c r="H6" t="inlineStr">
        <is>
          <t>智利三文鱼切块·整条三文鱼·深海鱼一人食健康饮食</t>
        </is>
      </c>
      <c r="I6" t="inlineStr">
        <is>
          <t>691ac562a524ee0001b51d7b</t>
        </is>
      </c>
      <c r="J6" t="inlineStr">
        <is>
          <t/>
        </is>
      </c>
      <c r="K6" t="n">
        <v>2226.0</v>
      </c>
      <c r="L6" t="n">
        <v>11.0</v>
      </c>
      <c r="M6" t="n">
        <v>527.0</v>
      </c>
      <c r="N6" t="inlineStr">
        <is>
          <t>0.17415730337078653</t>
        </is>
      </c>
      <c r="O6" t="n">
        <v>455.0</v>
      </c>
      <c r="P6" t="n">
        <v>11.0</v>
      </c>
      <c r="Q6" t="inlineStr">
        <is>
          <t>0.020872865275142316</t>
        </is>
      </c>
      <c r="R6" t="inlineStr">
        <is>
          <t>0.024175824175824177</t>
        </is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152.0</v>
      </c>
      <c r="Z6" t="n">
        <v>149.0</v>
      </c>
      <c r="AA6" t="n">
        <v>338.0</v>
      </c>
      <c r="AB6" t="n">
        <v>0.0</v>
      </c>
      <c r="AC6" t="n">
        <v>0.0</v>
      </c>
      <c r="AD6" t="n">
        <v>3026.0</v>
      </c>
      <c r="AE6" t="n">
        <v>33.0</v>
      </c>
      <c r="AF6" t="n">
        <v>10.0</v>
      </c>
      <c r="AG6" t="n">
        <v>7.0</v>
      </c>
      <c r="AH6" t="n">
        <v>5.0</v>
      </c>
      <c r="AI6" t="n">
        <v>2.0</v>
      </c>
      <c r="AJ6" t="n">
        <v>0.0</v>
      </c>
      <c r="AK6" t="n">
        <v>24.421017845340383</v>
      </c>
      <c r="AL6" t="inlineStr">
        <is>
          <t/>
        </is>
      </c>
    </row>
    <row r="7">
      <c r="A7" t="inlineStr">
        <is>
          <t>五一前后，给青岛老丈人送条鲅鱼吧！</t>
        </is>
      </c>
      <c r="B7" t="inlineStr">
        <is>
          <t>69de58330000000023014b34</t>
        </is>
      </c>
      <c r="C7" s="6" t="n">
        <f>HYPERLINK("https://www.xiaohongshu.com/explore/69de58330000000023014b34?xsec_token=TB59yoDgsQvcJ0I-utjSL7kIvxJKdylutz66Ktx1JN9FM=&amp;xsec_source=pc_trdark","https://www.xiaohongshu.com/explore/69de58330000000023014b34?xsec_token=TB59yoDgsQvcJ0I-utjSL7kIvxJKdylutz66Ktx1JN9FM=&amp;xsec_source=pc_trdark")</f>
        <v>0.0</v>
      </c>
      <c r="D7" t="inlineStr">
        <is>
          <t>鲜水湾</t>
        </is>
      </c>
      <c r="E7" t="inlineStr">
        <is>
          <t>49316638994</t>
        </is>
      </c>
      <c r="F7" t="inlineStr">
        <is>
          <t>2026-04-14 23:07:31</t>
        </is>
      </c>
      <c r="G7" t="inlineStr">
        <is>
          <t>图文</t>
        </is>
      </c>
      <c r="H7" t="inlineStr">
        <is>
          <t>青岛大鲅鱼春鲅鱼鲅鱼新鲜冷冻马鲛鱼蓝点马鲛鱼顺丰包邮</t>
        </is>
      </c>
      <c r="I7" t="inlineStr">
        <is>
          <t>6932506ad36285000198a8a6</t>
        </is>
      </c>
      <c r="J7" t="inlineStr">
        <is>
          <t/>
        </is>
      </c>
      <c r="K7" t="n">
        <v>804.0</v>
      </c>
      <c r="L7" t="n">
        <v>3.0</v>
      </c>
      <c r="M7" t="n">
        <v>342.0</v>
      </c>
      <c r="N7" t="inlineStr">
        <is>
          <t>0.12857142857142856</t>
        </is>
      </c>
      <c r="O7" t="n">
        <v>279.0</v>
      </c>
      <c r="P7" t="n">
        <v>3.0</v>
      </c>
      <c r="Q7" t="inlineStr">
        <is>
          <t>0.008771929824561403</t>
        </is>
      </c>
      <c r="R7" t="inlineStr">
        <is>
          <t>0.010752688172043012</t>
        </is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34.0</v>
      </c>
      <c r="Z7" t="n">
        <v>104.0</v>
      </c>
      <c r="AA7" t="n">
        <v>764.0</v>
      </c>
      <c r="AB7" t="n">
        <v>0.0</v>
      </c>
      <c r="AC7" t="n">
        <v>0.0</v>
      </c>
      <c r="AD7" t="n">
        <v>2660.0</v>
      </c>
      <c r="AE7" t="n">
        <v>12.0</v>
      </c>
      <c r="AF7" t="n">
        <v>2.0</v>
      </c>
      <c r="AG7" t="n">
        <v>1.0</v>
      </c>
      <c r="AH7" t="n">
        <v>20.0</v>
      </c>
      <c r="AI7" t="n">
        <v>2.0</v>
      </c>
      <c r="AJ7" t="n">
        <v>0.0</v>
      </c>
      <c r="AK7" t="n">
        <v>11.653383458646617</v>
      </c>
      <c r="AL7" t="inlineStr">
        <is>
          <t/>
        </is>
      </c>
    </row>
    <row r="8">
      <c r="A8" t="inlineStr">
        <is>
          <t>在某马买了3次虾仁，最后一次我决定换一家</t>
        </is>
      </c>
      <c r="B8" t="inlineStr">
        <is>
          <t>69d747930000000023015c5d</t>
        </is>
      </c>
      <c r="C8" s="7" t="n">
        <f>HYPERLINK("https://www.xiaohongshu.com/explore/69d747930000000023015c5d?xsec_token=TBabSJw1DqF320Z_FWL3yrQ4vL7qh-GJsUtKAIfIiaSEM=&amp;xsec_source=pc_trdark","https://www.xiaohongshu.com/explore/69d747930000000023015c5d?xsec_token=TBabSJw1DqF320Z_FWL3yrQ4vL7qh-GJsUtKAIfIiaSEM=&amp;xsec_source=pc_trdark")</f>
        <v>0.0</v>
      </c>
      <c r="D8" t="inlineStr">
        <is>
          <t>菲菲上班吃什么</t>
        </is>
      </c>
      <c r="E8" t="inlineStr">
        <is>
          <t>49936530607</t>
        </is>
      </c>
      <c r="F8" t="inlineStr">
        <is>
          <t>2026-04-09 14:30:43</t>
        </is>
      </c>
      <c r="G8" t="inlineStr">
        <is>
          <t>图文</t>
        </is>
      </c>
      <c r="H8" t="inlineStr">
        <is>
          <t>手剥虾仁 无冰衣无添加 低脂餐一人食 上班带饭 顺丰包邮 5盒装</t>
        </is>
      </c>
      <c r="I8" t="inlineStr">
        <is>
          <t>694baba01d450d00013662f0</t>
        </is>
      </c>
      <c r="J8" t="inlineStr">
        <is>
          <t/>
        </is>
      </c>
      <c r="K8" t="n">
        <v>1153.0</v>
      </c>
      <c r="L8" t="n">
        <v>15.0</v>
      </c>
      <c r="M8" t="n">
        <v>230.0</v>
      </c>
      <c r="N8" t="inlineStr">
        <is>
          <t>0.09307972480777013</t>
        </is>
      </c>
      <c r="O8" t="n">
        <v>189.0</v>
      </c>
      <c r="P8" t="n">
        <v>15.0</v>
      </c>
      <c r="Q8" t="inlineStr">
        <is>
          <t>0.06521739130434782</t>
        </is>
      </c>
      <c r="R8" t="inlineStr">
        <is>
          <t>0.07936507936507936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52.0</v>
      </c>
      <c r="Z8" t="n">
        <v>51.0</v>
      </c>
      <c r="AA8" t="n">
        <v>0.0</v>
      </c>
      <c r="AB8" t="n">
        <v>0.0</v>
      </c>
      <c r="AC8" t="n">
        <v>0.0</v>
      </c>
      <c r="AD8" t="n">
        <v>2471.0</v>
      </c>
      <c r="AE8" t="n">
        <v>6.0</v>
      </c>
      <c r="AF8" t="n">
        <v>3.0</v>
      </c>
      <c r="AG8" t="n">
        <v>0.0</v>
      </c>
      <c r="AH8" t="n">
        <v>2.0</v>
      </c>
      <c r="AI8" t="n">
        <v>0.0</v>
      </c>
      <c r="AJ8" t="n">
        <v>0.0</v>
      </c>
      <c r="AK8" t="n">
        <v>10.514771347632538</v>
      </c>
      <c r="AL8" t="inlineStr">
        <is>
          <t/>
        </is>
      </c>
    </row>
    <row r="9">
      <c r="A9" t="inlineStr">
        <is>
          <t>比Sam都实惠的整条三文鱼</t>
        </is>
      </c>
      <c r="B9" t="inlineStr">
        <is>
          <t>69df3dc3000000001d01fb12</t>
        </is>
      </c>
      <c r="C9" s="8" t="n">
        <f>HYPERLINK("https://www.xiaohongshu.com/explore/69df3dc3000000001d01fb12?xsec_token=TBbELi6fdmnK2TYKEzYY0fWjmBIBHd0guHlLGJ7PV-9wE=&amp;xsec_source=pc_trdark","https://www.xiaohongshu.com/explore/69df3dc3000000001d01fb12?xsec_token=TBbELi6fdmnK2TYKEzYY0fWjmBIBHd0guHlLGJ7PV-9wE=&amp;xsec_source=pc_trdark")</f>
        <v>0.0</v>
      </c>
      <c r="D9" t="inlineStr">
        <is>
          <t>鲜水湾甄选</t>
        </is>
      </c>
      <c r="E9" t="inlineStr">
        <is>
          <t>27401929161</t>
        </is>
      </c>
      <c r="F9" t="inlineStr">
        <is>
          <t>2026-04-15 15:26:59</t>
        </is>
      </c>
      <c r="G9" t="inlineStr">
        <is>
          <t>图文</t>
        </is>
      </c>
      <c r="H9" t="inlineStr">
        <is>
          <t>智利三文鱼切块·整条三文鱼·深海鱼一人食健康饮食</t>
        </is>
      </c>
      <c r="I9" t="inlineStr">
        <is>
          <t>691ac562a524ee0001b51d7b</t>
        </is>
      </c>
      <c r="J9" t="inlineStr">
        <is>
          <t/>
        </is>
      </c>
      <c r="K9" t="n">
        <v>2426.0</v>
      </c>
      <c r="L9" t="n">
        <v>12.0</v>
      </c>
      <c r="M9" t="n">
        <v>369.0</v>
      </c>
      <c r="N9" t="inlineStr">
        <is>
          <t>0.15042804728903383</t>
        </is>
      </c>
      <c r="O9" t="n">
        <v>301.0</v>
      </c>
      <c r="P9" t="n">
        <v>12.0</v>
      </c>
      <c r="Q9" t="inlineStr">
        <is>
          <t>0.032520325203252036</t>
        </is>
      </c>
      <c r="R9" t="inlineStr">
        <is>
          <t>0.03986710963455149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87.0</v>
      </c>
      <c r="Z9" t="n">
        <v>85.0</v>
      </c>
      <c r="AA9" t="n">
        <v>0.0</v>
      </c>
      <c r="AB9" t="n">
        <v>0.0</v>
      </c>
      <c r="AC9" t="n">
        <v>0.0</v>
      </c>
      <c r="AD9" t="n">
        <v>2453.0</v>
      </c>
      <c r="AE9" t="n">
        <v>11.0</v>
      </c>
      <c r="AF9" t="n">
        <v>7.0</v>
      </c>
      <c r="AG9" t="n">
        <v>2.0</v>
      </c>
      <c r="AH9" t="n">
        <v>2.0</v>
      </c>
      <c r="AI9" t="n">
        <v>1.0</v>
      </c>
      <c r="AJ9" t="n">
        <v>0.0</v>
      </c>
      <c r="AK9" t="n">
        <v>17.398695474928658</v>
      </c>
      <c r="AL9" t="inlineStr">
        <is>
          <t/>
        </is>
      </c>
    </row>
    <row r="10">
      <c r="A10" t="inlineStr">
        <is>
          <t>太适合上班带饭了，一次一袋</t>
        </is>
      </c>
      <c r="B10" t="inlineStr">
        <is>
          <t>69e9b784000000001a02cb8f</t>
        </is>
      </c>
      <c r="C10" s="9" t="n">
        <f>HYPERLINK("https://www.xiaohongshu.com/explore/69e9b784000000001a02cb8f?xsec_token=TBNkLc7pOHvt_5tNJTpGNllMUvbOUnyVTgHtp38tDBcjw=&amp;xsec_source=pc_trdark","https://www.xiaohongshu.com/explore/69e9b784000000001a02cb8f?xsec_token=TBNkLc7pOHvt_5tNJTpGNllMUvbOUnyVTgHtp38tDBcjw=&amp;xsec_source=pc_trdark")</f>
        <v>0.0</v>
      </c>
      <c r="D10" t="inlineStr">
        <is>
          <t>婉婉上班吃什么</t>
        </is>
      </c>
      <c r="E10" t="inlineStr">
        <is>
          <t>11434449706</t>
        </is>
      </c>
      <c r="F10" t="inlineStr">
        <is>
          <t>2026-04-23 14:09:08</t>
        </is>
      </c>
      <c r="G10" t="inlineStr">
        <is>
          <t>图文</t>
        </is>
      </c>
      <c r="H10" t="inlineStr">
        <is>
          <t>智利三文鱼切块·整条三文鱼·深海鱼一人食健康饮食</t>
        </is>
      </c>
      <c r="I10" t="inlineStr">
        <is>
          <t>691ac562a524ee0001b51d7b</t>
        </is>
      </c>
      <c r="J10" t="inlineStr">
        <is>
          <t/>
        </is>
      </c>
      <c r="K10" t="n">
        <v>1216.0</v>
      </c>
      <c r="L10" t="n">
        <v>7.0</v>
      </c>
      <c r="M10" t="n">
        <v>206.0</v>
      </c>
      <c r="N10" t="inlineStr">
        <is>
          <t>0.08754781130471738</t>
        </is>
      </c>
      <c r="O10" t="n">
        <v>187.0</v>
      </c>
      <c r="P10" t="n">
        <v>7.0</v>
      </c>
      <c r="Q10" t="inlineStr">
        <is>
          <t>0.03398058252427184</t>
        </is>
      </c>
      <c r="R10" t="n">
        <v>0.0374331550802139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36.0</v>
      </c>
      <c r="Z10" t="n">
        <v>83.0</v>
      </c>
      <c r="AA10" t="n">
        <v>0.0</v>
      </c>
      <c r="AB10" t="n">
        <v>0.0</v>
      </c>
      <c r="AC10" t="n">
        <v>0.0</v>
      </c>
      <c r="AD10" t="n">
        <v>2353.0</v>
      </c>
      <c r="AE10" t="n">
        <v>11.0</v>
      </c>
      <c r="AF10" t="n">
        <v>3.0</v>
      </c>
      <c r="AG10" t="n">
        <v>8.0</v>
      </c>
      <c r="AH10" t="n">
        <v>6.0</v>
      </c>
      <c r="AI10" t="n">
        <v>1.0</v>
      </c>
      <c r="AJ10" t="n">
        <v>0.0</v>
      </c>
      <c r="AK10" t="n">
        <v>13.73905652358691</v>
      </c>
      <c r="AL10" t="inlineStr">
        <is>
          <t/>
        </is>
      </c>
    </row>
    <row r="11">
      <c r="A11" t="inlineStr">
        <is>
          <t>同事总说我天天吃虾仁也太奢侈了……</t>
        </is>
      </c>
      <c r="B11" t="inlineStr">
        <is>
          <t>69c353ba000000001e00cbc5</t>
        </is>
      </c>
      <c r="C11" s="10" t="n">
        <f>HYPERLINK("https://www.xiaohongshu.com/explore/69c353ba000000001e00cbc5?xsec_token=TBedSEQ7qtT06AlsylOAiUw906lvL7l1HMn1WN-Pjb6l0=&amp;xsec_source=pc_trdark","https://www.xiaohongshu.com/explore/69c353ba000000001e00cbc5?xsec_token=TBedSEQ7qtT06AlsylOAiUw906lvL7l1HMn1WN-Pjb6l0=&amp;xsec_source=pc_trdark")</f>
        <v>0.0</v>
      </c>
      <c r="D11" t="inlineStr">
        <is>
          <t>菲菲上班吃什么</t>
        </is>
      </c>
      <c r="E11" t="inlineStr">
        <is>
          <t>49936530607</t>
        </is>
      </c>
      <c r="F11" t="inlineStr">
        <is>
          <t>2026-03-25 11:17:14</t>
        </is>
      </c>
      <c r="G11" t="inlineStr">
        <is>
          <t>图文</t>
        </is>
      </c>
      <c r="H11" t="inlineStr">
        <is>
          <t>手剥虾仁 无冰衣无添加 低脂餐一人食 上班带饭 顺丰包邮 5盒装</t>
        </is>
      </c>
      <c r="I11" t="inlineStr">
        <is>
          <t>694baba01d450d00013662f0</t>
        </is>
      </c>
      <c r="J11" t="inlineStr">
        <is>
          <t/>
        </is>
      </c>
      <c r="K11" t="n">
        <v>1074.0</v>
      </c>
      <c r="L11" t="n">
        <v>13.0</v>
      </c>
      <c r="M11" t="n">
        <v>288.0</v>
      </c>
      <c r="N11" t="n">
        <v>0.1572052401746725</v>
      </c>
      <c r="O11" t="n">
        <v>254.0</v>
      </c>
      <c r="P11" t="n">
        <v>13.0</v>
      </c>
      <c r="Q11" t="inlineStr">
        <is>
          <t>0.04513888888888889</t>
        </is>
      </c>
      <c r="R11" t="inlineStr">
        <is>
          <t>0.051181102362204724</t>
        </is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38.0</v>
      </c>
      <c r="Z11" t="n">
        <v>57.0</v>
      </c>
      <c r="AA11" t="n">
        <v>0.0</v>
      </c>
      <c r="AB11" t="n">
        <v>0.0</v>
      </c>
      <c r="AC11" t="n">
        <v>0.0</v>
      </c>
      <c r="AD11" t="n">
        <v>1832.0</v>
      </c>
      <c r="AE11" t="n">
        <v>14.0</v>
      </c>
      <c r="AF11" t="n">
        <v>4.0</v>
      </c>
      <c r="AG11" t="n">
        <v>0.0</v>
      </c>
      <c r="AH11" t="n">
        <v>4.0</v>
      </c>
      <c r="AI11" t="n">
        <v>2.0</v>
      </c>
      <c r="AJ11" t="n">
        <v>0.0</v>
      </c>
      <c r="AK11" t="n">
        <v>16.063318777292576</v>
      </c>
      <c r="AL11" t="inlineStr">
        <is>
          <t/>
        </is>
      </c>
    </row>
    <row r="12">
      <c r="A12" t="inlineStr">
        <is>
          <t>感谢315，让我家无添加虾仁又爆单了</t>
        </is>
      </c>
      <c r="B12" t="inlineStr">
        <is>
          <t>69c2acd60000000028008317</t>
        </is>
      </c>
      <c r="C12" s="11" t="n">
        <f>HYPERLINK("https://www.xiaohongshu.com/explore/69c2acd60000000028008317?xsec_token=TBUqBR5MVQnv6JPS0VJV95uEh8wjX_2HboQbstpdRx0DA=&amp;xsec_source=pc_trdark","https://www.xiaohongshu.com/explore/69c2acd60000000028008317?xsec_token=TBUqBR5MVQnv6JPS0VJV95uEh8wjX_2HboQbstpdRx0DA=&amp;xsec_source=pc_trdark")</f>
        <v>0.0</v>
      </c>
      <c r="D12" t="inlineStr">
        <is>
          <t>鲜水湾</t>
        </is>
      </c>
      <c r="E12" t="inlineStr">
        <is>
          <t>49316638994</t>
        </is>
      </c>
      <c r="F12" t="inlineStr">
        <is>
          <t>2026-03-24 23:25:10</t>
        </is>
      </c>
      <c r="G12" t="inlineStr">
        <is>
          <t>图文</t>
        </is>
      </c>
      <c r="H12" t="inlineStr">
        <is>
          <t>手剥虾仁 无冰衣无添加 低脂餐一人食 上班带饭 顺丰包邮 5盒装</t>
        </is>
      </c>
      <c r="I12" t="inlineStr">
        <is>
          <t>694baba01d450d00013662f0</t>
        </is>
      </c>
      <c r="J12" t="inlineStr">
        <is>
          <t/>
        </is>
      </c>
      <c r="K12" t="n">
        <v>3675.0</v>
      </c>
      <c r="L12" t="n">
        <v>44.0</v>
      </c>
      <c r="M12" t="n">
        <v>757.0</v>
      </c>
      <c r="N12" t="inlineStr">
        <is>
          <t>0.41593406593406596</t>
        </is>
      </c>
      <c r="O12" t="n">
        <v>639.0</v>
      </c>
      <c r="P12" t="n">
        <v>44.0</v>
      </c>
      <c r="Q12" t="inlineStr">
        <is>
          <t>0.05812417437252312</t>
        </is>
      </c>
      <c r="R12" t="inlineStr">
        <is>
          <t>0.06885758998435054</t>
        </is>
      </c>
      <c r="S12" t="n">
        <v>138.0</v>
      </c>
      <c r="T12" t="n">
        <v>2.0</v>
      </c>
      <c r="U12" t="n">
        <v>2.0</v>
      </c>
      <c r="V12" t="n">
        <v>138.0</v>
      </c>
      <c r="W12" t="inlineStr">
        <is>
          <t>0.037551020408163265</t>
        </is>
      </c>
      <c r="X12" t="n">
        <v>2.0</v>
      </c>
      <c r="Y12" t="n">
        <v>133.0</v>
      </c>
      <c r="Z12" t="n">
        <v>152.0</v>
      </c>
      <c r="AA12" t="n">
        <v>39.0</v>
      </c>
      <c r="AB12" t="n">
        <v>0.0</v>
      </c>
      <c r="AC12" t="n">
        <v>0.0</v>
      </c>
      <c r="AD12" t="n">
        <v>1820.0</v>
      </c>
      <c r="AE12" t="n">
        <v>18.0</v>
      </c>
      <c r="AF12" t="n">
        <v>6.0</v>
      </c>
      <c r="AG12" t="n">
        <v>2.0</v>
      </c>
      <c r="AH12" t="n">
        <v>5.0</v>
      </c>
      <c r="AI12" t="n">
        <v>2.0</v>
      </c>
      <c r="AJ12" t="n">
        <v>0.0</v>
      </c>
      <c r="AK12" t="n">
        <v>15.361538461538462</v>
      </c>
      <c r="AL12" t="inlineStr">
        <is>
          <t/>
        </is>
      </c>
    </row>
    <row r="13">
      <c r="A13" t="inlineStr">
        <is>
          <t>某姆对不起，还是300一整条的更适合我</t>
        </is>
      </c>
      <c r="B13" t="inlineStr">
        <is>
          <t>69e71a8300000000220263eb</t>
        </is>
      </c>
      <c r="C13" s="12" t="n">
        <f>HYPERLINK("https://www.xiaohongshu.com/explore/69e71a8300000000220263eb?xsec_token=TBxJD1S06w8M0Ib6UdHEwWiMdpS9jiO_q8hdjUqffmgC0=&amp;xsec_source=pc_trdark","https://www.xiaohongshu.com/explore/69e71a8300000000220263eb?xsec_token=TBxJD1S06w8M0Ib6UdHEwWiMdpS9jiO_q8hdjUqffmgC0=&amp;xsec_source=pc_trdark")</f>
        <v>0.0</v>
      </c>
      <c r="D13" t="inlineStr">
        <is>
          <t>菲菲上班吃什么</t>
        </is>
      </c>
      <c r="E13" t="inlineStr">
        <is>
          <t>49936530607</t>
        </is>
      </c>
      <c r="F13" t="inlineStr">
        <is>
          <t>2026-04-21 14:34:43</t>
        </is>
      </c>
      <c r="G13" t="inlineStr">
        <is>
          <t>图文</t>
        </is>
      </c>
      <c r="H13" t="inlineStr">
        <is>
          <t>智利三文鱼切块·整条三文鱼·深海鱼一人食健康饮食</t>
        </is>
      </c>
      <c r="I13" t="inlineStr">
        <is>
          <t>691ac562a524ee0001b51d7b</t>
        </is>
      </c>
      <c r="J13" t="inlineStr">
        <is>
          <t/>
        </is>
      </c>
      <c r="K13" t="n">
        <v>1550.0</v>
      </c>
      <c r="L13" t="n">
        <v>5.0</v>
      </c>
      <c r="M13" t="n">
        <v>312.0</v>
      </c>
      <c r="N13" t="n">
        <v>0.1776765375854214</v>
      </c>
      <c r="O13" t="n">
        <v>285.0</v>
      </c>
      <c r="P13" t="n">
        <v>5.0</v>
      </c>
      <c r="Q13" t="inlineStr">
        <is>
          <t>0.016025641025641024</t>
        </is>
      </c>
      <c r="R13" t="inlineStr">
        <is>
          <t>0.017543859649122806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90.0</v>
      </c>
      <c r="Z13" t="n">
        <v>101.0</v>
      </c>
      <c r="AA13" t="n">
        <v>0.0</v>
      </c>
      <c r="AB13" t="n">
        <v>0.0</v>
      </c>
      <c r="AC13" t="n">
        <v>0.0</v>
      </c>
      <c r="AD13" t="n">
        <v>1756.0</v>
      </c>
      <c r="AE13" t="n">
        <v>16.0</v>
      </c>
      <c r="AF13" t="n">
        <v>6.0</v>
      </c>
      <c r="AG13" t="n">
        <v>8.0</v>
      </c>
      <c r="AH13" t="n">
        <v>6.0</v>
      </c>
      <c r="AI13" t="n">
        <v>0.0</v>
      </c>
      <c r="AJ13" t="n">
        <v>0.0</v>
      </c>
      <c r="AK13" t="n">
        <v>25.529043280182233</v>
      </c>
      <c r="AL13" t="inlineStr">
        <is>
          <t/>
        </is>
      </c>
    </row>
    <row r="14">
      <c r="A14" t="inlineStr">
        <is>
          <t>长期主义的三文鱼，真的没有平替。。。</t>
        </is>
      </c>
      <c r="B14" t="inlineStr">
        <is>
          <t>69c3a5ab00000000280097e2</t>
        </is>
      </c>
      <c r="C14" s="13" t="n">
        <f>HYPERLINK("https://www.xiaohongshu.com/explore/69c3a5ab00000000280097e2?xsec_token=TBedSEQ7qtT06AlsylOAiUw-qadzhLzP290aPufd-NgOI=&amp;xsec_source=pc_trdark","https://www.xiaohongshu.com/explore/69c3a5ab00000000280097e2?xsec_token=TBedSEQ7qtT06AlsylOAiUw-qadzhLzP290aPufd-NgOI=&amp;xsec_source=pc_trdark")</f>
        <v>0.0</v>
      </c>
      <c r="D14" t="inlineStr">
        <is>
          <t>菲菲上班吃什么</t>
        </is>
      </c>
      <c r="E14" t="inlineStr">
        <is>
          <t>49936530607</t>
        </is>
      </c>
      <c r="F14" t="inlineStr">
        <is>
          <t>2026-03-25 17:06:51</t>
        </is>
      </c>
      <c r="G14" t="inlineStr">
        <is>
          <t>图文</t>
        </is>
      </c>
      <c r="H14" t="inlineStr">
        <is>
          <t>智利三文鱼切块·整条三文鱼·深海鱼一人食健康饮食</t>
        </is>
      </c>
      <c r="I14" t="inlineStr">
        <is>
          <t>691ac562a524ee0001b51d7b</t>
        </is>
      </c>
      <c r="J14" t="inlineStr">
        <is>
          <t/>
        </is>
      </c>
      <c r="K14" t="n">
        <v>682.0</v>
      </c>
      <c r="L14" t="n">
        <v>4.0</v>
      </c>
      <c r="M14" t="n">
        <v>168.0</v>
      </c>
      <c r="N14" t="inlineStr">
        <is>
          <t>0.09761766414875073</t>
        </is>
      </c>
      <c r="O14" t="n">
        <v>153.0</v>
      </c>
      <c r="P14" t="n">
        <v>4.0</v>
      </c>
      <c r="Q14" t="inlineStr">
        <is>
          <t>0.023809523809523808</t>
        </is>
      </c>
      <c r="R14" t="inlineStr">
        <is>
          <t>0.026143790849673203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23.0</v>
      </c>
      <c r="Z14" t="n">
        <v>20.0</v>
      </c>
      <c r="AA14" t="n">
        <v>0.0</v>
      </c>
      <c r="AB14" t="n">
        <v>0.0</v>
      </c>
      <c r="AC14" t="n">
        <v>0.0</v>
      </c>
      <c r="AD14" t="n">
        <v>1721.0</v>
      </c>
      <c r="AE14" t="n">
        <v>2.0</v>
      </c>
      <c r="AF14" t="n">
        <v>1.0</v>
      </c>
      <c r="AG14" t="n">
        <v>0.0</v>
      </c>
      <c r="AH14" t="n">
        <v>1.0</v>
      </c>
      <c r="AI14" t="n">
        <v>0.0</v>
      </c>
      <c r="AJ14" t="n">
        <v>0.0</v>
      </c>
      <c r="AK14" t="n">
        <v>10.51133062173155</v>
      </c>
      <c r="AL14" t="inlineStr">
        <is>
          <t/>
        </is>
      </c>
    </row>
    <row r="15">
      <c r="A15" t="inlineStr">
        <is>
          <t>太喜欢这个整条三文鱼了，比Sam实惠多了</t>
        </is>
      </c>
      <c r="B15" t="inlineStr">
        <is>
          <t>69dca905000000002202add5</t>
        </is>
      </c>
      <c r="C15" s="14" t="n">
        <f>HYPERLINK("https://www.xiaohongshu.com/explore/69dca905000000002202add5?xsec_token=TBe8vKhJyviDCWrA3Jp-irCZLYAJWU-XXTQ2oALgtR6hU=&amp;xsec_source=pc_trdark","https://www.xiaohongshu.com/explore/69dca905000000002202add5?xsec_token=TBe8vKhJyviDCWrA3Jp-irCZLYAJWU-XXTQ2oALgtR6hU=&amp;xsec_source=pc_trdark")</f>
        <v>0.0</v>
      </c>
      <c r="D15" t="inlineStr">
        <is>
          <t>菲菲上班吃什么</t>
        </is>
      </c>
      <c r="E15" t="inlineStr">
        <is>
          <t>49936530607</t>
        </is>
      </c>
      <c r="F15" t="inlineStr">
        <is>
          <t>2026-04-13 16:27:49</t>
        </is>
      </c>
      <c r="G15" t="inlineStr">
        <is>
          <t>图文</t>
        </is>
      </c>
      <c r="H15" t="inlineStr">
        <is>
          <t>智利三文鱼切块·整条三文鱼·深海鱼一人食健康饮食</t>
        </is>
      </c>
      <c r="I15" t="inlineStr">
        <is>
          <t>691ac562a524ee0001b51d7b</t>
        </is>
      </c>
      <c r="J15" t="inlineStr">
        <is>
          <t/>
        </is>
      </c>
      <c r="K15" t="n">
        <v>2212.0</v>
      </c>
      <c r="L15" t="n">
        <v>9.0</v>
      </c>
      <c r="M15" t="n">
        <v>265.0</v>
      </c>
      <c r="N15" t="inlineStr">
        <is>
          <t>0.16129032258064516</t>
        </is>
      </c>
      <c r="O15" t="n">
        <v>217.0</v>
      </c>
      <c r="P15" t="n">
        <v>9.0</v>
      </c>
      <c r="Q15" t="inlineStr">
        <is>
          <t>0.033962264150943396</t>
        </is>
      </c>
      <c r="R15" t="inlineStr">
        <is>
          <t>0.041474654377880185</t>
        </is>
      </c>
      <c r="S15" t="n">
        <v>834.0</v>
      </c>
      <c r="T15" t="n">
        <v>3.0</v>
      </c>
      <c r="U15" t="n">
        <v>3.0</v>
      </c>
      <c r="V15" t="n">
        <v>834.0</v>
      </c>
      <c r="W15" t="n">
        <v>0.3770343580470163</v>
      </c>
      <c r="X15" t="n">
        <v>3.0</v>
      </c>
      <c r="Y15" t="n">
        <v>61.0</v>
      </c>
      <c r="Z15" t="n">
        <v>78.0</v>
      </c>
      <c r="AA15" t="n">
        <v>366.0</v>
      </c>
      <c r="AB15" t="n">
        <v>0.0</v>
      </c>
      <c r="AC15" t="n">
        <v>0.0</v>
      </c>
      <c r="AD15" t="n">
        <v>1643.0</v>
      </c>
      <c r="AE15" t="n">
        <v>12.0</v>
      </c>
      <c r="AF15" t="n">
        <v>4.0</v>
      </c>
      <c r="AG15" t="n">
        <v>0.0</v>
      </c>
      <c r="AH15" t="n">
        <v>5.0</v>
      </c>
      <c r="AI15" t="n">
        <v>0.0</v>
      </c>
      <c r="AJ15" t="n">
        <v>0.0</v>
      </c>
      <c r="AK15" t="n">
        <v>18.789409616555083</v>
      </c>
      <c r="AL15" t="inlineStr">
        <is>
          <t/>
        </is>
      </c>
    </row>
    <row r="16">
      <c r="A16" t="inlineStr">
        <is>
          <t>跟爸妈商量好，推出整条三文鱼了</t>
        </is>
      </c>
      <c r="B16" t="inlineStr">
        <is>
          <t>69dbb9880000000022025a4f</t>
        </is>
      </c>
      <c r="C16" s="15" t="n">
        <f>HYPERLINK("https://www.xiaohongshu.com/explore/69dbb9880000000022025a4f?xsec_token=TBv7n0Oy0CPbFvgz473v78kQVZn2LNbWAwYLgbkyN_NS0=&amp;xsec_source=pc_trdark","https://www.xiaohongshu.com/explore/69dbb9880000000022025a4f?xsec_token=TBv7n0Oy0CPbFvgz473v78kQVZn2LNbWAwYLgbkyN_NS0=&amp;xsec_source=pc_trdark")</f>
        <v>0.0</v>
      </c>
      <c r="D16" t="inlineStr">
        <is>
          <t>鲜水湾</t>
        </is>
      </c>
      <c r="E16" t="inlineStr">
        <is>
          <t>49316638994</t>
        </is>
      </c>
      <c r="F16" t="inlineStr">
        <is>
          <t>2026-04-12 23:26:00</t>
        </is>
      </c>
      <c r="G16" t="inlineStr">
        <is>
          <t>图文</t>
        </is>
      </c>
      <c r="H16" t="inlineStr">
        <is>
          <t>智利三文鱼切块·整条三文鱼·深海鱼一人食健康饮食</t>
        </is>
      </c>
      <c r="I16" t="inlineStr">
        <is>
          <t>691ac562a524ee0001b51d7b</t>
        </is>
      </c>
      <c r="J16" t="inlineStr">
        <is>
          <t/>
        </is>
      </c>
      <c r="K16" t="n">
        <v>2024.0</v>
      </c>
      <c r="L16" t="n">
        <v>8.0</v>
      </c>
      <c r="M16" t="n">
        <v>359.0</v>
      </c>
      <c r="N16" t="inlineStr">
        <is>
          <t>0.22707147375079065</t>
        </is>
      </c>
      <c r="O16" t="n">
        <v>306.0</v>
      </c>
      <c r="P16" t="n">
        <v>8.0</v>
      </c>
      <c r="Q16" t="inlineStr">
        <is>
          <t>0.022284122562674095</t>
        </is>
      </c>
      <c r="R16" t="inlineStr">
        <is>
          <t>0.026143790849673203</t>
        </is>
      </c>
      <c r="S16" t="n">
        <v>676.0</v>
      </c>
      <c r="T16" t="n">
        <v>2.0</v>
      </c>
      <c r="U16" t="n">
        <v>2.0</v>
      </c>
      <c r="V16" t="n">
        <v>676.0</v>
      </c>
      <c r="W16" t="n">
        <v>0.3339920948616601</v>
      </c>
      <c r="X16" t="n">
        <v>2.0</v>
      </c>
      <c r="Y16" t="n">
        <v>96.0</v>
      </c>
      <c r="Z16" t="n">
        <v>134.0</v>
      </c>
      <c r="AA16" t="n">
        <v>338.0</v>
      </c>
      <c r="AB16" t="n">
        <v>0.0</v>
      </c>
      <c r="AC16" t="n">
        <v>0.0</v>
      </c>
      <c r="AD16" t="n">
        <v>1581.0</v>
      </c>
      <c r="AE16" t="n">
        <v>10.0</v>
      </c>
      <c r="AF16" t="n">
        <v>2.0</v>
      </c>
      <c r="AG16" t="n">
        <v>2.0</v>
      </c>
      <c r="AH16" t="n">
        <v>4.0</v>
      </c>
      <c r="AI16" t="n">
        <v>1.0</v>
      </c>
      <c r="AJ16" t="n">
        <v>0.0</v>
      </c>
      <c r="AK16" t="n">
        <v>19.029728020240356</v>
      </c>
      <c r="AL16" t="inlineStr">
        <is>
          <t/>
        </is>
      </c>
    </row>
    <row r="17">
      <c r="A17" t="inlineStr">
        <is>
          <t>区区 300 块，承包我一个月的快乐😉</t>
        </is>
      </c>
      <c r="B17" t="inlineStr">
        <is>
          <t>69ead6db000000001f007ba4</t>
        </is>
      </c>
      <c r="C17" s="16" t="n">
        <f>HYPERLINK("https://www.xiaohongshu.com/explore/69ead6db000000001f007ba4?xsec_token=TBG-QeNbMbkltVw6gL-GSmoX-VvpBrmu85pzJTx-fx4Wo=&amp;xsec_source=pc_trdark","https://www.xiaohongshu.com/explore/69ead6db000000001f007ba4?xsec_token=TBG-QeNbMbkltVw6gL-GSmoX-VvpBrmu85pzJTx-fx4Wo=&amp;xsec_source=pc_trdark")</f>
        <v>0.0</v>
      </c>
      <c r="D17" t="inlineStr">
        <is>
          <t>婉婉上班吃什么</t>
        </is>
      </c>
      <c r="E17" t="inlineStr">
        <is>
          <t>11434449706</t>
        </is>
      </c>
      <c r="F17" t="inlineStr">
        <is>
          <t>2026-04-24 10:35:07</t>
        </is>
      </c>
      <c r="G17" t="inlineStr">
        <is>
          <t>图文</t>
        </is>
      </c>
      <c r="H17" t="inlineStr">
        <is>
          <t>智利三文鱼切块·整条三文鱼·深海鱼一人食健康饮食</t>
        </is>
      </c>
      <c r="I17" t="inlineStr">
        <is>
          <t>691ac562a524ee0001b51d7b</t>
        </is>
      </c>
      <c r="J17" t="inlineStr">
        <is>
          <t/>
        </is>
      </c>
      <c r="K17" t="n">
        <v>1470.0</v>
      </c>
      <c r="L17" t="n">
        <v>5.0</v>
      </c>
      <c r="M17" t="n">
        <v>199.0</v>
      </c>
      <c r="N17" t="n">
        <v>0.1292207792207792</v>
      </c>
      <c r="O17" t="n">
        <v>172.0</v>
      </c>
      <c r="P17" t="n">
        <v>5.0</v>
      </c>
      <c r="Q17" t="inlineStr">
        <is>
          <t>0.02512562814070352</t>
        </is>
      </c>
      <c r="R17" t="inlineStr">
        <is>
          <t>0.029069767441860465</t>
        </is>
      </c>
      <c r="S17" t="n">
        <v>338.0</v>
      </c>
      <c r="T17" t="n">
        <v>1.0</v>
      </c>
      <c r="U17" t="n">
        <v>1.0</v>
      </c>
      <c r="V17" t="n">
        <v>338.0</v>
      </c>
      <c r="W17" t="inlineStr">
        <is>
          <t>0.22993197278911565</t>
        </is>
      </c>
      <c r="X17" t="n">
        <v>1.0</v>
      </c>
      <c r="Y17" t="n">
        <v>47.0</v>
      </c>
      <c r="Z17" t="n">
        <v>80.0</v>
      </c>
      <c r="AA17" t="n">
        <v>0.0</v>
      </c>
      <c r="AB17" t="n">
        <v>0.0</v>
      </c>
      <c r="AC17" t="n">
        <v>0.0</v>
      </c>
      <c r="AD17" t="n">
        <v>1540.0</v>
      </c>
      <c r="AE17" t="n">
        <v>14.0</v>
      </c>
      <c r="AF17" t="n">
        <v>3.0</v>
      </c>
      <c r="AG17" t="n">
        <v>6.0</v>
      </c>
      <c r="AH17" t="n">
        <v>5.0</v>
      </c>
      <c r="AI17" t="n">
        <v>3.0</v>
      </c>
      <c r="AJ17" t="n">
        <v>0.0</v>
      </c>
      <c r="AK17" t="n">
        <v>22.91103896103896</v>
      </c>
      <c r="AL17" t="inlineStr">
        <is>
          <t/>
        </is>
      </c>
    </row>
    <row r="18">
      <c r="A18" t="inlineStr">
        <is>
          <t>身材管理期吃它！我两周掉了6斤！</t>
        </is>
      </c>
      <c r="B18" t="inlineStr">
        <is>
          <t>69ee09de00000000220253aa</t>
        </is>
      </c>
      <c r="C18" s="17" t="n">
        <f>HYPERLINK("https://www.xiaohongshu.com/explore/69ee09de00000000220253aa?xsec_token=TB3JCI8OO3ItJ5gw9_OIE0bAOIPn6kiPo88TNVrdHSWD8=&amp;xsec_source=pc_trdark","https://www.xiaohongshu.com/explore/69ee09de00000000220253aa?xsec_token=TB3JCI8OO3ItJ5gw9_OIE0bAOIPn6kiPo88TNVrdHSWD8=&amp;xsec_source=pc_trdark")</f>
        <v>0.0</v>
      </c>
      <c r="D18" t="inlineStr">
        <is>
          <t>鲜水湾</t>
        </is>
      </c>
      <c r="E18" t="inlineStr">
        <is>
          <t>49316638994</t>
        </is>
      </c>
      <c r="F18" t="inlineStr">
        <is>
          <t>2026-04-26 20:49:34</t>
        </is>
      </c>
      <c r="G18" t="inlineStr">
        <is>
          <t>图文</t>
        </is>
      </c>
      <c r="H18" t="inlineStr">
        <is>
          <t>智利三文鱼切块·整条三文鱼·深海鱼一人食健康饮食</t>
        </is>
      </c>
      <c r="I18" t="inlineStr">
        <is>
          <t>691ac562a524ee0001b51d7b</t>
        </is>
      </c>
      <c r="J18" t="inlineStr">
        <is>
          <t/>
        </is>
      </c>
      <c r="K18" t="n">
        <v>1388.0</v>
      </c>
      <c r="L18" t="n">
        <v>16.0</v>
      </c>
      <c r="M18" t="n">
        <v>633.0</v>
      </c>
      <c r="N18" t="n">
        <v>0.4137254901960784</v>
      </c>
      <c r="O18" t="n">
        <v>578.0</v>
      </c>
      <c r="P18" t="n">
        <v>16.0</v>
      </c>
      <c r="Q18" t="inlineStr">
        <is>
          <t>0.02527646129541864</t>
        </is>
      </c>
      <c r="R18" t="inlineStr">
        <is>
          <t>0.02768166089965398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141.0</v>
      </c>
      <c r="Z18" t="n">
        <v>96.0</v>
      </c>
      <c r="AA18" t="n">
        <v>148.0</v>
      </c>
      <c r="AB18" t="n">
        <v>0.0</v>
      </c>
      <c r="AC18" t="n">
        <v>0.0</v>
      </c>
      <c r="AD18" t="n">
        <v>1530.0</v>
      </c>
      <c r="AE18" t="n">
        <v>8.0</v>
      </c>
      <c r="AF18" t="n">
        <v>11.0</v>
      </c>
      <c r="AG18" t="n">
        <v>0.0</v>
      </c>
      <c r="AH18" t="n">
        <v>3.0</v>
      </c>
      <c r="AI18" t="n">
        <v>3.0</v>
      </c>
      <c r="AJ18" t="n">
        <v>0.0</v>
      </c>
      <c r="AK18" t="n">
        <v>22.615686274509805</v>
      </c>
      <c r="AL18" t="inlineStr">
        <is>
          <t/>
        </is>
      </c>
    </row>
    <row r="19">
      <c r="A19" t="inlineStr">
        <is>
          <t>和爸妈商量后，推出一人食小包装虾仁！</t>
        </is>
      </c>
      <c r="B19" t="inlineStr">
        <is>
          <t>69e77f4000000000230141a0</t>
        </is>
      </c>
      <c r="C19" s="18" t="n">
        <f>HYPERLINK("https://www.xiaohongshu.com/explore/69e77f4000000000230141a0?xsec_token=TBxJD1S06w8M0Ib6UdHEwWiMn8S99KhW5xOg0KTssddnM=&amp;xsec_source=pc_trdark","https://www.xiaohongshu.com/explore/69e77f4000000000230141a0?xsec_token=TBxJD1S06w8M0Ib6UdHEwWiMn8S99KhW5xOg0KTssddnM=&amp;xsec_source=pc_trdark")</f>
        <v>0.0</v>
      </c>
      <c r="D19" t="inlineStr">
        <is>
          <t>鲜水湾</t>
        </is>
      </c>
      <c r="E19" t="inlineStr">
        <is>
          <t>49316638994</t>
        </is>
      </c>
      <c r="F19" t="inlineStr">
        <is>
          <t>2026-04-21 21:44:32</t>
        </is>
      </c>
      <c r="G19" t="inlineStr">
        <is>
          <t>图文</t>
        </is>
      </c>
      <c r="H19" t="inlineStr">
        <is>
          <t>手剥虾仁 无冰衣无添加 低脂餐一人食 上班带饭 顺丰包邮 5盒装</t>
        </is>
      </c>
      <c r="I19" t="inlineStr">
        <is>
          <t>694baba01d450d00013662f0</t>
        </is>
      </c>
      <c r="J19" t="inlineStr">
        <is>
          <t/>
        </is>
      </c>
      <c r="K19" t="n">
        <v>601.0</v>
      </c>
      <c r="L19" t="n">
        <v>7.0</v>
      </c>
      <c r="M19" t="n">
        <v>228.0</v>
      </c>
      <c r="N19" t="inlineStr">
        <is>
          <t>0.15910676901605025</t>
        </is>
      </c>
      <c r="O19" t="n">
        <v>191.0</v>
      </c>
      <c r="P19" t="n">
        <v>7.0</v>
      </c>
      <c r="Q19" t="inlineStr">
        <is>
          <t>0.03070175438596491</t>
        </is>
      </c>
      <c r="R19" t="inlineStr">
        <is>
          <t>0.03664921465968586</t>
        </is>
      </c>
      <c r="S19" t="n">
        <v>69.0</v>
      </c>
      <c r="T19" t="n">
        <v>1.0</v>
      </c>
      <c r="U19" t="n">
        <v>1.0</v>
      </c>
      <c r="V19" t="n">
        <v>69.0</v>
      </c>
      <c r="W19" t="inlineStr">
        <is>
          <t>0.11480865224625623</t>
        </is>
      </c>
      <c r="X19" t="n">
        <v>1.0</v>
      </c>
      <c r="Y19" t="n">
        <v>50.0</v>
      </c>
      <c r="Z19" t="n">
        <v>73.0</v>
      </c>
      <c r="AA19" t="n">
        <v>69.0</v>
      </c>
      <c r="AB19" t="n">
        <v>0.0</v>
      </c>
      <c r="AC19" t="n">
        <v>0.0</v>
      </c>
      <c r="AD19" t="n">
        <v>1433.0</v>
      </c>
      <c r="AE19" t="n">
        <v>14.0</v>
      </c>
      <c r="AF19" t="n">
        <v>6.0</v>
      </c>
      <c r="AG19" t="n">
        <v>1.0</v>
      </c>
      <c r="AH19" t="n">
        <v>4.0</v>
      </c>
      <c r="AI19" t="n">
        <v>0.0</v>
      </c>
      <c r="AJ19" t="n">
        <v>0.0</v>
      </c>
      <c r="AK19" t="n">
        <v>15.98185624563852</v>
      </c>
      <c r="AL19" t="inlineStr">
        <is>
          <t/>
        </is>
      </c>
    </row>
    <row r="20">
      <c r="A20" t="inlineStr">
        <is>
          <t>三文鱼排1000g限时直降</t>
        </is>
      </c>
      <c r="B20" t="inlineStr">
        <is>
          <t>69eadaa60000000022025b72</t>
        </is>
      </c>
      <c r="C20" s="19" t="n">
        <f>HYPERLINK("https://www.xiaohongshu.com/explore/69eadaa60000000022025b72?xsec_token=TBG-QeNbMbkltVw6gL-GSmoQfrZ7CG9i0QGPzvDH3W3Mo=&amp;xsec_source=pc_trdark","https://www.xiaohongshu.com/explore/69eadaa60000000022025b72?xsec_token=TBG-QeNbMbkltVw6gL-GSmoQfrZ7CG9i0QGPzvDH3W3Mo=&amp;xsec_source=pc_trdark")</f>
        <v>0.0</v>
      </c>
      <c r="D20" t="inlineStr">
        <is>
          <t>鲜水湾</t>
        </is>
      </c>
      <c r="E20" t="inlineStr">
        <is>
          <t>49316638994</t>
        </is>
      </c>
      <c r="F20" t="inlineStr">
        <is>
          <t>2026-04-24 10:51:18</t>
        </is>
      </c>
      <c r="G20" t="inlineStr">
        <is>
          <t>图文</t>
        </is>
      </c>
      <c r="H20" t="inlineStr">
        <is>
          <t>智利三文鱼切块·整条三文鱼·深海鱼一人食健康饮食</t>
        </is>
      </c>
      <c r="I20" t="inlineStr">
        <is>
          <t>691ac562a524ee0001b51d7b</t>
        </is>
      </c>
      <c r="J20" t="inlineStr">
        <is>
          <t/>
        </is>
      </c>
      <c r="K20" t="n">
        <v>1830.0</v>
      </c>
      <c r="L20" t="n">
        <v>10.0</v>
      </c>
      <c r="M20" t="n">
        <v>615.0</v>
      </c>
      <c r="N20" t="inlineStr">
        <is>
          <t>0.45420974889217136</t>
        </is>
      </c>
      <c r="O20" t="n">
        <v>546.0</v>
      </c>
      <c r="P20" t="n">
        <v>10.0</v>
      </c>
      <c r="Q20" t="inlineStr">
        <is>
          <t>0.016260162601626018</t>
        </is>
      </c>
      <c r="R20" t="inlineStr">
        <is>
          <t>0.018315018315018316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106.0</v>
      </c>
      <c r="Z20" t="n">
        <v>101.0</v>
      </c>
      <c r="AA20" t="n">
        <v>0.0</v>
      </c>
      <c r="AB20" t="n">
        <v>0.0</v>
      </c>
      <c r="AC20" t="n">
        <v>0.0</v>
      </c>
      <c r="AD20" t="n">
        <v>1354.0</v>
      </c>
      <c r="AE20" t="n">
        <v>15.0</v>
      </c>
      <c r="AF20" t="n">
        <v>4.0</v>
      </c>
      <c r="AG20" t="n">
        <v>0.0</v>
      </c>
      <c r="AH20" t="n">
        <v>2.0</v>
      </c>
      <c r="AI20" t="n">
        <v>6.0</v>
      </c>
      <c r="AJ20" t="n">
        <v>0.0</v>
      </c>
      <c r="AK20" t="n">
        <v>19.214180206794683</v>
      </c>
      <c r="AL20" t="inlineStr">
        <is>
          <t/>
        </is>
      </c>
    </row>
    <row r="21">
      <c r="A21" t="inlineStr">
        <is>
          <t>我也不想买啊😭但69够我吃一周虾仁了</t>
        </is>
      </c>
      <c r="B21" t="inlineStr">
        <is>
          <t>69e30037000000002301d676</t>
        </is>
      </c>
      <c r="C21" s="20" t="n">
        <f>HYPERLINK("https://www.xiaohongshu.com/explore/69e30037000000002301d676?xsec_token=TBdjj7K6Nlm9yT2LpYB6PpNpLdpQ4LKy9NcpkA7wBt2M0=&amp;xsec_source=pc_trdark","https://www.xiaohongshu.com/explore/69e30037000000002301d676?xsec_token=TBdjj7K6Nlm9yT2LpYB6PpNpLdpQ4LKy9NcpkA7wBt2M0=&amp;xsec_source=pc_trdark")</f>
        <v>0.0</v>
      </c>
      <c r="D21" t="inlineStr">
        <is>
          <t>婉婉上班吃什么</t>
        </is>
      </c>
      <c r="E21" t="inlineStr">
        <is>
          <t>11434449706</t>
        </is>
      </c>
      <c r="F21" t="inlineStr">
        <is>
          <t>2026-04-18 11:53:27</t>
        </is>
      </c>
      <c r="G21" t="inlineStr">
        <is>
          <t>图文</t>
        </is>
      </c>
      <c r="H21" t="inlineStr">
        <is>
          <t>手剥虾仁 无冰衣无添加 低脂餐一人食 上班带饭 顺丰包邮 5盒装</t>
        </is>
      </c>
      <c r="I21" t="inlineStr">
        <is>
          <t>694baba01d450d00013662f0</t>
        </is>
      </c>
      <c r="J21" t="inlineStr">
        <is>
          <t/>
        </is>
      </c>
      <c r="K21" t="n">
        <v>818.0</v>
      </c>
      <c r="L21" t="n">
        <v>11.0</v>
      </c>
      <c r="M21" t="n">
        <v>328.0</v>
      </c>
      <c r="N21" t="inlineStr">
        <is>
          <t>0.24848484848484848</t>
        </is>
      </c>
      <c r="O21" t="n">
        <v>289.0</v>
      </c>
      <c r="P21" t="n">
        <v>11.0</v>
      </c>
      <c r="Q21" t="inlineStr">
        <is>
          <t>0.03353658536585366</t>
        </is>
      </c>
      <c r="R21" t="inlineStr">
        <is>
          <t>0.03806228373702422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61.0</v>
      </c>
      <c r="Z21" t="n">
        <v>44.0</v>
      </c>
      <c r="AA21" t="n">
        <v>0.0</v>
      </c>
      <c r="AB21" t="n">
        <v>0.0</v>
      </c>
      <c r="AC21" t="n">
        <v>0.0</v>
      </c>
      <c r="AD21" t="n">
        <v>1320.0</v>
      </c>
      <c r="AE21" t="n">
        <v>14.0</v>
      </c>
      <c r="AF21" t="n">
        <v>8.0</v>
      </c>
      <c r="AG21" t="n">
        <v>0.0</v>
      </c>
      <c r="AH21" t="n">
        <v>3.0</v>
      </c>
      <c r="AI21" t="n">
        <v>2.0</v>
      </c>
      <c r="AJ21" t="n">
        <v>0.0</v>
      </c>
      <c r="AK21" t="n">
        <v>13.218939393939394</v>
      </c>
      <c r="AL21" t="inlineStr">
        <is>
          <t/>
        </is>
      </c>
    </row>
    <row r="22">
      <c r="A22" t="inlineStr">
        <is>
          <t>100元的购买力，真的让我目瞪口呆</t>
        </is>
      </c>
      <c r="B22" t="inlineStr">
        <is>
          <t>69a133e4000000001a01c1a9</t>
        </is>
      </c>
      <c r="C22" s="21" t="n">
        <f>HYPERLINK("https://www.xiaohongshu.com/explore/69a133e4000000001a01c1a9?xsec_token=TBk7Tu9foWGIsieMmGc2tlwigPKcyoIgvUztRQx_4edtE=&amp;xsec_source=pc_trdark","https://www.xiaohongshu.com/explore/69a133e4000000001a01c1a9?xsec_token=TBk7Tu9foWGIsieMmGc2tlwigPKcyoIgvUztRQx_4edtE=&amp;xsec_source=pc_trdark")</f>
        <v>0.0</v>
      </c>
      <c r="D22" t="inlineStr">
        <is>
          <t>鲜水湾</t>
        </is>
      </c>
      <c r="E22" t="inlineStr">
        <is>
          <t>49316638994</t>
        </is>
      </c>
      <c r="F22" t="inlineStr">
        <is>
          <t>2026-02-27 14:04:20</t>
        </is>
      </c>
      <c r="G22" t="inlineStr">
        <is>
          <t>图文</t>
        </is>
      </c>
      <c r="H22" t="inlineStr">
        <is>
          <t>智利三文鱼切块·整条三文鱼·深海鱼一人食健康饮食</t>
        </is>
      </c>
      <c r="I22" t="inlineStr">
        <is>
          <t>691ac562a524ee0001b51d7b</t>
        </is>
      </c>
      <c r="J22" t="inlineStr">
        <is>
          <t/>
        </is>
      </c>
      <c r="K22" t="n">
        <v>368.0</v>
      </c>
      <c r="L22" t="n">
        <v>1.0</v>
      </c>
      <c r="M22" t="n">
        <v>166.0</v>
      </c>
      <c r="N22" t="inlineStr">
        <is>
          <t>0.13551020408163264</t>
        </is>
      </c>
      <c r="O22" t="n">
        <v>159.0</v>
      </c>
      <c r="P22" t="n">
        <v>1.0</v>
      </c>
      <c r="Q22" t="inlineStr">
        <is>
          <t>0.006024096385542169</t>
        </is>
      </c>
      <c r="R22" t="inlineStr">
        <is>
          <t>0.006289308176100629</t>
        </is>
      </c>
      <c r="S22" t="n">
        <v>368.0</v>
      </c>
      <c r="T22" t="n">
        <v>1.0</v>
      </c>
      <c r="U22" t="n">
        <v>1.0</v>
      </c>
      <c r="V22" t="n">
        <v>368.0</v>
      </c>
      <c r="W22" t="n">
        <v>1.0</v>
      </c>
      <c r="X22" t="n">
        <v>1.0</v>
      </c>
      <c r="Y22" t="n">
        <v>23.0</v>
      </c>
      <c r="Z22" t="n">
        <v>27.0</v>
      </c>
      <c r="AA22" t="n">
        <v>0.0</v>
      </c>
      <c r="AB22" t="n">
        <v>0.0</v>
      </c>
      <c r="AC22" t="n">
        <v>0.0</v>
      </c>
      <c r="AD22" t="n">
        <v>1225.0</v>
      </c>
      <c r="AE22" t="n">
        <v>2.0</v>
      </c>
      <c r="AF22" t="n">
        <v>1.0</v>
      </c>
      <c r="AG22" t="n">
        <v>4.0</v>
      </c>
      <c r="AH22" t="n">
        <v>0.0</v>
      </c>
      <c r="AI22" t="n">
        <v>0.0</v>
      </c>
      <c r="AJ22" t="n">
        <v>0.0</v>
      </c>
      <c r="AK22" t="n">
        <v>11.268571428571429</v>
      </c>
      <c r="AL22" t="inlineStr">
        <is>
          <t/>
        </is>
      </c>
    </row>
    <row r="23">
      <c r="A23" t="inlineStr">
        <is>
          <t>以前是山母，现在是小红书</t>
        </is>
      </c>
      <c r="B23" t="inlineStr">
        <is>
          <t>69de5fc3000000001a02f9be</t>
        </is>
      </c>
      <c r="C23" s="22" t="n">
        <f>HYPERLINK("https://www.xiaohongshu.com/explore/69de5fc3000000001a02f9be?xsec_token=TB59yoDgsQvcJ0I-utjSL7kMy6mb16kEqK7qaeQKT18mw=&amp;xsec_source=pc_trdark","https://www.xiaohongshu.com/explore/69de5fc3000000001a02f9be?xsec_token=TB59yoDgsQvcJ0I-utjSL7kMy6mb16kEqK7qaeQKT18mw=&amp;xsec_source=pc_trdark")</f>
        <v>0.0</v>
      </c>
      <c r="D23" t="inlineStr">
        <is>
          <t>菲菲上班吃什么</t>
        </is>
      </c>
      <c r="E23" t="inlineStr">
        <is>
          <t>49936530607</t>
        </is>
      </c>
      <c r="F23" t="inlineStr">
        <is>
          <t>2026-04-14 23:39:47</t>
        </is>
      </c>
      <c r="G23" t="inlineStr">
        <is>
          <t>图文</t>
        </is>
      </c>
      <c r="H23" t="inlineStr">
        <is>
          <t>智利三文鱼切块·整条三文鱼·深海鱼一人食健康饮食</t>
        </is>
      </c>
      <c r="I23" t="inlineStr">
        <is>
          <t>691ac562a524ee0001b51d7b</t>
        </is>
      </c>
      <c r="J23" t="inlineStr">
        <is>
          <t/>
        </is>
      </c>
      <c r="K23" t="n">
        <v>304.0</v>
      </c>
      <c r="L23" t="n">
        <v>3.0</v>
      </c>
      <c r="M23" t="n">
        <v>156.0</v>
      </c>
      <c r="N23" t="inlineStr">
        <is>
          <t>0.13254035683942225</t>
        </is>
      </c>
      <c r="O23" t="n">
        <v>138.0</v>
      </c>
      <c r="P23" t="n">
        <v>3.0</v>
      </c>
      <c r="Q23" t="inlineStr">
        <is>
          <t>0.019230769230769232</t>
        </is>
      </c>
      <c r="R23" t="inlineStr">
        <is>
          <t>0.021739130434782608</t>
        </is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52.0</v>
      </c>
      <c r="Z23" t="n">
        <v>52.0</v>
      </c>
      <c r="AA23" t="n">
        <v>0.0</v>
      </c>
      <c r="AB23" t="n">
        <v>0.0</v>
      </c>
      <c r="AC23" t="n">
        <v>0.0</v>
      </c>
      <c r="AD23" t="n">
        <v>1177.0</v>
      </c>
      <c r="AE23" t="n">
        <v>9.0</v>
      </c>
      <c r="AF23" t="n">
        <v>2.0</v>
      </c>
      <c r="AG23" t="n">
        <v>4.0</v>
      </c>
      <c r="AH23" t="n">
        <v>7.0</v>
      </c>
      <c r="AI23" t="n">
        <v>0.0</v>
      </c>
      <c r="AJ23" t="n">
        <v>0.0</v>
      </c>
      <c r="AK23" t="n">
        <v>20.260832625318606</v>
      </c>
      <c r="AL23" t="inlineStr">
        <is>
          <t/>
        </is>
      </c>
    </row>
    <row r="24">
      <c r="A24" t="inlineStr">
        <is>
          <t>终于找到煎三文鱼不腥的办法！</t>
        </is>
      </c>
      <c r="B24" t="inlineStr">
        <is>
          <t>69c3e3900000000020038c25</t>
        </is>
      </c>
      <c r="C24" s="23" t="n">
        <f>HYPERLINK("https://www.xiaohongshu.com/explore/69c3e3900000000020038c25?xsec_token=TBedSEQ7qtT06AlsylOAiUwwjQ6w7uskyR-tcWlc2ycUU=&amp;xsec_source=pc_trdark","https://www.xiaohongshu.com/explore/69c3e3900000000020038c25?xsec_token=TBedSEQ7qtT06AlsylOAiUwwjQ6w7uskyR-tcWlc2ycUU=&amp;xsec_source=pc_trdark")</f>
        <v>0.0</v>
      </c>
      <c r="D24" t="inlineStr">
        <is>
          <t>菲菲上班吃什么</t>
        </is>
      </c>
      <c r="E24" t="inlineStr">
        <is>
          <t>49936530607</t>
        </is>
      </c>
      <c r="F24" t="inlineStr">
        <is>
          <t>2026-03-25 21:30:56</t>
        </is>
      </c>
      <c r="G24" t="inlineStr">
        <is>
          <t>图文</t>
        </is>
      </c>
      <c r="H24" t="inlineStr">
        <is>
          <t>智利三文鱼切块·整条三文鱼·深海鱼一人食健康饮食</t>
        </is>
      </c>
      <c r="I24" t="inlineStr">
        <is>
          <t>691ac562a524ee0001b51d7b</t>
        </is>
      </c>
      <c r="J24" t="inlineStr">
        <is>
          <t/>
        </is>
      </c>
      <c r="K24" t="n">
        <v>0.0</v>
      </c>
      <c r="L24" t="n">
        <v>0.0</v>
      </c>
      <c r="M24" t="n">
        <v>31.0</v>
      </c>
      <c r="N24" t="inlineStr">
        <is>
          <t>0.026360544217687076</t>
        </is>
      </c>
      <c r="O24" t="n">
        <v>30.0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inlineStr">
        <is>
          <t/>
        </is>
      </c>
      <c r="X24" t="n">
        <v>0.0</v>
      </c>
      <c r="Y24" t="n">
        <v>5.0</v>
      </c>
      <c r="Z24" t="n">
        <v>15.0</v>
      </c>
      <c r="AA24" t="n">
        <v>0.0</v>
      </c>
      <c r="AB24" t="n">
        <v>0.0</v>
      </c>
      <c r="AC24" t="n">
        <v>0.0</v>
      </c>
      <c r="AD24" t="n">
        <v>1176.0</v>
      </c>
      <c r="AE24" t="n">
        <v>9.0</v>
      </c>
      <c r="AF24" t="n">
        <v>1.0</v>
      </c>
      <c r="AG24" t="n">
        <v>0.0</v>
      </c>
      <c r="AH24" t="n">
        <v>3.0</v>
      </c>
      <c r="AI24" t="n">
        <v>0.0</v>
      </c>
      <c r="AJ24" t="n">
        <v>0.0</v>
      </c>
      <c r="AK24" t="n">
        <v>17.33078231292517</v>
      </c>
      <c r="AL24" t="inlineStr">
        <is>
          <t/>
        </is>
      </c>
    </row>
    <row r="25">
      <c r="A25" t="inlineStr">
        <is>
          <t>要不是三文鱼so得快，我早就不吃了。。。</t>
        </is>
      </c>
      <c r="B25" t="inlineStr">
        <is>
          <t>69db6b8a000000002202ac8f</t>
        </is>
      </c>
      <c r="C25" s="24" t="n">
        <f>HYPERLINK("https://www.xiaohongshu.com/explore/69db6b8a000000002202ac8f?xsec_token=TBv7n0Oy0CPbFvgz473v78kdl6tynKdbEr7kGWGO8XYeY=&amp;xsec_source=pc_trdark","https://www.xiaohongshu.com/explore/69db6b8a000000002202ac8f?xsec_token=TBv7n0Oy0CPbFvgz473v78kdl6tynKdbEr7kGWGO8XYeY=&amp;xsec_source=pc_trdark")</f>
        <v>0.0</v>
      </c>
      <c r="D25" t="inlineStr">
        <is>
          <t>菲菲上班吃什么</t>
        </is>
      </c>
      <c r="E25" t="inlineStr">
        <is>
          <t>49936530607</t>
        </is>
      </c>
      <c r="F25" t="inlineStr">
        <is>
          <t>2026-04-12 17:53:14</t>
        </is>
      </c>
      <c r="G25" t="inlineStr">
        <is>
          <t>图文</t>
        </is>
      </c>
      <c r="H25" t="inlineStr">
        <is>
          <t>智利三文鱼切块·整条三文鱼·深海鱼一人食健康饮食</t>
        </is>
      </c>
      <c r="I25" t="inlineStr">
        <is>
          <t>691ac562a524ee0001b51d7b</t>
        </is>
      </c>
      <c r="J25" t="inlineStr">
        <is>
          <t/>
        </is>
      </c>
      <c r="K25" t="n">
        <v>236.0</v>
      </c>
      <c r="L25" t="n">
        <v>2.0</v>
      </c>
      <c r="M25" t="n">
        <v>65.0</v>
      </c>
      <c r="N25" t="inlineStr">
        <is>
          <t>0.056719022687609075</t>
        </is>
      </c>
      <c r="O25" t="n">
        <v>60.0</v>
      </c>
      <c r="P25" t="n">
        <v>2.0</v>
      </c>
      <c r="Q25" t="inlineStr">
        <is>
          <t>0.03076923076923077</t>
        </is>
      </c>
      <c r="R25" t="inlineStr">
        <is>
          <t>0.03333333333333333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7.0</v>
      </c>
      <c r="Z25" t="n">
        <v>18.0</v>
      </c>
      <c r="AA25" t="n">
        <v>0.0</v>
      </c>
      <c r="AB25" t="n">
        <v>0.0</v>
      </c>
      <c r="AC25" t="n">
        <v>0.0</v>
      </c>
      <c r="AD25" t="n">
        <v>1146.0</v>
      </c>
      <c r="AE25" t="n">
        <v>6.0</v>
      </c>
      <c r="AF25" t="n">
        <v>0.0</v>
      </c>
      <c r="AG25" t="n">
        <v>0.0</v>
      </c>
      <c r="AH25" t="n">
        <v>2.0</v>
      </c>
      <c r="AI25" t="n">
        <v>0.0</v>
      </c>
      <c r="AJ25" t="n">
        <v>0.0</v>
      </c>
      <c r="AK25" t="n">
        <v>14.349912739965095</v>
      </c>
      <c r="AL25" t="inlineStr">
        <is>
          <t/>
        </is>
      </c>
    </row>
    <row r="26">
      <c r="A26" t="inlineStr">
        <is>
          <t>山母的品质，Pxx 的价格！</t>
        </is>
      </c>
      <c r="B26" t="inlineStr">
        <is>
          <t>69df9be9000000001f00772d</t>
        </is>
      </c>
      <c r="C26" s="25" t="n">
        <f>HYPERLINK("https://www.xiaohongshu.com/explore/69df9be9000000001f00772d?xsec_token=TBbELi6fdmnK2TYKEzYY0fWvFjCPsIsMFLFBVV5Y5R5TE=&amp;xsec_source=pc_trdark","https://www.xiaohongshu.com/explore/69df9be9000000001f00772d?xsec_token=TBbELi6fdmnK2TYKEzYY0fWvFjCPsIsMFLFBVV5Y5R5TE=&amp;xsec_source=pc_trdark")</f>
        <v>0.0</v>
      </c>
      <c r="D26" t="inlineStr">
        <is>
          <t>鲜水湾</t>
        </is>
      </c>
      <c r="E26" t="inlineStr">
        <is>
          <t>49316638994</t>
        </is>
      </c>
      <c r="F26" t="inlineStr">
        <is>
          <t>2026-04-15 22:08:41</t>
        </is>
      </c>
      <c r="G26" t="inlineStr">
        <is>
          <t>图文</t>
        </is>
      </c>
      <c r="H26" t="inlineStr">
        <is>
          <t>智利三文鱼切块·整条三文鱼·深海鱼一人食健康饮食</t>
        </is>
      </c>
      <c r="I26" t="inlineStr">
        <is>
          <t>691ac562a524ee0001b51d7b</t>
        </is>
      </c>
      <c r="J26" t="inlineStr">
        <is>
          <t/>
        </is>
      </c>
      <c r="K26" t="n">
        <v>254.0</v>
      </c>
      <c r="L26" t="n">
        <v>3.0</v>
      </c>
      <c r="M26" t="n">
        <v>216.0</v>
      </c>
      <c r="N26" t="n">
        <v>0.192</v>
      </c>
      <c r="O26" t="n">
        <v>179.0</v>
      </c>
      <c r="P26" t="n">
        <v>3.0</v>
      </c>
      <c r="Q26" t="inlineStr">
        <is>
          <t>0.013888888888888888</t>
        </is>
      </c>
      <c r="R26" t="inlineStr">
        <is>
          <t>0.01675977653631285</t>
        </is>
      </c>
      <c r="S26" t="n">
        <v>68.0</v>
      </c>
      <c r="T26" t="n">
        <v>1.0</v>
      </c>
      <c r="U26" t="n">
        <v>1.0</v>
      </c>
      <c r="V26" t="n">
        <v>68.0</v>
      </c>
      <c r="W26" t="n">
        <v>0.2677165354330709</v>
      </c>
      <c r="X26" t="n">
        <v>1.0</v>
      </c>
      <c r="Y26" t="n">
        <v>44.0</v>
      </c>
      <c r="Z26" t="n">
        <v>59.0</v>
      </c>
      <c r="AA26" t="n">
        <v>0.0</v>
      </c>
      <c r="AB26" t="n">
        <v>0.0</v>
      </c>
      <c r="AC26" t="n">
        <v>0.0</v>
      </c>
      <c r="AD26" t="n">
        <v>1125.0</v>
      </c>
      <c r="AE26" t="n">
        <v>8.0</v>
      </c>
      <c r="AF26" t="n">
        <v>5.0</v>
      </c>
      <c r="AG26" t="n">
        <v>1.0</v>
      </c>
      <c r="AH26" t="n">
        <v>2.0</v>
      </c>
      <c r="AI26" t="n">
        <v>2.0</v>
      </c>
      <c r="AJ26" t="n">
        <v>0.0</v>
      </c>
      <c r="AK26" t="n">
        <v>16.299555555555557</v>
      </c>
      <c r="AL26" t="inlineStr">
        <is>
          <t/>
        </is>
      </c>
    </row>
    <row r="27">
      <c r="A27" t="inlineStr">
        <is>
          <t>某姆的虾仁我吃了半年，最后还是换了</t>
        </is>
      </c>
      <c r="B27" t="inlineStr">
        <is>
          <t>69d8bab3000000001b020eca</t>
        </is>
      </c>
      <c r="C27" s="26" t="n">
        <f>HYPERLINK("https://www.xiaohongshu.com/explore/69d8bab3000000001b020eca?xsec_token=TBaP4Vb_xh4r06-3Gp1C6IeILNLrtFIrQfrsTDsdRVKsM=&amp;xsec_source=pc_trdark","https://www.xiaohongshu.com/explore/69d8bab3000000001b020eca?xsec_token=TBaP4Vb_xh4r06-3Gp1C6IeILNLrtFIrQfrsTDsdRVKsM=&amp;xsec_source=pc_trdark")</f>
        <v>0.0</v>
      </c>
      <c r="D27" t="inlineStr">
        <is>
          <t>菲菲上班吃什么</t>
        </is>
      </c>
      <c r="E27" t="inlineStr">
        <is>
          <t>49936530607</t>
        </is>
      </c>
      <c r="F27" t="inlineStr">
        <is>
          <t>2026-04-10 16:54:11</t>
        </is>
      </c>
      <c r="G27" t="inlineStr">
        <is>
          <t>图文</t>
        </is>
      </c>
      <c r="H27" t="inlineStr">
        <is>
          <t>手剥虾仁 无冰衣无添加 低脂餐一人食 上班带饭 顺丰包邮 5盒装</t>
        </is>
      </c>
      <c r="I27" t="inlineStr">
        <is>
          <t>694baba01d450d00013662f0</t>
        </is>
      </c>
      <c r="J27" t="inlineStr">
        <is>
          <t/>
        </is>
      </c>
      <c r="K27" t="n">
        <v>167.0</v>
      </c>
      <c r="L27" t="n">
        <v>2.0</v>
      </c>
      <c r="M27" t="n">
        <v>101.0</v>
      </c>
      <c r="N27" t="inlineStr">
        <is>
          <t>0.09115523465703972</t>
        </is>
      </c>
      <c r="O27" t="n">
        <v>81.0</v>
      </c>
      <c r="P27" t="n">
        <v>2.0</v>
      </c>
      <c r="Q27" t="inlineStr">
        <is>
          <t>0.019801980198019802</t>
        </is>
      </c>
      <c r="R27" t="inlineStr">
        <is>
          <t>0.024691358024691357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18.0</v>
      </c>
      <c r="Z27" t="n">
        <v>21.0</v>
      </c>
      <c r="AA27" t="n">
        <v>0.0</v>
      </c>
      <c r="AB27" t="n">
        <v>0.0</v>
      </c>
      <c r="AC27" t="n">
        <v>0.0</v>
      </c>
      <c r="AD27" t="n">
        <v>1108.0</v>
      </c>
      <c r="AE27" t="n">
        <v>4.0</v>
      </c>
      <c r="AF27" t="n">
        <v>1.0</v>
      </c>
      <c r="AG27" t="n">
        <v>0.0</v>
      </c>
      <c r="AH27" t="n">
        <v>2.0</v>
      </c>
      <c r="AI27" t="n">
        <v>0.0</v>
      </c>
      <c r="AJ27" t="n">
        <v>0.0</v>
      </c>
      <c r="AK27" t="n">
        <v>14.078519855595667</v>
      </c>
      <c r="AL27" t="inlineStr">
        <is>
          <t/>
        </is>
      </c>
    </row>
    <row r="28">
      <c r="A28" t="inlineStr">
        <is>
          <t>某姆的虾仁我吃了三年，直到换了它</t>
        </is>
      </c>
      <c r="B28" t="inlineStr">
        <is>
          <t>69d88c1a0000000022026d4d</t>
        </is>
      </c>
      <c r="C28" s="27" t="n">
        <f>HYPERLINK("https://www.xiaohongshu.com/explore/69d88c1a0000000022026d4d?xsec_token=TBaP4Vb_xh4r06-3Gp1C6IeEbHCeA5RHt4VXEPs_xMsQ8=&amp;xsec_source=pc_trdark","https://www.xiaohongshu.com/explore/69d88c1a0000000022026d4d?xsec_token=TBaP4Vb_xh4r06-3Gp1C6IeEbHCeA5RHt4VXEPs_xMsQ8=&amp;xsec_source=pc_trdark")</f>
        <v>0.0</v>
      </c>
      <c r="D28" t="inlineStr">
        <is>
          <t>婉婉上班吃什么</t>
        </is>
      </c>
      <c r="E28" t="inlineStr">
        <is>
          <t>11434449706</t>
        </is>
      </c>
      <c r="F28" t="inlineStr">
        <is>
          <t>2026-04-10 13:35:22</t>
        </is>
      </c>
      <c r="G28" t="inlineStr">
        <is>
          <t>图文</t>
        </is>
      </c>
      <c r="H28" t="inlineStr">
        <is>
          <t>手剥虾仁 无冰衣无添加 低脂餐一人食 上班带饭 顺丰包邮 5盒装</t>
        </is>
      </c>
      <c r="I28" t="inlineStr">
        <is>
          <t>694baba01d450d00013662f0</t>
        </is>
      </c>
      <c r="J28" t="inlineStr">
        <is>
          <t/>
        </is>
      </c>
      <c r="K28" t="n">
        <v>196.0</v>
      </c>
      <c r="L28" t="n">
        <v>2.0</v>
      </c>
      <c r="M28" t="n">
        <v>40.0</v>
      </c>
      <c r="N28" t="inlineStr">
        <is>
          <t>0.03717472118959108</t>
        </is>
      </c>
      <c r="O28" t="n">
        <v>37.0</v>
      </c>
      <c r="P28" t="n">
        <v>2.0</v>
      </c>
      <c r="Q28" t="n">
        <v>0.05</v>
      </c>
      <c r="R28" t="inlineStr">
        <is>
          <t>0.05405405405405406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10.0</v>
      </c>
      <c r="Z28" t="n">
        <v>7.0</v>
      </c>
      <c r="AA28" t="n">
        <v>0.0</v>
      </c>
      <c r="AB28" t="n">
        <v>0.0</v>
      </c>
      <c r="AC28" t="n">
        <v>0.0</v>
      </c>
      <c r="AD28" t="n">
        <v>1076.0</v>
      </c>
      <c r="AE28" t="n">
        <v>6.0</v>
      </c>
      <c r="AF28" t="n">
        <v>1.0</v>
      </c>
      <c r="AG28" t="n">
        <v>0.0</v>
      </c>
      <c r="AH28" t="n">
        <v>1.0</v>
      </c>
      <c r="AI28" t="n">
        <v>0.0</v>
      </c>
      <c r="AJ28" t="n">
        <v>0.0</v>
      </c>
      <c r="AK28" t="n">
        <v>9.733271375464684</v>
      </c>
      <c r="AL28" t="inlineStr">
        <is>
          <t/>
        </is>
      </c>
    </row>
    <row r="29">
      <c r="A29" t="inlineStr">
        <is>
          <t>终于知道为什么每天吃虾反而更瘦了</t>
        </is>
      </c>
      <c r="B29" t="inlineStr">
        <is>
          <t>69db5a7c000000001b023c60</t>
        </is>
      </c>
      <c r="C29" s="28" t="n">
        <f>HYPERLINK("https://www.xiaohongshu.com/explore/69db5a7c000000001b023c60?xsec_token=TBv7n0Oy0CPbFvgz473v78kdG3sNBy5SkQx9ohab4c5r4=&amp;xsec_source=pc_trdark","https://www.xiaohongshu.com/explore/69db5a7c000000001b023c60?xsec_token=TBv7n0Oy0CPbFvgz473v78kdG3sNBy5SkQx9ohab4c5r4=&amp;xsec_source=pc_trdark")</f>
        <v>0.0</v>
      </c>
      <c r="D29" t="inlineStr">
        <is>
          <t>婉婉上班吃什么</t>
        </is>
      </c>
      <c r="E29" t="inlineStr">
        <is>
          <t>11434449706</t>
        </is>
      </c>
      <c r="F29" t="inlineStr">
        <is>
          <t>2026-04-12 16:40:28</t>
        </is>
      </c>
      <c r="G29" t="inlineStr">
        <is>
          <t>图文</t>
        </is>
      </c>
      <c r="H29" t="inlineStr">
        <is>
          <t>手剥虾仁 无冰衣无添加 低脂餐一人食 上班带饭 顺丰包邮 5盒装</t>
        </is>
      </c>
      <c r="I29" t="inlineStr">
        <is>
          <t>694baba01d450d00013662f0</t>
        </is>
      </c>
      <c r="J29" t="inlineStr">
        <is>
          <t/>
        </is>
      </c>
      <c r="K29" t="n">
        <v>335.0</v>
      </c>
      <c r="L29" t="n">
        <v>4.0</v>
      </c>
      <c r="M29" t="n">
        <v>76.0</v>
      </c>
      <c r="N29" t="inlineStr">
        <is>
          <t>0.07357212003872217</t>
        </is>
      </c>
      <c r="O29" t="n">
        <v>66.0</v>
      </c>
      <c r="P29" t="n">
        <v>4.0</v>
      </c>
      <c r="Q29" t="inlineStr">
        <is>
          <t>0.05263157894736842</t>
        </is>
      </c>
      <c r="R29" t="inlineStr">
        <is>
          <t>0.06060606060606061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23.0</v>
      </c>
      <c r="Z29" t="n">
        <v>16.0</v>
      </c>
      <c r="AA29" t="n">
        <v>0.0</v>
      </c>
      <c r="AB29" t="n">
        <v>0.0</v>
      </c>
      <c r="AC29" t="n">
        <v>0.0</v>
      </c>
      <c r="AD29" t="n">
        <v>1033.0</v>
      </c>
      <c r="AE29" t="n">
        <v>12.0</v>
      </c>
      <c r="AF29" t="n">
        <v>2.0</v>
      </c>
      <c r="AG29" t="n">
        <v>0.0</v>
      </c>
      <c r="AH29" t="n">
        <v>2.0</v>
      </c>
      <c r="AI29" t="n">
        <v>0.0</v>
      </c>
      <c r="AJ29" t="n">
        <v>0.0</v>
      </c>
      <c r="AK29" t="n">
        <v>13.939012584704743</v>
      </c>
      <c r="AL29" t="inlineStr">
        <is>
          <t/>
        </is>
      </c>
    </row>
    <row r="30">
      <c r="A30" t="inlineStr">
        <is>
          <t>在小红书上买到了整条三文鱼…</t>
        </is>
      </c>
      <c r="B30" t="inlineStr">
        <is>
          <t>692e4f1e000000001f007cb8</t>
        </is>
      </c>
      <c r="C30" s="29" t="n">
        <f>HYPERLINK("https://www.xiaohongshu.com/explore/692e4f1e000000001f007cb8?xsec_token=TBhc9WPqfa5dhWfRrPj8DX7W_9aA0Zas4QAmEKpy4qlOU=&amp;xsec_source=pc_trdark","https://www.xiaohongshu.com/explore/692e4f1e000000001f007cb8?xsec_token=TBhc9WPqfa5dhWfRrPj8DX7W_9aA0Zas4QAmEKpy4qlOU=&amp;xsec_source=pc_trdark")</f>
        <v>0.0</v>
      </c>
      <c r="D30" t="inlineStr">
        <is>
          <t>鲜水湾</t>
        </is>
      </c>
      <c r="E30" t="inlineStr">
        <is>
          <t>49316638994</t>
        </is>
      </c>
      <c r="F30" t="inlineStr">
        <is>
          <t>2025-12-02 10:29:50</t>
        </is>
      </c>
      <c r="G30" t="inlineStr">
        <is>
          <t>图文</t>
        </is>
      </c>
      <c r="H30" t="inlineStr">
        <is>
          <t>智利三文鱼切块·整条三文鱼·深海鱼一人食健康饮食</t>
        </is>
      </c>
      <c r="I30" t="inlineStr">
        <is>
          <t>691ac562a524ee0001b51d7b</t>
        </is>
      </c>
      <c r="J30" t="inlineStr">
        <is>
          <t/>
        </is>
      </c>
      <c r="K30" t="n">
        <v>736.0</v>
      </c>
      <c r="L30" t="n">
        <v>2.0</v>
      </c>
      <c r="M30" t="n">
        <v>135.0</v>
      </c>
      <c r="N30" t="inlineStr">
        <is>
          <t>0.13353115727002968</t>
        </is>
      </c>
      <c r="O30" t="n">
        <v>122.0</v>
      </c>
      <c r="P30" t="n">
        <v>2.0</v>
      </c>
      <c r="Q30" t="inlineStr">
        <is>
          <t>0.014814814814814815</t>
        </is>
      </c>
      <c r="R30" t="inlineStr">
        <is>
          <t>0.01639344262295082</t>
        </is>
      </c>
      <c r="S30" t="n">
        <v>368.0</v>
      </c>
      <c r="T30" t="n">
        <v>1.0</v>
      </c>
      <c r="U30" t="n">
        <v>1.0</v>
      </c>
      <c r="V30" t="n">
        <v>368.0</v>
      </c>
      <c r="W30" t="n">
        <v>0.5</v>
      </c>
      <c r="X30" t="n">
        <v>1.0</v>
      </c>
      <c r="Y30" t="n">
        <v>22.0</v>
      </c>
      <c r="Z30" t="n">
        <v>34.0</v>
      </c>
      <c r="AA30" t="n">
        <v>0.0</v>
      </c>
      <c r="AB30" t="n">
        <v>0.0</v>
      </c>
      <c r="AC30" t="n">
        <v>0.0</v>
      </c>
      <c r="AD30" t="n">
        <v>1011.0</v>
      </c>
      <c r="AE30" t="n">
        <v>2.0</v>
      </c>
      <c r="AF30" t="n">
        <v>4.0</v>
      </c>
      <c r="AG30" t="n">
        <v>2.0</v>
      </c>
      <c r="AH30" t="n">
        <v>1.0</v>
      </c>
      <c r="AI30" t="n">
        <v>0.0</v>
      </c>
      <c r="AJ30" t="n">
        <v>0.0</v>
      </c>
      <c r="AK30" t="n">
        <v>12.550939663699308</v>
      </c>
      <c r="AL30" t="inlineStr">
        <is>
          <t/>
        </is>
      </c>
    </row>
    <row r="31">
      <c r="A31" t="inlineStr">
        <is>
          <t>感谢网友！网购三文鱼安全下车！</t>
        </is>
      </c>
      <c r="B31" t="inlineStr">
        <is>
          <t>69dfa768000000001f003c5a</t>
        </is>
      </c>
      <c r="C31" s="30" t="n">
        <f>HYPERLINK("https://www.xiaohongshu.com/explore/69dfa768000000001f003c5a?xsec_token=TBbELi6fdmnK2TYKEzYY0fWku9GzDqHAHSEI9tFnWD7xI=&amp;xsec_source=pc_trdark","https://www.xiaohongshu.com/explore/69dfa768000000001f003c5a?xsec_token=TBbELi6fdmnK2TYKEzYY0fWku9GzDqHAHSEI9tFnWD7xI=&amp;xsec_source=pc_trdark")</f>
        <v>0.0</v>
      </c>
      <c r="D31" t="inlineStr">
        <is>
          <t>菲菲上班吃什么</t>
        </is>
      </c>
      <c r="E31" t="inlineStr">
        <is>
          <t>49936530607</t>
        </is>
      </c>
      <c r="F31" t="inlineStr">
        <is>
          <t>2026-04-15 22:57:44</t>
        </is>
      </c>
      <c r="G31" t="inlineStr">
        <is>
          <t>图文</t>
        </is>
      </c>
      <c r="H31" t="inlineStr">
        <is>
          <t>智利三文鱼切块·整条三文鱼·深海鱼一人食健康饮食</t>
        </is>
      </c>
      <c r="I31" t="inlineStr">
        <is>
          <t>691ac562a524ee0001b51d7b</t>
        </is>
      </c>
      <c r="J31" t="inlineStr">
        <is>
          <t/>
        </is>
      </c>
      <c r="K31" t="n">
        <v>486.0</v>
      </c>
      <c r="L31" t="n">
        <v>2.0</v>
      </c>
      <c r="M31" t="n">
        <v>222.0</v>
      </c>
      <c r="N31" t="inlineStr">
        <is>
          <t>0.22839506172839505</t>
        </is>
      </c>
      <c r="O31" t="n">
        <v>194.0</v>
      </c>
      <c r="P31" t="n">
        <v>2.0</v>
      </c>
      <c r="Q31" t="inlineStr">
        <is>
          <t>0.009009009009009009</t>
        </is>
      </c>
      <c r="R31" t="inlineStr">
        <is>
          <t>0.010309278350515464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40.0</v>
      </c>
      <c r="Z31" t="n">
        <v>44.0</v>
      </c>
      <c r="AA31" t="n">
        <v>0.0</v>
      </c>
      <c r="AB31" t="n">
        <v>0.0</v>
      </c>
      <c r="AC31" t="n">
        <v>0.0</v>
      </c>
      <c r="AD31" t="n">
        <v>972.0</v>
      </c>
      <c r="AE31" t="n">
        <v>8.0</v>
      </c>
      <c r="AF31" t="n">
        <v>2.0</v>
      </c>
      <c r="AG31" t="n">
        <v>0.0</v>
      </c>
      <c r="AH31" t="n">
        <v>1.0</v>
      </c>
      <c r="AI31" t="n">
        <v>0.0</v>
      </c>
      <c r="AJ31" t="n">
        <v>0.0</v>
      </c>
      <c r="AK31" t="n">
        <v>16.375514403292183</v>
      </c>
      <c r="AL31" t="inlineStr">
        <is>
          <t/>
        </is>
      </c>
    </row>
    <row r="32">
      <c r="A32" t="inlineStr">
        <is>
          <t>第一次对爬坡后吃快碳起了敬意……</t>
        </is>
      </c>
      <c r="B32" t="inlineStr">
        <is>
          <t>69d3abb4000000001e00c0e7</t>
        </is>
      </c>
      <c r="C32" s="31" t="n">
        <f>HYPERLINK("https://www.xiaohongshu.com/explore/69d3abb4000000001e00c0e7?xsec_token=TBhEDzysvLbwbBD8CIa_-jscjy3Dc1tcyKoBddl5X7qo0=&amp;xsec_source=pc_trdark","https://www.xiaohongshu.com/explore/69d3abb4000000001e00c0e7?xsec_token=TBhEDzysvLbwbBD8CIa_-jscjy3Dc1tcyKoBddl5X7qo0=&amp;xsec_source=pc_trdark")</f>
        <v>0.0</v>
      </c>
      <c r="D32" t="inlineStr">
        <is>
          <t>菲菲上班吃什么</t>
        </is>
      </c>
      <c r="E32" t="inlineStr">
        <is>
          <t>49936530607</t>
        </is>
      </c>
      <c r="F32" t="inlineStr">
        <is>
          <t>2026-04-06 20:48:52</t>
        </is>
      </c>
      <c r="G32" t="inlineStr">
        <is>
          <t>图文</t>
        </is>
      </c>
      <c r="H32" t="inlineStr">
        <is>
          <t>手剥虾仁 无冰衣无添加 低脂餐一人食 上班带饭 顺丰包邮 5盒装</t>
        </is>
      </c>
      <c r="I32" t="inlineStr">
        <is>
          <t>694baba01d450d00013662f0</t>
        </is>
      </c>
      <c r="J32" t="inlineStr">
        <is>
          <t/>
        </is>
      </c>
      <c r="K32" t="n">
        <v>138.0</v>
      </c>
      <c r="L32" t="n">
        <v>2.0</v>
      </c>
      <c r="M32" t="n">
        <v>49.0</v>
      </c>
      <c r="N32" t="inlineStr">
        <is>
          <t>0.05093555093555094</t>
        </is>
      </c>
      <c r="O32" t="n">
        <v>44.0</v>
      </c>
      <c r="P32" t="n">
        <v>2.0</v>
      </c>
      <c r="Q32" t="inlineStr">
        <is>
          <t>0.04081632653061224</t>
        </is>
      </c>
      <c r="R32" t="inlineStr">
        <is>
          <t>0.045454545454545456</t>
        </is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10.0</v>
      </c>
      <c r="Z32" t="n">
        <v>23.0</v>
      </c>
      <c r="AA32" t="n">
        <v>0.0</v>
      </c>
      <c r="AB32" t="n">
        <v>0.0</v>
      </c>
      <c r="AC32" t="n">
        <v>0.0</v>
      </c>
      <c r="AD32" t="n">
        <v>962.0</v>
      </c>
      <c r="AE32" t="n">
        <v>3.0</v>
      </c>
      <c r="AF32" t="n">
        <v>3.0</v>
      </c>
      <c r="AG32" t="n">
        <v>0.0</v>
      </c>
      <c r="AH32" t="n">
        <v>0.0</v>
      </c>
      <c r="AI32" t="n">
        <v>0.0</v>
      </c>
      <c r="AJ32" t="n">
        <v>0.0</v>
      </c>
      <c r="AK32" t="n">
        <v>13.777546777546778</v>
      </c>
      <c r="AL32" t="inlineStr">
        <is>
          <t/>
        </is>
      </c>
    </row>
    <row r="33">
      <c r="A33" t="inlineStr">
        <is>
          <t>三文鱼扒1000g 限时折扣，快冲吧</t>
        </is>
      </c>
      <c r="B33" t="inlineStr">
        <is>
          <t>69ec8342000000001a0374a0</t>
        </is>
      </c>
      <c r="C33" s="32" t="n">
        <f>HYPERLINK("https://www.xiaohongshu.com/explore/69ec8342000000001a0374a0?xsec_token=TBnoSF_--XRDuLtfF77lVqP1G34IRXder4FvRq8JJR3cA=&amp;xsec_source=pc_trdark","https://www.xiaohongshu.com/explore/69ec8342000000001a0374a0?xsec_token=TBnoSF_--XRDuLtfF77lVqP1G34IRXder4FvRq8JJR3cA=&amp;xsec_source=pc_trdark")</f>
        <v>0.0</v>
      </c>
      <c r="D33" t="inlineStr">
        <is>
          <t>鲜水湾</t>
        </is>
      </c>
      <c r="E33" t="inlineStr">
        <is>
          <t>49316638994</t>
        </is>
      </c>
      <c r="F33" t="inlineStr">
        <is>
          <t>2026-04-25 17:02:58</t>
        </is>
      </c>
      <c r="G33" t="inlineStr">
        <is>
          <t>图文</t>
        </is>
      </c>
      <c r="H33" t="inlineStr">
        <is>
          <t>智利三文鱼切块·整条三文鱼·深海鱼一人食健康饮食</t>
        </is>
      </c>
      <c r="I33" t="inlineStr">
        <is>
          <t>691ac562a524ee0001b51d7b</t>
        </is>
      </c>
      <c r="J33" t="inlineStr">
        <is>
          <t/>
        </is>
      </c>
      <c r="K33" t="n">
        <v>4146.0</v>
      </c>
      <c r="L33" t="n">
        <v>26.0</v>
      </c>
      <c r="M33" t="n">
        <v>422.0</v>
      </c>
      <c r="N33" t="inlineStr">
        <is>
          <t>0.45278969957081544</t>
        </is>
      </c>
      <c r="O33" t="n">
        <v>386.0</v>
      </c>
      <c r="P33" t="n">
        <v>26.0</v>
      </c>
      <c r="Q33" t="inlineStr">
        <is>
          <t>0.061611374407582936</t>
        </is>
      </c>
      <c r="R33" t="inlineStr">
        <is>
          <t>0.06735751295336788</t>
        </is>
      </c>
      <c r="S33" t="n">
        <v>864.0</v>
      </c>
      <c r="T33" t="n">
        <v>3.0</v>
      </c>
      <c r="U33" t="n">
        <v>3.0</v>
      </c>
      <c r="V33" t="n">
        <v>864.0</v>
      </c>
      <c r="W33" t="inlineStr">
        <is>
          <t>0.20839363241678727</t>
        </is>
      </c>
      <c r="X33" t="n">
        <v>3.0</v>
      </c>
      <c r="Y33" t="n">
        <v>91.0</v>
      </c>
      <c r="Z33" t="n">
        <v>75.0</v>
      </c>
      <c r="AA33" t="n">
        <v>0.0</v>
      </c>
      <c r="AB33" t="n">
        <v>0.0</v>
      </c>
      <c r="AC33" t="n">
        <v>0.0</v>
      </c>
      <c r="AD33" t="n">
        <v>932.0</v>
      </c>
      <c r="AE33" t="n">
        <v>2.0</v>
      </c>
      <c r="AF33" t="n">
        <v>2.0</v>
      </c>
      <c r="AG33" t="n">
        <v>3.0</v>
      </c>
      <c r="AH33" t="n">
        <v>1.0</v>
      </c>
      <c r="AI33" t="n">
        <v>6.0</v>
      </c>
      <c r="AJ33" t="n">
        <v>0.0</v>
      </c>
      <c r="AK33" t="n">
        <v>24.255364806866954</v>
      </c>
      <c r="AL33" t="inlineStr">
        <is>
          <t/>
        </is>
      </c>
    </row>
    <row r="34">
      <c r="A34" t="inlineStr">
        <is>
          <t>马上五一了！又到了给老丈人送鲅鱼的时候了</t>
        </is>
      </c>
      <c r="B34" t="inlineStr">
        <is>
          <t>69e9ec580000000023015a62</t>
        </is>
      </c>
      <c r="C34" s="33" t="n">
        <f>HYPERLINK("https://www.xiaohongshu.com/explore/69e9ec580000000023015a62?xsec_token=TBNkLc7pOHvt_5tNJTpGNllAapqAufmMKibMSKQ_0JYLE=&amp;xsec_source=pc_trdark","https://www.xiaohongshu.com/explore/69e9ec580000000023015a62?xsec_token=TBNkLc7pOHvt_5tNJTpGNllAapqAufmMKibMSKQ_0JYLE=&amp;xsec_source=pc_trdark")</f>
        <v>0.0</v>
      </c>
      <c r="D34" t="inlineStr">
        <is>
          <t>鲜水湾</t>
        </is>
      </c>
      <c r="E34" t="inlineStr">
        <is>
          <t>49316638994</t>
        </is>
      </c>
      <c r="F34" t="inlineStr">
        <is>
          <t>2026-04-23 17:54:32</t>
        </is>
      </c>
      <c r="G34" t="inlineStr">
        <is>
          <t>图文</t>
        </is>
      </c>
      <c r="H34" t="inlineStr">
        <is>
          <t>青岛大鲅鱼春鲅鱼鲅鱼新鲜冷冻马鲛鱼蓝点马鲛鱼顺丰包邮</t>
        </is>
      </c>
      <c r="I34" t="inlineStr">
        <is>
          <t>6932506ad36285000198a8a6</t>
        </is>
      </c>
      <c r="J34" t="inlineStr">
        <is>
          <t/>
        </is>
      </c>
      <c r="K34" t="n">
        <v>992.0</v>
      </c>
      <c r="L34" t="n">
        <v>3.0</v>
      </c>
      <c r="M34" t="n">
        <v>133.0</v>
      </c>
      <c r="N34" t="inlineStr">
        <is>
          <t>0.15537383177570094</t>
        </is>
      </c>
      <c r="O34" t="n">
        <v>108.0</v>
      </c>
      <c r="P34" t="n">
        <v>3.0</v>
      </c>
      <c r="Q34" t="inlineStr">
        <is>
          <t>0.022556390977443608</t>
        </is>
      </c>
      <c r="R34" t="inlineStr">
        <is>
          <t>0.027777777777777776</t>
        </is>
      </c>
      <c r="S34" t="n">
        <v>248.0</v>
      </c>
      <c r="T34" t="n">
        <v>1.0</v>
      </c>
      <c r="U34" t="n">
        <v>1.0</v>
      </c>
      <c r="V34" t="n">
        <v>248.0</v>
      </c>
      <c r="W34" t="n">
        <v>0.25</v>
      </c>
      <c r="X34" t="n">
        <v>1.0</v>
      </c>
      <c r="Y34" t="n">
        <v>11.0</v>
      </c>
      <c r="Z34" t="n">
        <v>51.0</v>
      </c>
      <c r="AA34" t="n">
        <v>0.0</v>
      </c>
      <c r="AB34" t="n">
        <v>0.0</v>
      </c>
      <c r="AC34" t="n">
        <v>0.0</v>
      </c>
      <c r="AD34" t="n">
        <v>856.0</v>
      </c>
      <c r="AE34" t="n">
        <v>3.0</v>
      </c>
      <c r="AF34" t="n">
        <v>0.0</v>
      </c>
      <c r="AG34" t="n">
        <v>4.0</v>
      </c>
      <c r="AH34" t="n">
        <v>5.0</v>
      </c>
      <c r="AI34" t="n">
        <v>3.0</v>
      </c>
      <c r="AJ34" t="n">
        <v>0.0</v>
      </c>
      <c r="AK34" t="n">
        <v>11.466121495327103</v>
      </c>
      <c r="AL34" t="inlineStr">
        <is>
          <t/>
        </is>
      </c>
    </row>
    <row r="35">
      <c r="A35" t="inlineStr">
        <is>
          <t>区区300块够吃半个月三文鱼了</t>
        </is>
      </c>
      <c r="B35" t="inlineStr">
        <is>
          <t>69eefd7b000000001b021cad</t>
        </is>
      </c>
      <c r="C35" s="34" t="n">
        <f>HYPERLINK("https://www.xiaohongshu.com/explore/69eefd7b000000001b021cad?xsec_token=TB3JCI8OO3ItJ5gw9_OIE0bOZq6jA5OP-eklZQA-7S2WM=&amp;xsec_source=pc_trdark","https://www.xiaohongshu.com/explore/69eefd7b000000001b021cad?xsec_token=TB3JCI8OO3ItJ5gw9_OIE0bOZq6jA5OP-eklZQA-7S2WM=&amp;xsec_source=pc_trdark")</f>
        <v>0.0</v>
      </c>
      <c r="D35" t="inlineStr">
        <is>
          <t>鲜水湾</t>
        </is>
      </c>
      <c r="E35" t="inlineStr">
        <is>
          <t>49316638994</t>
        </is>
      </c>
      <c r="F35" t="inlineStr">
        <is>
          <t>2026-04-27 14:08:59</t>
        </is>
      </c>
      <c r="G35" t="inlineStr">
        <is>
          <t>图文</t>
        </is>
      </c>
      <c r="H35" t="inlineStr">
        <is>
          <t>智利三文鱼切块·整条三文鱼·深海鱼一人食健康饮食</t>
        </is>
      </c>
      <c r="I35" t="inlineStr">
        <is>
          <t>691ac562a524ee0001b51d7b</t>
        </is>
      </c>
      <c r="J35" t="inlineStr">
        <is>
          <t/>
        </is>
      </c>
      <c r="K35" t="n">
        <v>912.0</v>
      </c>
      <c r="L35" t="n">
        <v>4.0</v>
      </c>
      <c r="M35" t="n">
        <v>171.0</v>
      </c>
      <c r="N35" t="inlineStr">
        <is>
          <t>0.20236686390532543</t>
        </is>
      </c>
      <c r="O35" t="n">
        <v>146.0</v>
      </c>
      <c r="P35" t="n">
        <v>4.0</v>
      </c>
      <c r="Q35" t="inlineStr">
        <is>
          <t>0.023391812865497075</t>
        </is>
      </c>
      <c r="R35" t="n">
        <v>0.0273972602739726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49.0</v>
      </c>
      <c r="Z35" t="n">
        <v>54.0</v>
      </c>
      <c r="AA35" t="n">
        <v>0.0</v>
      </c>
      <c r="AB35" t="n">
        <v>0.0</v>
      </c>
      <c r="AC35" t="n">
        <v>0.0</v>
      </c>
      <c r="AD35" t="n">
        <v>845.0</v>
      </c>
      <c r="AE35" t="n">
        <v>15.0</v>
      </c>
      <c r="AF35" t="n">
        <v>7.0</v>
      </c>
      <c r="AG35" t="n">
        <v>0.0</v>
      </c>
      <c r="AH35" t="n">
        <v>3.0</v>
      </c>
      <c r="AI35" t="n">
        <v>4.0</v>
      </c>
      <c r="AJ35" t="n">
        <v>0.0</v>
      </c>
      <c r="AK35" t="n">
        <v>21.17869822485207</v>
      </c>
      <c r="AL35" t="inlineStr">
        <is>
          <t/>
        </is>
      </c>
    </row>
    <row r="36">
      <c r="A36" t="inlineStr">
        <is>
          <t>吃了15天虾的后果。。。</t>
        </is>
      </c>
      <c r="B36" t="inlineStr">
        <is>
          <t>69db7ec4000000001b020293</t>
        </is>
      </c>
      <c r="C36" s="35" t="n">
        <f>HYPERLINK("https://www.xiaohongshu.com/explore/69db7ec4000000001b020293?xsec_token=TBv7n0Oy0CPbFvgz473v78keQecbstGF0cUNv2hLl4Hho=&amp;xsec_source=pc_trdark","https://www.xiaohongshu.com/explore/69db7ec4000000001b020293?xsec_token=TBv7n0Oy0CPbFvgz473v78keQecbstGF0cUNv2hLl4Hho=&amp;xsec_source=pc_trdark")</f>
        <v>0.0</v>
      </c>
      <c r="D36" t="inlineStr">
        <is>
          <t>婉婉上班吃什么</t>
        </is>
      </c>
      <c r="E36" t="inlineStr">
        <is>
          <t>11434449706</t>
        </is>
      </c>
      <c r="F36" t="inlineStr">
        <is>
          <t>2026-04-12 19:15:17</t>
        </is>
      </c>
      <c r="G36" t="inlineStr">
        <is>
          <t>图文</t>
        </is>
      </c>
      <c r="H36" t="inlineStr">
        <is>
          <t>手剥虾仁 无冰衣无添加 低脂餐一人食 上班带饭 顺丰包邮 5盒装</t>
        </is>
      </c>
      <c r="I36" t="inlineStr">
        <is>
          <t>694baba01d450d00013662f0</t>
        </is>
      </c>
      <c r="J36" t="inlineStr">
        <is>
          <t/>
        </is>
      </c>
      <c r="K36" t="n">
        <v>404.0</v>
      </c>
      <c r="L36" t="n">
        <v>5.0</v>
      </c>
      <c r="M36" t="n">
        <v>92.0</v>
      </c>
      <c r="N36" t="inlineStr">
        <is>
          <t>0.11372064276885044</t>
        </is>
      </c>
      <c r="O36" t="n">
        <v>75.0</v>
      </c>
      <c r="P36" t="n">
        <v>5.0</v>
      </c>
      <c r="Q36" t="inlineStr">
        <is>
          <t>0.05434782608695652</t>
        </is>
      </c>
      <c r="R36" t="inlineStr">
        <is>
          <t>0.06666666666666667</t>
        </is>
      </c>
      <c r="S36" t="n">
        <v>69.0</v>
      </c>
      <c r="T36" t="n">
        <v>1.0</v>
      </c>
      <c r="U36" t="n">
        <v>1.0</v>
      </c>
      <c r="V36" t="n">
        <v>69.0</v>
      </c>
      <c r="W36" t="n">
        <v>0.1707920792079208</v>
      </c>
      <c r="X36" t="n">
        <v>1.0</v>
      </c>
      <c r="Y36" t="n">
        <v>16.0</v>
      </c>
      <c r="Z36" t="n">
        <v>19.0</v>
      </c>
      <c r="AA36" t="n">
        <v>0.0</v>
      </c>
      <c r="AB36" t="n">
        <v>0.0</v>
      </c>
      <c r="AC36" t="n">
        <v>0.0</v>
      </c>
      <c r="AD36" t="n">
        <v>809.0</v>
      </c>
      <c r="AE36" t="n">
        <v>8.0</v>
      </c>
      <c r="AF36" t="n">
        <v>1.0</v>
      </c>
      <c r="AG36" t="n">
        <v>2.0</v>
      </c>
      <c r="AH36" t="n">
        <v>1.0</v>
      </c>
      <c r="AI36" t="n">
        <v>0.0</v>
      </c>
      <c r="AJ36" t="n">
        <v>0.0</v>
      </c>
      <c r="AK36" t="n">
        <v>21.84796044499382</v>
      </c>
      <c r="AL36" t="inlineStr">
        <is>
          <t/>
        </is>
      </c>
    </row>
    <row r="37">
      <c r="A37" t="inlineStr">
        <is>
          <t>怎么没人和我说呀！五一要送大鲅鱼</t>
        </is>
      </c>
      <c r="B37" t="inlineStr">
        <is>
          <t>69e31a39000000001a037efd</t>
        </is>
      </c>
      <c r="C37" s="36" t="n">
        <f>HYPERLINK("https://www.xiaohongshu.com/explore/69e31a39000000001a037efd?xsec_token=TBdjj7K6Nlm9yT2LpYB6PpNmkKNlbtI457AB4c0BKoBV8=&amp;xsec_source=pc_trdark","https://www.xiaohongshu.com/explore/69e31a39000000001a037efd?xsec_token=TBdjj7K6Nlm9yT2LpYB6PpNmkKNlbtI457AB4c0BKoBV8=&amp;xsec_source=pc_trdark")</f>
        <v>0.0</v>
      </c>
      <c r="D37" t="inlineStr">
        <is>
          <t>鲜水湾</t>
        </is>
      </c>
      <c r="E37" t="inlineStr">
        <is>
          <t>49316638994</t>
        </is>
      </c>
      <c r="F37" t="inlineStr">
        <is>
          <t>2026-04-18 13:44:25</t>
        </is>
      </c>
      <c r="G37" t="inlineStr">
        <is>
          <t>图文</t>
        </is>
      </c>
      <c r="H37" t="inlineStr">
        <is>
          <t>青岛大鲅鱼春鲅鱼鲅鱼新鲜冷冻马鲛鱼蓝点马鲛鱼顺丰包邮</t>
        </is>
      </c>
      <c r="I37" t="inlineStr">
        <is>
          <t>6932506ad36285000198a8a6</t>
        </is>
      </c>
      <c r="J37" t="inlineStr">
        <is>
          <t/>
        </is>
      </c>
      <c r="K37" t="n">
        <v>317.9</v>
      </c>
      <c r="L37" t="n">
        <v>2.0</v>
      </c>
      <c r="M37" t="n">
        <v>122.0</v>
      </c>
      <c r="N37" t="inlineStr">
        <is>
          <t>0.16073781291172595</t>
        </is>
      </c>
      <c r="O37" t="n">
        <v>90.0</v>
      </c>
      <c r="P37" t="n">
        <v>2.0</v>
      </c>
      <c r="Q37" t="inlineStr">
        <is>
          <t>0.01639344262295082</t>
        </is>
      </c>
      <c r="R37" t="inlineStr">
        <is>
          <t>0.022222222222222223</t>
        </is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13.0</v>
      </c>
      <c r="Z37" t="n">
        <v>33.0</v>
      </c>
      <c r="AA37" t="n">
        <v>248.0</v>
      </c>
      <c r="AB37" t="n">
        <v>0.0</v>
      </c>
      <c r="AC37" t="n">
        <v>0.0</v>
      </c>
      <c r="AD37" t="n">
        <v>759.0</v>
      </c>
      <c r="AE37" t="n">
        <v>2.0</v>
      </c>
      <c r="AF37" t="n">
        <v>0.0</v>
      </c>
      <c r="AG37" t="n">
        <v>0.0</v>
      </c>
      <c r="AH37" t="n">
        <v>6.0</v>
      </c>
      <c r="AI37" t="n">
        <v>0.0</v>
      </c>
      <c r="AJ37" t="n">
        <v>0.0</v>
      </c>
      <c r="AK37" t="n">
        <v>12.055335968379447</v>
      </c>
      <c r="AL37" t="inlineStr">
        <is>
          <t/>
        </is>
      </c>
    </row>
    <row r="38">
      <c r="A38" t="inlineStr">
        <is>
          <t>跟爸妈商量后，推出一个月的量减脂餐</t>
        </is>
      </c>
      <c r="B38" t="inlineStr">
        <is>
          <t>69e88722000000001b022d7a</t>
        </is>
      </c>
      <c r="C38" s="37" t="n">
        <f>HYPERLINK("https://www.xiaohongshu.com/explore/69e88722000000001b022d7a?xsec_token=TBrsJGfbmdICsvnXoyd4QdRr-i9sAhrHb5WPojmpIT1Eg=&amp;xsec_source=pc_trdark","https://www.xiaohongshu.com/explore/69e88722000000001b022d7a?xsec_token=TBrsJGfbmdICsvnXoyd4QdRr-i9sAhrHb5WPojmpIT1Eg=&amp;xsec_source=pc_trdark")</f>
        <v>0.0</v>
      </c>
      <c r="D38" t="inlineStr">
        <is>
          <t>鲜水湾</t>
        </is>
      </c>
      <c r="E38" t="inlineStr">
        <is>
          <t>49316638994</t>
        </is>
      </c>
      <c r="F38" t="inlineStr">
        <is>
          <t>2026-04-22 16:30:26</t>
        </is>
      </c>
      <c r="G38" t="inlineStr">
        <is>
          <t>图文</t>
        </is>
      </c>
      <c r="H38" t="inlineStr">
        <is>
          <t>智利三文鱼切块·整条三文鱼·深海鱼一人食健康饮食</t>
        </is>
      </c>
      <c r="I38" t="inlineStr">
        <is>
          <t>691ac562a524ee0001b51d7b</t>
        </is>
      </c>
      <c r="J38" t="inlineStr">
        <is>
          <t/>
        </is>
      </c>
      <c r="K38" t="n">
        <v>932.0</v>
      </c>
      <c r="L38" t="n">
        <v>4.0</v>
      </c>
      <c r="M38" t="n">
        <v>140.0</v>
      </c>
      <c r="N38" t="n">
        <v>0.1907356948228883</v>
      </c>
      <c r="O38" t="n">
        <v>124.0</v>
      </c>
      <c r="P38" t="n">
        <v>4.0</v>
      </c>
      <c r="Q38" t="inlineStr">
        <is>
          <t>0.02857142857142857</t>
        </is>
      </c>
      <c r="R38" t="inlineStr">
        <is>
          <t>0.03225806451612903</t>
        </is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36.0</v>
      </c>
      <c r="Z38" t="n">
        <v>48.0</v>
      </c>
      <c r="AA38" t="n">
        <v>0.0</v>
      </c>
      <c r="AB38" t="n">
        <v>0.0</v>
      </c>
      <c r="AC38" t="n">
        <v>0.0</v>
      </c>
      <c r="AD38" t="n">
        <v>734.0</v>
      </c>
      <c r="AE38" t="n">
        <v>11.0</v>
      </c>
      <c r="AF38" t="n">
        <v>6.0</v>
      </c>
      <c r="AG38" t="n">
        <v>2.0</v>
      </c>
      <c r="AH38" t="n">
        <v>3.0</v>
      </c>
      <c r="AI38" t="n">
        <v>2.0</v>
      </c>
      <c r="AJ38" t="n">
        <v>0.0</v>
      </c>
      <c r="AK38" t="n">
        <v>21.088555858310627</v>
      </c>
      <c r="AL38" t="inlineStr">
        <is>
          <t/>
        </is>
      </c>
    </row>
    <row r="39">
      <c r="A39" t="inlineStr">
        <is>
          <t>69块解决了我一周的轻食餐…</t>
        </is>
      </c>
      <c r="B39" t="inlineStr">
        <is>
          <t>69e5ddcf000000002301c16a</t>
        </is>
      </c>
      <c r="C39" s="38" t="n">
        <f>HYPERLINK("https://www.xiaohongshu.com/explore/69e5ddcf000000002301c16a?xsec_token=TBRM_4pSbJalcnymykJyoKXaQkwv0yFHoz8cx14sLHxr0=&amp;xsec_source=pc_trdark","https://www.xiaohongshu.com/explore/69e5ddcf000000002301c16a?xsec_token=TBRM_4pSbJalcnymykJyoKXaQkwv0yFHoz8cx14sLHxr0=&amp;xsec_source=pc_trdark")</f>
        <v>0.0</v>
      </c>
      <c r="D39" t="inlineStr">
        <is>
          <t>婉婉上班吃什么</t>
        </is>
      </c>
      <c r="E39" t="inlineStr">
        <is>
          <t>11434449706</t>
        </is>
      </c>
      <c r="F39" t="inlineStr">
        <is>
          <t>2026-04-20 16:03:27</t>
        </is>
      </c>
      <c r="G39" t="inlineStr">
        <is>
          <t>图文</t>
        </is>
      </c>
      <c r="H39" t="inlineStr">
        <is>
          <t>手剥虾仁 无冰衣无添加 低脂餐一人食 上班带饭 顺丰包邮 5盒装</t>
        </is>
      </c>
      <c r="I39" t="inlineStr">
        <is>
          <t>694baba01d450d00013662f0</t>
        </is>
      </c>
      <c r="J39" t="inlineStr">
        <is>
          <t/>
        </is>
      </c>
      <c r="K39" t="n">
        <v>335.0</v>
      </c>
      <c r="L39" t="n">
        <v>4.0</v>
      </c>
      <c r="M39" t="n">
        <v>83.0</v>
      </c>
      <c r="N39" t="inlineStr">
        <is>
          <t>0.11448275862068966</t>
        </is>
      </c>
      <c r="O39" t="n">
        <v>75.0</v>
      </c>
      <c r="P39" t="n">
        <v>4.0</v>
      </c>
      <c r="Q39" t="inlineStr">
        <is>
          <t>0.04819277108433735</t>
        </is>
      </c>
      <c r="R39" t="inlineStr">
        <is>
          <t>0.05333333333333334</t>
        </is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14.0</v>
      </c>
      <c r="Z39" t="n">
        <v>21.0</v>
      </c>
      <c r="AA39" t="n">
        <v>0.0</v>
      </c>
      <c r="AB39" t="n">
        <v>0.0</v>
      </c>
      <c r="AC39" t="n">
        <v>0.0</v>
      </c>
      <c r="AD39" t="n">
        <v>725.0</v>
      </c>
      <c r="AE39" t="n">
        <v>5.0</v>
      </c>
      <c r="AF39" t="n">
        <v>1.0</v>
      </c>
      <c r="AG39" t="n">
        <v>0.0</v>
      </c>
      <c r="AH39" t="n">
        <v>2.0</v>
      </c>
      <c r="AI39" t="n">
        <v>0.0</v>
      </c>
      <c r="AJ39" t="n">
        <v>0.0</v>
      </c>
      <c r="AK39" t="n">
        <v>16.25103448275862</v>
      </c>
      <c r="AL39" t="inlineStr">
        <is>
          <t/>
        </is>
      </c>
    </row>
    <row r="40">
      <c r="A40" t="inlineStr">
        <is>
          <t>控体期发现一个比液断还牛的方法</t>
        </is>
      </c>
      <c r="B40" t="inlineStr">
        <is>
          <t>69d8ce0a000000001a02e88f</t>
        </is>
      </c>
      <c r="C40" s="39" t="n">
        <f>HYPERLINK("https://www.xiaohongshu.com/explore/69d8ce0a000000001a02e88f?xsec_token=TBaP4Vb_xh4r06-3Gp1C6IeOZZxYERWnqD7HFnEEF6zgo=&amp;xsec_source=pc_trdark","https://www.xiaohongshu.com/explore/69d8ce0a000000001a02e88f?xsec_token=TBaP4Vb_xh4r06-3Gp1C6IeOZZxYERWnqD7HFnEEF6zgo=&amp;xsec_source=pc_trdark")</f>
        <v>0.0</v>
      </c>
      <c r="D40" t="inlineStr">
        <is>
          <t>菲菲上班吃什么</t>
        </is>
      </c>
      <c r="E40" t="inlineStr">
        <is>
          <t>49936530607</t>
        </is>
      </c>
      <c r="F40" t="inlineStr">
        <is>
          <t>2026-04-10 18:16:42</t>
        </is>
      </c>
      <c r="G40" t="inlineStr">
        <is>
          <t>图文</t>
        </is>
      </c>
      <c r="H40" t="inlineStr">
        <is>
          <t>手剥虾仁 无冰衣无添加 低脂餐一人食 上班带饭 顺丰包邮 5盒装</t>
        </is>
      </c>
      <c r="I40" t="inlineStr">
        <is>
          <t>694baba01d450d00013662f0</t>
        </is>
      </c>
      <c r="J40" t="inlineStr">
        <is>
          <t/>
        </is>
      </c>
      <c r="K40" t="n">
        <v>69.0</v>
      </c>
      <c r="L40" t="n">
        <v>1.0</v>
      </c>
      <c r="M40" t="n">
        <v>23.0</v>
      </c>
      <c r="N40" t="inlineStr">
        <is>
          <t>0.032904148783977114</t>
        </is>
      </c>
      <c r="O40" t="n">
        <v>22.0</v>
      </c>
      <c r="P40" t="n">
        <v>1.0</v>
      </c>
      <c r="Q40" t="inlineStr">
        <is>
          <t>0.043478260869565216</t>
        </is>
      </c>
      <c r="R40" t="inlineStr">
        <is>
          <t>0.045454545454545456</t>
        </is>
      </c>
      <c r="S40" t="n">
        <v>69.0</v>
      </c>
      <c r="T40" t="n">
        <v>1.0</v>
      </c>
      <c r="U40" t="n">
        <v>1.0</v>
      </c>
      <c r="V40" t="n">
        <v>69.0</v>
      </c>
      <c r="W40" t="n">
        <v>1.0</v>
      </c>
      <c r="X40" t="n">
        <v>1.0</v>
      </c>
      <c r="Y40" t="n">
        <v>4.0</v>
      </c>
      <c r="Z40" t="n">
        <v>8.0</v>
      </c>
      <c r="AA40" t="n">
        <v>0.0</v>
      </c>
      <c r="AB40" t="n">
        <v>0.0</v>
      </c>
      <c r="AC40" t="n">
        <v>0.0</v>
      </c>
      <c r="AD40" t="n">
        <v>699.0</v>
      </c>
      <c r="AE40" t="n">
        <v>7.0</v>
      </c>
      <c r="AF40" t="n">
        <v>6.0</v>
      </c>
      <c r="AG40" t="n">
        <v>0.0</v>
      </c>
      <c r="AH40" t="n">
        <v>5.0</v>
      </c>
      <c r="AI40" t="n">
        <v>1.0</v>
      </c>
      <c r="AJ40" t="n">
        <v>0.0</v>
      </c>
      <c r="AK40" t="n">
        <v>18.490701001430615</v>
      </c>
      <c r="AL40" t="inlineStr">
        <is>
          <t/>
        </is>
      </c>
    </row>
    <row r="41">
      <c r="A41" t="inlineStr">
        <is>
          <t>希望整条三文鱼火，但火了又怕断货</t>
        </is>
      </c>
      <c r="B41" t="inlineStr">
        <is>
          <t>69e212da000000002003abc4</t>
        </is>
      </c>
      <c r="C41" s="40" t="n">
        <f>HYPERLINK("https://www.xiaohongshu.com/explore/69e212da000000002003abc4?xsec_token=TBOpzZAuw0pnbuw-toVufuLw3OmxzKg1odnRK2Z05OlmQ=&amp;xsec_source=pc_trdark","https://www.xiaohongshu.com/explore/69e212da000000002003abc4?xsec_token=TBOpzZAuw0pnbuw-toVufuLw3OmxzKg1odnRK2Z05OlmQ=&amp;xsec_source=pc_trdark")</f>
        <v>0.0</v>
      </c>
      <c r="D41" t="inlineStr">
        <is>
          <t>鲜水湾</t>
        </is>
      </c>
      <c r="E41" t="inlineStr">
        <is>
          <t>49316638994</t>
        </is>
      </c>
      <c r="F41" t="inlineStr">
        <is>
          <t>2026-04-17 19:00:42</t>
        </is>
      </c>
      <c r="G41" t="inlineStr">
        <is>
          <t>图文</t>
        </is>
      </c>
      <c r="H41" t="inlineStr">
        <is>
          <t>智利三文鱼切块·整条三文鱼·深海鱼一人食健康饮食</t>
        </is>
      </c>
      <c r="I41" t="inlineStr">
        <is>
          <t>691ac562a524ee0001b51d7b</t>
        </is>
      </c>
      <c r="J41" t="inlineStr">
        <is>
          <t/>
        </is>
      </c>
      <c r="K41" t="n">
        <v>118.0</v>
      </c>
      <c r="L41" t="n">
        <v>1.0</v>
      </c>
      <c r="M41" t="n">
        <v>105.0</v>
      </c>
      <c r="N41" t="inlineStr">
        <is>
          <t>0.16203703703703703</t>
        </is>
      </c>
      <c r="O41" t="n">
        <v>88.0</v>
      </c>
      <c r="P41" t="n">
        <v>1.0</v>
      </c>
      <c r="Q41" t="inlineStr">
        <is>
          <t>0.009523809523809525</t>
        </is>
      </c>
      <c r="R41" t="inlineStr">
        <is>
          <t>0.011363636363636364</t>
        </is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26.0</v>
      </c>
      <c r="Z41" t="n">
        <v>35.0</v>
      </c>
      <c r="AA41" t="n">
        <v>0.0</v>
      </c>
      <c r="AB41" t="n">
        <v>0.0</v>
      </c>
      <c r="AC41" t="n">
        <v>0.0</v>
      </c>
      <c r="AD41" t="n">
        <v>648.0</v>
      </c>
      <c r="AE41" t="n">
        <v>5.0</v>
      </c>
      <c r="AF41" t="n">
        <v>3.0</v>
      </c>
      <c r="AG41" t="n">
        <v>0.0</v>
      </c>
      <c r="AH41" t="n">
        <v>2.0</v>
      </c>
      <c r="AI41" t="n">
        <v>0.0</v>
      </c>
      <c r="AJ41" t="n">
        <v>0.0</v>
      </c>
      <c r="AK41" t="n">
        <v>19.703703703703702</v>
      </c>
      <c r="AL41" t="inlineStr">
        <is>
          <t/>
        </is>
      </c>
    </row>
    <row r="42">
      <c r="A42" t="inlineStr">
        <is>
          <t>真的感受到100块的购买力了</t>
        </is>
      </c>
      <c r="B42" t="inlineStr">
        <is>
          <t>69ddf238000000001f0032d6</t>
        </is>
      </c>
      <c r="C42" s="41" t="n">
        <f>HYPERLINK("https://www.xiaohongshu.com/explore/69ddf238000000001f0032d6?xsec_token=TB8r3ufLA5jFsQMlCYrT2kPmjulziUzC-F_oTdGhPOh8Q=&amp;xsec_source=pc_trdark","https://www.xiaohongshu.com/explore/69ddf238000000001f0032d6?xsec_token=TB8r3ufLA5jFsQMlCYrT2kPmjulziUzC-F_oTdGhPOh8Q=&amp;xsec_source=pc_trdark")</f>
        <v>0.0</v>
      </c>
      <c r="D42" t="inlineStr">
        <is>
          <t>婉婉上班吃什么</t>
        </is>
      </c>
      <c r="E42" t="inlineStr">
        <is>
          <t>11434449706</t>
        </is>
      </c>
      <c r="F42" t="inlineStr">
        <is>
          <t>2026-04-14 15:52:24</t>
        </is>
      </c>
      <c r="G42" t="inlineStr">
        <is>
          <t>图文</t>
        </is>
      </c>
      <c r="H42" t="inlineStr">
        <is>
          <t>手剥虾仁 无冰衣无添加 低脂餐一人食 上班带饭 顺丰包邮 5盒装</t>
        </is>
      </c>
      <c r="I42" t="inlineStr">
        <is>
          <t>694baba01d450d00013662f0</t>
        </is>
      </c>
      <c r="J42" t="inlineStr">
        <is>
          <t/>
        </is>
      </c>
      <c r="K42" t="n">
        <v>532.0</v>
      </c>
      <c r="L42" t="n">
        <v>5.0</v>
      </c>
      <c r="M42" t="n">
        <v>114.0</v>
      </c>
      <c r="N42" t="inlineStr">
        <is>
          <t>0.18009478672985782</t>
        </is>
      </c>
      <c r="O42" t="n">
        <v>101.0</v>
      </c>
      <c r="P42" t="n">
        <v>5.0</v>
      </c>
      <c r="Q42" t="inlineStr">
        <is>
          <t>0.043859649122807015</t>
        </is>
      </c>
      <c r="R42" t="inlineStr">
        <is>
          <t>0.04950495049504951</t>
        </is>
      </c>
      <c r="S42" t="n">
        <v>128.0</v>
      </c>
      <c r="T42" t="n">
        <v>1.0</v>
      </c>
      <c r="U42" t="n">
        <v>1.0</v>
      </c>
      <c r="V42" t="n">
        <v>128.0</v>
      </c>
      <c r="W42" t="inlineStr">
        <is>
          <t>0.24060150375939848</t>
        </is>
      </c>
      <c r="X42" t="n">
        <v>1.0</v>
      </c>
      <c r="Y42" t="n">
        <v>27.0</v>
      </c>
      <c r="Z42" t="n">
        <v>34.0</v>
      </c>
      <c r="AA42" t="n">
        <v>0.0</v>
      </c>
      <c r="AB42" t="n">
        <v>0.0</v>
      </c>
      <c r="AC42" t="n">
        <v>0.0</v>
      </c>
      <c r="AD42" t="n">
        <v>633.0</v>
      </c>
      <c r="AE42" t="n">
        <v>8.0</v>
      </c>
      <c r="AF42" t="n">
        <v>1.0</v>
      </c>
      <c r="AG42" t="n">
        <v>0.0</v>
      </c>
      <c r="AH42" t="n">
        <v>1.0</v>
      </c>
      <c r="AI42" t="n">
        <v>0.0</v>
      </c>
      <c r="AJ42" t="n">
        <v>0.0</v>
      </c>
      <c r="AK42" t="n">
        <v>18.031595576619274</v>
      </c>
      <c r="AL42" t="inlineStr">
        <is>
          <t/>
        </is>
      </c>
    </row>
    <row r="43">
      <c r="A43" t="inlineStr">
        <is>
          <t>为啥很少有人减脂主食吃虾仁</t>
        </is>
      </c>
      <c r="B43" t="inlineStr">
        <is>
          <t>69eeca9e0000000035038cd1</t>
        </is>
      </c>
      <c r="C43" s="42" t="n">
        <f>HYPERLINK("https://www.xiaohongshu.com/explore/69eeca9e0000000035038cd1?xsec_token=TB3JCI8OO3ItJ5gw9_OIE0bOCuJGuQ9Vg28vQfNg1MqlY=&amp;xsec_source=pc_trdark","https://www.xiaohongshu.com/explore/69eeca9e0000000035038cd1?xsec_token=TB3JCI8OO3ItJ5gw9_OIE0bOCuJGuQ9Vg28vQfNg1MqlY=&amp;xsec_source=pc_trdark")</f>
        <v>0.0</v>
      </c>
      <c r="D43" t="inlineStr">
        <is>
          <t>鲜水湾甄选</t>
        </is>
      </c>
      <c r="E43" t="inlineStr">
        <is>
          <t>27401929161</t>
        </is>
      </c>
      <c r="F43" t="inlineStr">
        <is>
          <t>2026-04-27 10:31:58</t>
        </is>
      </c>
      <c r="G43" t="inlineStr">
        <is>
          <t>图文</t>
        </is>
      </c>
      <c r="H43" t="inlineStr">
        <is>
          <t>手剥虾仁 无冰衣无添加 低脂餐一人食 上班带饭 顺丰包邮 5盒装</t>
        </is>
      </c>
      <c r="I43" t="inlineStr">
        <is>
          <t>694baba01d450d00013662f0</t>
        </is>
      </c>
      <c r="J43" t="inlineStr">
        <is>
          <t/>
        </is>
      </c>
      <c r="K43" t="n">
        <v>256.0</v>
      </c>
      <c r="L43" t="n">
        <v>2.0</v>
      </c>
      <c r="M43" t="n">
        <v>95.0</v>
      </c>
      <c r="N43" t="n">
        <v>0.1527331189710611</v>
      </c>
      <c r="O43" t="n">
        <v>78.0</v>
      </c>
      <c r="P43" t="n">
        <v>2.0</v>
      </c>
      <c r="Q43" t="inlineStr">
        <is>
          <t>0.021052631578947368</t>
        </is>
      </c>
      <c r="R43" t="inlineStr">
        <is>
          <t>0.02564102564102564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19.0</v>
      </c>
      <c r="Z43" t="n">
        <v>18.0</v>
      </c>
      <c r="AA43" t="n">
        <v>0.0</v>
      </c>
      <c r="AB43" t="n">
        <v>0.0</v>
      </c>
      <c r="AC43" t="n">
        <v>0.0</v>
      </c>
      <c r="AD43" t="n">
        <v>622.0</v>
      </c>
      <c r="AE43" t="n">
        <v>1.0</v>
      </c>
      <c r="AF43" t="n">
        <v>2.0</v>
      </c>
      <c r="AG43" t="n">
        <v>2.0</v>
      </c>
      <c r="AH43" t="n">
        <v>2.0</v>
      </c>
      <c r="AI43" t="n">
        <v>0.0</v>
      </c>
      <c r="AJ43" t="n">
        <v>0.0</v>
      </c>
      <c r="AK43" t="n">
        <v>17.758842443729904</v>
      </c>
      <c r="AL43" t="inlineStr">
        <is>
          <t/>
        </is>
      </c>
    </row>
    <row r="44">
      <c r="A44" t="inlineStr">
        <is>
          <t>真别低估了100来块的购买力，够吃半个月了</t>
        </is>
      </c>
      <c r="B44" t="inlineStr">
        <is>
          <t>69c4d7c300000000200387da</t>
        </is>
      </c>
      <c r="C44" s="43" t="n">
        <f>HYPERLINK("https://www.xiaohongshu.com/explore/69c4d7c300000000200387da?xsec_token=TBIVv4KG_Is8XT8uyOgDE1R0ZsRnUUTJR6R_fiRutAnVc=&amp;xsec_source=pc_trdark","https://www.xiaohongshu.com/explore/69c4d7c300000000200387da?xsec_token=TBIVv4KG_Is8XT8uyOgDE1R0ZsRnUUTJR6R_fiRutAnVc=&amp;xsec_source=pc_trdark")</f>
        <v>0.0</v>
      </c>
      <c r="D44" t="inlineStr">
        <is>
          <t>鲜水湾</t>
        </is>
      </c>
      <c r="E44" t="inlineStr">
        <is>
          <t>49316638994</t>
        </is>
      </c>
      <c r="F44" t="inlineStr">
        <is>
          <t>2026-03-26 14:52:51</t>
        </is>
      </c>
      <c r="G44" t="inlineStr">
        <is>
          <t>图文</t>
        </is>
      </c>
      <c r="H44" t="inlineStr">
        <is>
          <t>手剥虾仁 无冰衣无添加 低脂餐一人食 上班带饭 顺丰包邮 5盒装</t>
        </is>
      </c>
      <c r="I44" t="inlineStr">
        <is>
          <t>694baba01d450d00013662f0</t>
        </is>
      </c>
      <c r="J44" t="inlineStr">
        <is>
          <t/>
        </is>
      </c>
      <c r="K44" t="n">
        <v>532.0</v>
      </c>
      <c r="L44" t="n">
        <v>6.0</v>
      </c>
      <c r="M44" t="n">
        <v>129.0</v>
      </c>
      <c r="N44" t="n">
        <v>0.2175379426644182</v>
      </c>
      <c r="O44" t="n">
        <v>115.0</v>
      </c>
      <c r="P44" t="n">
        <v>6.0</v>
      </c>
      <c r="Q44" t="inlineStr">
        <is>
          <t>0.046511627906976744</t>
        </is>
      </c>
      <c r="R44" t="inlineStr">
        <is>
          <t>0.05217391304347826</t>
        </is>
      </c>
      <c r="S44" t="n">
        <v>138.0</v>
      </c>
      <c r="T44" t="n">
        <v>2.0</v>
      </c>
      <c r="U44" t="n">
        <v>2.0</v>
      </c>
      <c r="V44" t="n">
        <v>138.0</v>
      </c>
      <c r="W44" t="n">
        <v>0.2593984962406015</v>
      </c>
      <c r="X44" t="n">
        <v>2.0</v>
      </c>
      <c r="Y44" t="n">
        <v>15.0</v>
      </c>
      <c r="Z44" t="n">
        <v>40.0</v>
      </c>
      <c r="AA44" t="n">
        <v>0.0</v>
      </c>
      <c r="AB44" t="n">
        <v>0.0</v>
      </c>
      <c r="AC44" t="n">
        <v>0.0</v>
      </c>
      <c r="AD44" t="n">
        <v>593.0</v>
      </c>
      <c r="AE44" t="n">
        <v>4.0</v>
      </c>
      <c r="AF44" t="n">
        <v>4.0</v>
      </c>
      <c r="AG44" t="n">
        <v>2.0</v>
      </c>
      <c r="AH44" t="n">
        <v>1.0</v>
      </c>
      <c r="AI44" t="n">
        <v>0.0</v>
      </c>
      <c r="AJ44" t="n">
        <v>0.0</v>
      </c>
      <c r="AK44" t="n">
        <v>15.701517706576729</v>
      </c>
      <c r="AL44" t="inlineStr">
        <is>
          <t/>
        </is>
      </c>
    </row>
    <row r="45">
      <c r="A45" t="inlineStr">
        <is>
          <t>某姆很好，但没有小包装真的劝退</t>
        </is>
      </c>
      <c r="B45" t="inlineStr">
        <is>
          <t>69db4e240000000023014b5b</t>
        </is>
      </c>
      <c r="C45" s="44" t="n">
        <f>HYPERLINK("https://www.xiaohongshu.com/explore/69db4e240000000023014b5b?xsec_token=TBv7n0Oy0CPbFvgz473v78kYjCIf6cx4_xmAQmDSGhkxA=&amp;xsec_source=pc_trdark","https://www.xiaohongshu.com/explore/69db4e240000000023014b5b?xsec_token=TBv7n0Oy0CPbFvgz473v78kYjCIf6cx4_xmAQmDSGhkxA=&amp;xsec_source=pc_trdark")</f>
        <v>0.0</v>
      </c>
      <c r="D45" t="inlineStr">
        <is>
          <t>鲜水湾</t>
        </is>
      </c>
      <c r="E45" t="inlineStr">
        <is>
          <t>49316638994</t>
        </is>
      </c>
      <c r="F45" t="inlineStr">
        <is>
          <t>2026-04-12 15:47:48</t>
        </is>
      </c>
      <c r="G45" t="inlineStr">
        <is>
          <t>图文</t>
        </is>
      </c>
      <c r="H45" t="inlineStr">
        <is>
          <t>手剥虾仁 无冰衣无添加 低脂餐一人食 上班带饭 顺丰包邮 5盒装</t>
        </is>
      </c>
      <c r="I45" t="inlineStr">
        <is>
          <t>694baba01d450d00013662f0</t>
        </is>
      </c>
      <c r="J45" t="inlineStr">
        <is>
          <t/>
        </is>
      </c>
      <c r="K45" t="n">
        <v>138.0</v>
      </c>
      <c r="L45" t="n">
        <v>2.0</v>
      </c>
      <c r="M45" t="n">
        <v>47.0</v>
      </c>
      <c r="N45" t="inlineStr">
        <is>
          <t>0.08103448275862069</t>
        </is>
      </c>
      <c r="O45" t="n">
        <v>42.0</v>
      </c>
      <c r="P45" t="n">
        <v>2.0</v>
      </c>
      <c r="Q45" t="n">
        <v>0.0425531914893617</v>
      </c>
      <c r="R45" t="inlineStr">
        <is>
          <t>0.047619047619047616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14.0</v>
      </c>
      <c r="Z45" t="n">
        <v>15.0</v>
      </c>
      <c r="AA45" t="n">
        <v>0.0</v>
      </c>
      <c r="AB45" t="n">
        <v>0.0</v>
      </c>
      <c r="AC45" t="n">
        <v>0.0</v>
      </c>
      <c r="AD45" t="n">
        <v>580.0</v>
      </c>
      <c r="AE45" t="n">
        <v>3.0</v>
      </c>
      <c r="AF45" t="n">
        <v>0.0</v>
      </c>
      <c r="AG45" t="n">
        <v>0.0</v>
      </c>
      <c r="AH45" t="n">
        <v>1.0</v>
      </c>
      <c r="AI45" t="n">
        <v>0.0</v>
      </c>
      <c r="AJ45" t="n">
        <v>0.0</v>
      </c>
      <c r="AK45" t="n">
        <v>12.587931034482759</v>
      </c>
      <c r="AL45" t="inlineStr">
        <is>
          <t/>
        </is>
      </c>
    </row>
    <row r="46">
      <c r="A46" t="inlineStr">
        <is>
          <t>错过可惜！一整条鱼才300来块……</t>
        </is>
      </c>
      <c r="B46" t="inlineStr">
        <is>
          <t>69e5ecdb000000002301d4b7</t>
        </is>
      </c>
      <c r="C46" s="45" t="n">
        <f>HYPERLINK("https://www.xiaohongshu.com/explore/69e5ecdb000000002301d4b7?xsec_token=TBRM_4pSbJalcnymykJyoKXSATbPzBCmo2Nd56vwuDjLU=&amp;xsec_source=pc_trdark","https://www.xiaohongshu.com/explore/69e5ecdb000000002301d4b7?xsec_token=TBRM_4pSbJalcnymykJyoKXSATbPzBCmo2Nd56vwuDjLU=&amp;xsec_source=pc_trdark")</f>
        <v>0.0</v>
      </c>
      <c r="D46" t="inlineStr">
        <is>
          <t>婉婉上班吃什么</t>
        </is>
      </c>
      <c r="E46" t="inlineStr">
        <is>
          <t>11434449706</t>
        </is>
      </c>
      <c r="F46" t="inlineStr">
        <is>
          <t>2026-04-20 17:07:39</t>
        </is>
      </c>
      <c r="G46" t="inlineStr">
        <is>
          <t>图文</t>
        </is>
      </c>
      <c r="H46" t="inlineStr">
        <is>
          <t>智利三文鱼切块·整条三文鱼·深海鱼一人食健康饮食</t>
        </is>
      </c>
      <c r="I46" t="inlineStr">
        <is>
          <t>691ac562a524ee0001b51d7b</t>
        </is>
      </c>
      <c r="J46" t="inlineStr">
        <is>
          <t/>
        </is>
      </c>
      <c r="K46" t="n">
        <v>304.0</v>
      </c>
      <c r="L46" t="n">
        <v>3.0</v>
      </c>
      <c r="M46" t="n">
        <v>115.0</v>
      </c>
      <c r="N46" t="inlineStr">
        <is>
          <t>0.20210896309314588</t>
        </is>
      </c>
      <c r="O46" t="n">
        <v>97.0</v>
      </c>
      <c r="P46" t="n">
        <v>3.0</v>
      </c>
      <c r="Q46" t="inlineStr">
        <is>
          <t>0.02608695652173913</t>
        </is>
      </c>
      <c r="R46" t="inlineStr">
        <is>
          <t>0.030927835051546393</t>
        </is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29.0</v>
      </c>
      <c r="Z46" t="n">
        <v>27.0</v>
      </c>
      <c r="AA46" t="n">
        <v>0.0</v>
      </c>
      <c r="AB46" t="n">
        <v>0.0</v>
      </c>
      <c r="AC46" t="n">
        <v>0.0</v>
      </c>
      <c r="AD46" t="n">
        <v>569.0</v>
      </c>
      <c r="AE46" t="n">
        <v>4.0</v>
      </c>
      <c r="AF46" t="n">
        <v>2.0</v>
      </c>
      <c r="AG46" t="n">
        <v>0.0</v>
      </c>
      <c r="AH46" t="n">
        <v>1.0</v>
      </c>
      <c r="AI46" t="n">
        <v>1.0</v>
      </c>
      <c r="AJ46" t="n">
        <v>0.0</v>
      </c>
      <c r="AK46" t="n">
        <v>23.323374340949034</v>
      </c>
      <c r="AL46" t="inlineStr">
        <is>
          <t/>
        </is>
      </c>
    </row>
    <row r="47">
      <c r="A47" t="inlineStr">
        <is>
          <t>真的不比山母合马的差呀</t>
        </is>
      </c>
      <c r="B47" t="inlineStr">
        <is>
          <t>69dfa529000000001a02ef04</t>
        </is>
      </c>
      <c r="C47" s="46" t="n">
        <f>HYPERLINK("https://www.xiaohongshu.com/explore/69dfa529000000001a02ef04?xsec_token=TBbELi6fdmnK2TYKEzYY0fWobOaVNVewx8JC2zMGlrU5k=&amp;xsec_source=pc_trdark","https://www.xiaohongshu.com/explore/69dfa529000000001a02ef04?xsec_token=TBbELi6fdmnK2TYKEzYY0fWobOaVNVewx8JC2zMGlrU5k=&amp;xsec_source=pc_trdark")</f>
        <v>0.0</v>
      </c>
      <c r="D47" t="inlineStr">
        <is>
          <t>婉婉上班吃什么</t>
        </is>
      </c>
      <c r="E47" t="inlineStr">
        <is>
          <t>11434449706</t>
        </is>
      </c>
      <c r="F47" t="inlineStr">
        <is>
          <t>2026-04-15 22:48:09</t>
        </is>
      </c>
      <c r="G47" t="inlineStr">
        <is>
          <t>图文</t>
        </is>
      </c>
      <c r="H47" t="inlineStr">
        <is>
          <t>智利三文鱼切块·整条三文鱼·深海鱼一人食健康饮食</t>
        </is>
      </c>
      <c r="I47" t="inlineStr">
        <is>
          <t>691ac562a524ee0001b51d7b</t>
        </is>
      </c>
      <c r="J47" t="inlineStr">
        <is>
          <t/>
        </is>
      </c>
      <c r="K47" t="n">
        <v>182.84</v>
      </c>
      <c r="L47" t="n">
        <v>2.0</v>
      </c>
      <c r="M47" t="n">
        <v>78.0</v>
      </c>
      <c r="N47" t="inlineStr">
        <is>
          <t>0.13805309734513274</t>
        </is>
      </c>
      <c r="O47" t="n">
        <v>67.0</v>
      </c>
      <c r="P47" t="n">
        <v>2.0</v>
      </c>
      <c r="Q47" t="inlineStr">
        <is>
          <t>0.02564102564102564</t>
        </is>
      </c>
      <c r="R47" t="inlineStr">
        <is>
          <t>0.029850746268656716</t>
        </is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19.0</v>
      </c>
      <c r="Z47" t="n">
        <v>23.0</v>
      </c>
      <c r="AA47" t="n">
        <v>0.0</v>
      </c>
      <c r="AB47" t="n">
        <v>0.0</v>
      </c>
      <c r="AC47" t="n">
        <v>0.0</v>
      </c>
      <c r="AD47" t="n">
        <v>565.0</v>
      </c>
      <c r="AE47" t="n">
        <v>2.0</v>
      </c>
      <c r="AF47" t="n">
        <v>0.0</v>
      </c>
      <c r="AG47" t="n">
        <v>0.0</v>
      </c>
      <c r="AH47" t="n">
        <v>2.0</v>
      </c>
      <c r="AI47" t="n">
        <v>0.0</v>
      </c>
      <c r="AJ47" t="n">
        <v>0.0</v>
      </c>
      <c r="AK47" t="n">
        <v>18.964601769911503</v>
      </c>
      <c r="AL47" t="inlineStr">
        <is>
          <t/>
        </is>
      </c>
    </row>
    <row r="48">
      <c r="A48" t="inlineStr">
        <is>
          <t>和爸妈商量后，专为减脂姐妹推出的小包装🍤</t>
        </is>
      </c>
      <c r="B48" t="inlineStr">
        <is>
          <t>69e8276c000000001f0077f2</t>
        </is>
      </c>
      <c r="C48" s="47" t="n">
        <f>HYPERLINK("https://www.xiaohongshu.com/explore/69e8276c000000001f0077f2?xsec_token=TBrsJGfbmdICsvnXoyd4QdRj3VNgqEeWuNLU9d2hzV6a8=&amp;xsec_source=pc_trdark","https://www.xiaohongshu.com/explore/69e8276c000000001f0077f2?xsec_token=TBrsJGfbmdICsvnXoyd4QdRj3VNgqEeWuNLU9d2hzV6a8=&amp;xsec_source=pc_trdark")</f>
        <v>0.0</v>
      </c>
      <c r="D48" t="inlineStr">
        <is>
          <t>菲菲上班吃什么</t>
        </is>
      </c>
      <c r="E48" t="inlineStr">
        <is>
          <t>49936530607</t>
        </is>
      </c>
      <c r="F48" t="inlineStr">
        <is>
          <t>2026-04-22 09:42:04</t>
        </is>
      </c>
      <c r="G48" t="inlineStr">
        <is>
          <t>图文</t>
        </is>
      </c>
      <c r="H48" t="inlineStr">
        <is>
          <t>手剥虾仁 无冰衣无添加 低脂餐一人食 上班带饭 顺丰包邮 5盒装</t>
        </is>
      </c>
      <c r="I48" t="inlineStr">
        <is>
          <t>694baba01d450d00013662f0</t>
        </is>
      </c>
      <c r="J48" t="inlineStr">
        <is>
          <t/>
        </is>
      </c>
      <c r="K48" t="n">
        <v>197.0</v>
      </c>
      <c r="L48" t="n">
        <v>2.0</v>
      </c>
      <c r="M48" t="n">
        <v>103.0</v>
      </c>
      <c r="N48" t="inlineStr">
        <is>
          <t>0.18425760286225404</t>
        </is>
      </c>
      <c r="O48" t="n">
        <v>95.0</v>
      </c>
      <c r="P48" t="n">
        <v>2.0</v>
      </c>
      <c r="Q48" t="inlineStr">
        <is>
          <t>0.019417475728155338</t>
        </is>
      </c>
      <c r="R48" t="inlineStr">
        <is>
          <t>0.021052631578947368</t>
        </is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32.0</v>
      </c>
      <c r="Z48" t="n">
        <v>22.0</v>
      </c>
      <c r="AA48" t="n">
        <v>0.0</v>
      </c>
      <c r="AB48" t="n">
        <v>0.0</v>
      </c>
      <c r="AC48" t="n">
        <v>0.0</v>
      </c>
      <c r="AD48" t="n">
        <v>559.0</v>
      </c>
      <c r="AE48" t="n">
        <v>8.0</v>
      </c>
      <c r="AF48" t="n">
        <v>3.0</v>
      </c>
      <c r="AG48" t="n">
        <v>0.0</v>
      </c>
      <c r="AH48" t="n">
        <v>1.0</v>
      </c>
      <c r="AI48" t="n">
        <v>1.0</v>
      </c>
      <c r="AJ48" t="n">
        <v>0.0</v>
      </c>
      <c r="AK48" t="n">
        <v>17.373881932021465</v>
      </c>
      <c r="AL48" t="inlineStr">
        <is>
          <t/>
        </is>
      </c>
    </row>
    <row r="49">
      <c r="A49" t="inlineStr">
        <is>
          <t>现在的年轻人严重低估顾客69块的购买力…</t>
        </is>
      </c>
      <c r="B49" t="inlineStr">
        <is>
          <t>69e58cb5000000001e00ef68</t>
        </is>
      </c>
      <c r="C49" s="48" t="n">
        <f>HYPERLINK("https://www.xiaohongshu.com/explore/69e58cb5000000001e00ef68?xsec_token=TBRM_4pSbJalcnymykJyoKXf8QGvpc34heW_57-fbhPXQ=&amp;xsec_source=pc_trdark","https://www.xiaohongshu.com/explore/69e58cb5000000001e00ef68?xsec_token=TBRM_4pSbJalcnymykJyoKXf8QGvpc34heW_57-fbhPXQ=&amp;xsec_source=pc_trdark")</f>
        <v>0.0</v>
      </c>
      <c r="D49" t="inlineStr">
        <is>
          <t>菲菲上班吃什么</t>
        </is>
      </c>
      <c r="E49" t="inlineStr">
        <is>
          <t>49936530607</t>
        </is>
      </c>
      <c r="F49" t="inlineStr">
        <is>
          <t>2026-04-20 10:17:25</t>
        </is>
      </c>
      <c r="G49" t="inlineStr">
        <is>
          <t>图文</t>
        </is>
      </c>
      <c r="H49" t="inlineStr">
        <is>
          <t>手剥虾仁 无冰衣无添加 低脂餐一人食 上班带饭 顺丰包邮 5盒装</t>
        </is>
      </c>
      <c r="I49" t="inlineStr">
        <is>
          <t>694baba01d450d00013662f0</t>
        </is>
      </c>
      <c r="J49" t="inlineStr">
        <is>
          <t/>
        </is>
      </c>
      <c r="K49" t="n">
        <v>404.0</v>
      </c>
      <c r="L49" t="n">
        <v>5.0</v>
      </c>
      <c r="M49" t="n">
        <v>92.0</v>
      </c>
      <c r="N49" t="inlineStr">
        <is>
          <t>0.16636528028933092</t>
        </is>
      </c>
      <c r="O49" t="n">
        <v>80.0</v>
      </c>
      <c r="P49" t="n">
        <v>5.0</v>
      </c>
      <c r="Q49" t="inlineStr">
        <is>
          <t>0.05434782608695652</t>
        </is>
      </c>
      <c r="R49" t="n">
        <v>0.0625</v>
      </c>
      <c r="S49" t="n">
        <v>128.0</v>
      </c>
      <c r="T49" t="n">
        <v>1.0</v>
      </c>
      <c r="U49" t="n">
        <v>1.0</v>
      </c>
      <c r="V49" t="n">
        <v>128.0</v>
      </c>
      <c r="W49" t="inlineStr">
        <is>
          <t>0.31683168316831684</t>
        </is>
      </c>
      <c r="X49" t="n">
        <v>1.0</v>
      </c>
      <c r="Y49" t="n">
        <v>18.0</v>
      </c>
      <c r="Z49" t="n">
        <v>15.0</v>
      </c>
      <c r="AA49" t="n">
        <v>0.0</v>
      </c>
      <c r="AB49" t="n">
        <v>0.0</v>
      </c>
      <c r="AC49" t="n">
        <v>0.0</v>
      </c>
      <c r="AD49" t="n">
        <v>553.0</v>
      </c>
      <c r="AE49" t="n">
        <v>9.0</v>
      </c>
      <c r="AF49" t="n">
        <v>3.0</v>
      </c>
      <c r="AG49" t="n">
        <v>0.0</v>
      </c>
      <c r="AH49" t="n">
        <v>1.0</v>
      </c>
      <c r="AI49" t="n">
        <v>1.0</v>
      </c>
      <c r="AJ49" t="n">
        <v>0.0</v>
      </c>
      <c r="AK49" t="n">
        <v>13.779385171790235</v>
      </c>
      <c r="AL49" t="inlineStr">
        <is>
          <t/>
        </is>
      </c>
    </row>
    <row r="50">
      <c r="A50" t="inlineStr">
        <is>
          <t>年轻人严重低估了69块的购买力！</t>
        </is>
      </c>
      <c r="B50" t="inlineStr">
        <is>
          <t>69ccdff8000000001f0029f5</t>
        </is>
      </c>
      <c r="C50" s="49" t="n">
        <f>HYPERLINK("https://www.xiaohongshu.com/explore/69ccdff8000000001f0029f5?xsec_token=TBmwaR-CbxUmnLfgemf1f-glwEGzU2rTdZwFnkXelqdPk=&amp;xsec_source=pc_trdark","https://www.xiaohongshu.com/explore/69ccdff8000000001f0029f5?xsec_token=TBmwaR-CbxUmnLfgemf1f-glwEGzU2rTdZwFnkXelqdPk=&amp;xsec_source=pc_trdark")</f>
        <v>0.0</v>
      </c>
      <c r="D50" t="inlineStr">
        <is>
          <t>婉婉上班吃什么</t>
        </is>
      </c>
      <c r="E50" t="inlineStr">
        <is>
          <t>11434449706</t>
        </is>
      </c>
      <c r="F50" t="inlineStr">
        <is>
          <t>2026-04-01 17:06:00</t>
        </is>
      </c>
      <c r="G50" t="inlineStr">
        <is>
          <t>图文</t>
        </is>
      </c>
      <c r="H50" t="inlineStr">
        <is>
          <t>手剥虾仁 无冰衣无添加 低脂餐一人食 上班带饭 顺丰包邮 5盒装</t>
        </is>
      </c>
      <c r="I50" t="inlineStr">
        <is>
          <t>694baba01d450d00013662f0</t>
        </is>
      </c>
      <c r="J50" t="inlineStr">
        <is>
          <t/>
        </is>
      </c>
      <c r="K50" t="n">
        <v>394.0</v>
      </c>
      <c r="L50" t="n">
        <v>4.0</v>
      </c>
      <c r="M50" t="n">
        <v>120.0</v>
      </c>
      <c r="N50" t="inlineStr">
        <is>
          <t>0.21818181818181817</t>
        </is>
      </c>
      <c r="O50" t="n">
        <v>103.0</v>
      </c>
      <c r="P50" t="n">
        <v>4.0</v>
      </c>
      <c r="Q50" t="inlineStr">
        <is>
          <t>0.03333333333333333</t>
        </is>
      </c>
      <c r="R50" t="inlineStr">
        <is>
          <t>0.038834951456310676</t>
        </is>
      </c>
      <c r="S50" t="n">
        <v>69.0</v>
      </c>
      <c r="T50" t="n">
        <v>1.0</v>
      </c>
      <c r="U50" t="n">
        <v>1.0</v>
      </c>
      <c r="V50" t="n">
        <v>69.0</v>
      </c>
      <c r="W50" t="n">
        <v>0.1751269035532995</v>
      </c>
      <c r="X50" t="n">
        <v>1.0</v>
      </c>
      <c r="Y50" t="n">
        <v>22.0</v>
      </c>
      <c r="Z50" t="n">
        <v>19.0</v>
      </c>
      <c r="AA50" t="n">
        <v>0.0</v>
      </c>
      <c r="AB50" t="n">
        <v>0.0</v>
      </c>
      <c r="AC50" t="n">
        <v>0.0</v>
      </c>
      <c r="AD50" t="n">
        <v>550.0</v>
      </c>
      <c r="AE50" t="n">
        <v>1.0</v>
      </c>
      <c r="AF50" t="n">
        <v>1.0</v>
      </c>
      <c r="AG50" t="n">
        <v>0.0</v>
      </c>
      <c r="AH50" t="n">
        <v>1.0</v>
      </c>
      <c r="AI50" t="n">
        <v>0.0</v>
      </c>
      <c r="AJ50" t="n">
        <v>0.0</v>
      </c>
      <c r="AK50" t="n">
        <v>11.98</v>
      </c>
      <c r="AL50" t="inlineStr">
        <is>
          <t/>
        </is>
      </c>
    </row>
    <row r="51">
      <c r="A51" t="inlineStr">
        <is>
          <t>给暗恋的同事带了三文鱼藜麦饭</t>
        </is>
      </c>
      <c r="B51" t="inlineStr">
        <is>
          <t>69e0a4ce000000001a02de44</t>
        </is>
      </c>
      <c r="C51" s="50" t="n">
        <f>HYPERLINK("https://www.xiaohongshu.com/explore/69e0a4ce000000001a02de44?xsec_token=TB4w-SzmaCvFu1U8FhRGBUu6ej3n_IEHYklNLmvaOejz0=&amp;xsec_source=pc_trdark","https://www.xiaohongshu.com/explore/69e0a4ce000000001a02de44?xsec_token=TB4w-SzmaCvFu1U8FhRGBUu6ej3n_IEHYklNLmvaOejz0=&amp;xsec_source=pc_trdark")</f>
        <v>0.0</v>
      </c>
      <c r="D51" t="inlineStr">
        <is>
          <t>菲菲上班吃什么</t>
        </is>
      </c>
      <c r="E51" t="inlineStr">
        <is>
          <t>49936530607</t>
        </is>
      </c>
      <c r="F51" t="inlineStr">
        <is>
          <t>2026-04-16 16:58:54</t>
        </is>
      </c>
      <c r="G51" t="inlineStr">
        <is>
          <t>图文</t>
        </is>
      </c>
      <c r="H51" t="inlineStr">
        <is>
          <t>智利三文鱼切块·整条三文鱼·深海鱼一人食健康饮食</t>
        </is>
      </c>
      <c r="I51" t="inlineStr">
        <is>
          <t>691ac562a524ee0001b51d7b</t>
        </is>
      </c>
      <c r="J51" t="inlineStr">
        <is>
          <t/>
        </is>
      </c>
      <c r="K51" t="n">
        <v>0.0</v>
      </c>
      <c r="L51" t="n">
        <v>0.0</v>
      </c>
      <c r="M51" t="n">
        <v>50.0</v>
      </c>
      <c r="N51" t="inlineStr">
        <is>
          <t>0.09487666034155598</t>
        </is>
      </c>
      <c r="O51" t="n">
        <v>44.0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inlineStr">
        <is>
          <t/>
        </is>
      </c>
      <c r="X51" t="n">
        <v>0.0</v>
      </c>
      <c r="Y51" t="n">
        <v>15.0</v>
      </c>
      <c r="Z51" t="n">
        <v>19.0</v>
      </c>
      <c r="AA51" t="n">
        <v>0.0</v>
      </c>
      <c r="AB51" t="n">
        <v>0.0</v>
      </c>
      <c r="AC51" t="n">
        <v>0.0</v>
      </c>
      <c r="AD51" t="n">
        <v>527.0</v>
      </c>
      <c r="AE51" t="n">
        <v>6.0</v>
      </c>
      <c r="AF51" t="n">
        <v>2.0</v>
      </c>
      <c r="AG51" t="n">
        <v>1.0</v>
      </c>
      <c r="AH51" t="n">
        <v>1.0</v>
      </c>
      <c r="AI51" t="n">
        <v>1.0</v>
      </c>
      <c r="AJ51" t="n">
        <v>0.0</v>
      </c>
      <c r="AK51" t="n">
        <v>16.531309297912713</v>
      </c>
      <c r="AL51" t="inlineStr">
        <is>
          <t/>
        </is>
      </c>
    </row>
    <row r="52">
      <c r="A52" t="inlineStr">
        <is>
          <t>因为心疼钱，↓了15斤</t>
        </is>
      </c>
      <c r="B52" t="inlineStr">
        <is>
          <t>69e378c1000000001f005d71</t>
        </is>
      </c>
      <c r="C52" s="51" t="n">
        <f>HYPERLINK("https://www.xiaohongshu.com/explore/69e378c1000000001f005d71?xsec_token=TBdjj7K6Nlm9yT2LpYB6PpNtcfFyGmqMgkbn9OXhc4geM=&amp;xsec_source=pc_trdark","https://www.xiaohongshu.com/explore/69e378c1000000001f005d71?xsec_token=TBdjj7K6Nlm9yT2LpYB6PpNtcfFyGmqMgkbn9OXhc4geM=&amp;xsec_source=pc_trdark")</f>
        <v>0.0</v>
      </c>
      <c r="D52" t="inlineStr">
        <is>
          <t>婉婉上班吃什么</t>
        </is>
      </c>
      <c r="E52" t="inlineStr">
        <is>
          <t>11434449706</t>
        </is>
      </c>
      <c r="F52" t="inlineStr">
        <is>
          <t>2026-04-18 20:27:45</t>
        </is>
      </c>
      <c r="G52" t="inlineStr">
        <is>
          <t>图文</t>
        </is>
      </c>
      <c r="H52" t="inlineStr">
        <is>
          <t>手剥虾仁 无冰衣无添加 低脂餐一人食 上班带饭 顺丰包邮 5盒装</t>
        </is>
      </c>
      <c r="I52" t="inlineStr">
        <is>
          <t>694baba01d450d00013662f0</t>
        </is>
      </c>
      <c r="J52" t="inlineStr">
        <is>
          <t/>
        </is>
      </c>
      <c r="K52" t="n">
        <v>394.0</v>
      </c>
      <c r="L52" t="n">
        <v>4.0</v>
      </c>
      <c r="M52" t="n">
        <v>86.0</v>
      </c>
      <c r="N52" t="inlineStr">
        <is>
          <t>0.16895874263261296</t>
        </is>
      </c>
      <c r="O52" t="n">
        <v>73.0</v>
      </c>
      <c r="P52" t="n">
        <v>4.0</v>
      </c>
      <c r="Q52" t="inlineStr">
        <is>
          <t>0.046511627906976744</t>
        </is>
      </c>
      <c r="R52" t="n">
        <v>0.0547945205479452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15.0</v>
      </c>
      <c r="Z52" t="n">
        <v>18.0</v>
      </c>
      <c r="AA52" t="n">
        <v>0.0</v>
      </c>
      <c r="AB52" t="n">
        <v>0.0</v>
      </c>
      <c r="AC52" t="n">
        <v>0.0</v>
      </c>
      <c r="AD52" t="n">
        <v>509.0</v>
      </c>
      <c r="AE52" t="n">
        <v>6.0</v>
      </c>
      <c r="AF52" t="n">
        <v>2.0</v>
      </c>
      <c r="AG52" t="n">
        <v>0.0</v>
      </c>
      <c r="AH52" t="n">
        <v>2.0</v>
      </c>
      <c r="AI52" t="n">
        <v>0.0</v>
      </c>
      <c r="AJ52" t="n">
        <v>0.0</v>
      </c>
      <c r="AK52" t="n">
        <v>14.180746561886052</v>
      </c>
      <c r="AL52" t="inlineStr">
        <is>
          <t/>
        </is>
      </c>
    </row>
    <row r="53">
      <c r="A53" t="inlineStr">
        <is>
          <t>我和孩子的健康餐</t>
        </is>
      </c>
      <c r="B53" t="inlineStr">
        <is>
          <t>69e08acc0000000023006bbf</t>
        </is>
      </c>
      <c r="C53" s="52" t="n">
        <f>HYPERLINK("https://www.xiaohongshu.com/explore/69e08acc0000000023006bbf?xsec_token=TB4w-SzmaCvFu1U8FhRGBUu_CazyYZfTRZybOsaupFxrY=&amp;xsec_source=pc_trdark","https://www.xiaohongshu.com/explore/69e08acc0000000023006bbf?xsec_token=TB4w-SzmaCvFu1U8FhRGBUu_CazyYZfTRZybOsaupFxrY=&amp;xsec_source=pc_trdark")</f>
        <v>0.0</v>
      </c>
      <c r="D53" t="inlineStr">
        <is>
          <t>鲜水湾</t>
        </is>
      </c>
      <c r="E53" t="inlineStr">
        <is>
          <t>49316638994</t>
        </is>
      </c>
      <c r="F53" t="inlineStr">
        <is>
          <t>2026-04-16 15:07:57</t>
        </is>
      </c>
      <c r="G53" t="inlineStr">
        <is>
          <t>图文</t>
        </is>
      </c>
      <c r="H53" t="inlineStr">
        <is>
          <t>智利三文鱼切块·整条三文鱼·深海鱼一人食健康饮食</t>
        </is>
      </c>
      <c r="I53" t="inlineStr">
        <is>
          <t>691ac562a524ee0001b51d7b</t>
        </is>
      </c>
      <c r="J53" t="inlineStr">
        <is>
          <t/>
        </is>
      </c>
      <c r="K53" t="n">
        <v>304.0</v>
      </c>
      <c r="L53" t="n">
        <v>3.0</v>
      </c>
      <c r="M53" t="n">
        <v>68.0</v>
      </c>
      <c r="N53" t="inlineStr">
        <is>
          <t>0.13627254509018036</t>
        </is>
      </c>
      <c r="O53" t="n">
        <v>56.0</v>
      </c>
      <c r="P53" t="n">
        <v>3.0</v>
      </c>
      <c r="Q53" t="inlineStr">
        <is>
          <t>0.04411764705882353</t>
        </is>
      </c>
      <c r="R53" t="inlineStr">
        <is>
          <t>0.05357142857142857</t>
        </is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13.0</v>
      </c>
      <c r="Z53" t="n">
        <v>14.0</v>
      </c>
      <c r="AA53" t="n">
        <v>236.0</v>
      </c>
      <c r="AB53" t="n">
        <v>0.0</v>
      </c>
      <c r="AC53" t="n">
        <v>0.0</v>
      </c>
      <c r="AD53" t="n">
        <v>499.0</v>
      </c>
      <c r="AE53" t="n">
        <v>10.0</v>
      </c>
      <c r="AF53" t="n">
        <v>1.0</v>
      </c>
      <c r="AG53" t="n">
        <v>0.0</v>
      </c>
      <c r="AH53" t="n">
        <v>2.0</v>
      </c>
      <c r="AI53" t="n">
        <v>1.0</v>
      </c>
      <c r="AJ53" t="n">
        <v>0.0</v>
      </c>
      <c r="AK53" t="n">
        <v>13.11623246492986</v>
      </c>
      <c r="AL53" t="inlineStr">
        <is>
          <t/>
        </is>
      </c>
    </row>
    <row r="54">
      <c r="A54" t="inlineStr">
        <is>
          <t>不会做虾的进！3种懒人做法，比泡面还简单</t>
        </is>
      </c>
      <c r="B54" t="inlineStr">
        <is>
          <t>69d66e2a000000002301d1a4</t>
        </is>
      </c>
      <c r="C54" s="53" t="n">
        <f>HYPERLINK("https://www.xiaohongshu.com/explore/69d66e2a000000002301d1a4?xsec_token=TBvBxKrH7kcVQkSA7MMxNJOaxsoOlQejv60KiAfR4vJlA=&amp;xsec_source=pc_trdark","https://www.xiaohongshu.com/explore/69d66e2a000000002301d1a4?xsec_token=TBvBxKrH7kcVQkSA7MMxNJOaxsoOlQejv60KiAfR4vJlA=&amp;xsec_source=pc_trdark")</f>
        <v>0.0</v>
      </c>
      <c r="D54" t="inlineStr">
        <is>
          <t>菲菲上班吃什么</t>
        </is>
      </c>
      <c r="E54" t="inlineStr">
        <is>
          <t>49936530607</t>
        </is>
      </c>
      <c r="F54" t="inlineStr">
        <is>
          <t>2026-04-08 23:03:06</t>
        </is>
      </c>
      <c r="G54" t="inlineStr">
        <is>
          <t>图文</t>
        </is>
      </c>
      <c r="H54" t="inlineStr">
        <is>
          <t>手剥虾仁 无冰衣无添加 低脂餐一人食 上班带饭 顺丰包邮 5盒装</t>
        </is>
      </c>
      <c r="I54" t="inlineStr">
        <is>
          <t>694baba01d450d00013662f0</t>
        </is>
      </c>
      <c r="J54" t="inlineStr">
        <is>
          <t/>
        </is>
      </c>
      <c r="K54" t="n">
        <v>0.0</v>
      </c>
      <c r="L54" t="n">
        <v>0.0</v>
      </c>
      <c r="M54" t="n">
        <v>13.0</v>
      </c>
      <c r="N54" t="inlineStr">
        <is>
          <t>0.026530612244897958</t>
        </is>
      </c>
      <c r="O54" t="n">
        <v>13.0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inlineStr">
        <is>
          <t/>
        </is>
      </c>
      <c r="X54" t="n">
        <v>0.0</v>
      </c>
      <c r="Y54" t="n">
        <v>3.0</v>
      </c>
      <c r="Z54" t="n">
        <v>2.0</v>
      </c>
      <c r="AA54" t="n">
        <v>0.0</v>
      </c>
      <c r="AB54" t="n">
        <v>0.0</v>
      </c>
      <c r="AC54" t="n">
        <v>0.0</v>
      </c>
      <c r="AD54" t="n">
        <v>490.0</v>
      </c>
      <c r="AE54" t="n">
        <v>6.0</v>
      </c>
      <c r="AF54" t="n">
        <v>1.0</v>
      </c>
      <c r="AG54" t="n">
        <v>0.0</v>
      </c>
      <c r="AH54" t="n">
        <v>1.0</v>
      </c>
      <c r="AI54" t="n">
        <v>0.0</v>
      </c>
      <c r="AJ54" t="n">
        <v>0.0</v>
      </c>
      <c r="AK54" t="n">
        <v>21.253061224489795</v>
      </c>
      <c r="AL54" t="inlineStr">
        <is>
          <t/>
        </is>
      </c>
    </row>
    <row r="55">
      <c r="A55" t="inlineStr">
        <is>
          <t>不要低估69在小红书的购买力…</t>
        </is>
      </c>
      <c r="B55" t="inlineStr">
        <is>
          <t>69ce3583000000002800b87b</t>
        </is>
      </c>
      <c r="C55" s="54" t="n">
        <f>HYPERLINK("https://www.xiaohongshu.com/explore/69ce3583000000002800b87b?xsec_token=TBclHZuM5_fs2QanfU7vVSEtjvhVIbMUpnqnFVnt20s8g=&amp;xsec_source=pc_trdark","https://www.xiaohongshu.com/explore/69ce3583000000002800b87b?xsec_token=TBclHZuM5_fs2QanfU7vVSEtjvhVIbMUpnqnFVnt20s8g=&amp;xsec_source=pc_trdark")</f>
        <v>0.0</v>
      </c>
      <c r="D55" t="inlineStr">
        <is>
          <t>婉婉上班吃什么</t>
        </is>
      </c>
      <c r="E55" t="inlineStr">
        <is>
          <t>11434449706</t>
        </is>
      </c>
      <c r="F55" t="inlineStr">
        <is>
          <t>2026-04-02 17:23:15</t>
        </is>
      </c>
      <c r="G55" t="inlineStr">
        <is>
          <t>图文</t>
        </is>
      </c>
      <c r="H55" t="inlineStr">
        <is>
          <t>手剥虾仁 无冰衣无添加 低脂餐一人食 上班带饭 顺丰包邮 5盒装</t>
        </is>
      </c>
      <c r="I55" t="inlineStr">
        <is>
          <t>694baba01d450d00013662f0</t>
        </is>
      </c>
      <c r="J55" t="inlineStr">
        <is>
          <t/>
        </is>
      </c>
      <c r="K55" t="n">
        <v>138.0</v>
      </c>
      <c r="L55" t="n">
        <v>2.0</v>
      </c>
      <c r="M55" t="n">
        <v>112.0</v>
      </c>
      <c r="N55" t="n">
        <v>0.2309278350515464</v>
      </c>
      <c r="O55" t="n">
        <v>93.0</v>
      </c>
      <c r="P55" t="n">
        <v>2.0</v>
      </c>
      <c r="Q55" t="inlineStr">
        <is>
          <t>0.017857142857142856</t>
        </is>
      </c>
      <c r="R55" t="inlineStr">
        <is>
          <t>0.021505376344086023</t>
        </is>
      </c>
      <c r="S55" t="n">
        <v>69.0</v>
      </c>
      <c r="T55" t="n">
        <v>1.0</v>
      </c>
      <c r="U55" t="n">
        <v>1.0</v>
      </c>
      <c r="V55" t="n">
        <v>69.0</v>
      </c>
      <c r="W55" t="n">
        <v>0.5</v>
      </c>
      <c r="X55" t="n">
        <v>1.0</v>
      </c>
      <c r="Y55" t="n">
        <v>20.0</v>
      </c>
      <c r="Z55" t="n">
        <v>15.0</v>
      </c>
      <c r="AA55" t="n">
        <v>0.0</v>
      </c>
      <c r="AB55" t="n">
        <v>0.0</v>
      </c>
      <c r="AC55" t="n">
        <v>0.0</v>
      </c>
      <c r="AD55" t="n">
        <v>485.0</v>
      </c>
      <c r="AE55" t="n">
        <v>6.0</v>
      </c>
      <c r="AF55" t="n">
        <v>5.0</v>
      </c>
      <c r="AG55" t="n">
        <v>1.0</v>
      </c>
      <c r="AH55" t="n">
        <v>2.0</v>
      </c>
      <c r="AI55" t="n">
        <v>0.0</v>
      </c>
      <c r="AJ55" t="n">
        <v>0.0</v>
      </c>
      <c r="AK55" t="n">
        <v>19.589690721649486</v>
      </c>
      <c r="AL55" t="inlineStr">
        <is>
          <t/>
        </is>
      </c>
    </row>
    <row r="56">
      <c r="A56" t="inlineStr">
        <is>
          <t>才69一盒？还发顺丰！很难不买单</t>
        </is>
      </c>
      <c r="B56" t="inlineStr">
        <is>
          <t>698ae027000000000e03cef2</t>
        </is>
      </c>
      <c r="C56" s="55" t="n">
        <f>HYPERLINK("https://www.xiaohongshu.com/explore/698ae027000000000e03cef2?xsec_token=TBG0mKfxVH0N0QJz26OSUyhW-ynmI2DfpMtklv7EqnPlg=&amp;xsec_source=pc_trdark","https://www.xiaohongshu.com/explore/698ae027000000000e03cef2?xsec_token=TBG0mKfxVH0N0QJz26OSUyhW-ynmI2DfpMtklv7EqnPlg=&amp;xsec_source=pc_trdark")</f>
        <v>0.0</v>
      </c>
      <c r="D56" t="inlineStr">
        <is>
          <t>鲜水湾</t>
        </is>
      </c>
      <c r="E56" t="inlineStr">
        <is>
          <t>49316638994</t>
        </is>
      </c>
      <c r="F56" t="inlineStr">
        <is>
          <t>2026-02-10 15:37:11</t>
        </is>
      </c>
      <c r="G56" t="inlineStr">
        <is>
          <t>图文</t>
        </is>
      </c>
      <c r="H56" t="inlineStr">
        <is>
          <t>大虾基围虾王牌大虾厄瓜多尔白虾盐冻虾仁海洋大虾送礼顺丰包邮</t>
        </is>
      </c>
      <c r="I56" t="inlineStr">
        <is>
          <t>690aeb7be379430001e686ac</t>
        </is>
      </c>
      <c r="J56" t="inlineStr">
        <is>
          <t/>
        </is>
      </c>
      <c r="K56" t="n">
        <v>0.0</v>
      </c>
      <c r="L56" t="n">
        <v>0.0</v>
      </c>
      <c r="M56" t="n">
        <v>56.0</v>
      </c>
      <c r="N56" t="inlineStr">
        <is>
          <t>0.11740041928721175</t>
        </is>
      </c>
      <c r="O56" t="n">
        <v>53.0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inlineStr">
        <is>
          <t/>
        </is>
      </c>
      <c r="X56" t="n">
        <v>0.0</v>
      </c>
      <c r="Y56" t="n">
        <v>2.0</v>
      </c>
      <c r="Z56" t="n">
        <v>7.0</v>
      </c>
      <c r="AA56" t="n">
        <v>0.0</v>
      </c>
      <c r="AB56" t="n">
        <v>0.0</v>
      </c>
      <c r="AC56" t="n">
        <v>0.0</v>
      </c>
      <c r="AD56" t="n">
        <v>477.0</v>
      </c>
      <c r="AE56" t="n">
        <v>2.0</v>
      </c>
      <c r="AF56" t="n">
        <v>0.0</v>
      </c>
      <c r="AG56" t="n">
        <v>1.0</v>
      </c>
      <c r="AH56" t="n">
        <v>2.0</v>
      </c>
      <c r="AI56" t="n">
        <v>0.0</v>
      </c>
      <c r="AJ56" t="n">
        <v>0.0</v>
      </c>
      <c r="AK56" t="n">
        <v>9.576519916142558</v>
      </c>
      <c r="AL56" t="inlineStr">
        <is>
          <t/>
        </is>
      </c>
    </row>
    <row r="57">
      <c r="A57" t="inlineStr">
        <is>
          <t>青岛女婿每年的必备支出！鲅鱼跳丈人笑🤣</t>
        </is>
      </c>
      <c r="B57" t="inlineStr">
        <is>
          <t>69e85fff000000002301407d</t>
        </is>
      </c>
      <c r="C57" s="56" t="n">
        <f>HYPERLINK("https://www.xiaohongshu.com/explore/69e85fff000000002301407d?xsec_token=TBrsJGfbmdICsvnXoyd4QdRi709iaEKX_YbCo0GIYYE5w=&amp;xsec_source=pc_trdark","https://www.xiaohongshu.com/explore/69e85fff000000002301407d?xsec_token=TBrsJGfbmdICsvnXoyd4QdRi709iaEKX_YbCo0GIYYE5w=&amp;xsec_source=pc_trdark")</f>
        <v>0.0</v>
      </c>
      <c r="D57" t="inlineStr">
        <is>
          <t>鲜水湾</t>
        </is>
      </c>
      <c r="E57" t="inlineStr">
        <is>
          <t>49316638994</t>
        </is>
      </c>
      <c r="F57" t="inlineStr">
        <is>
          <t>2026-04-22 13:43:27</t>
        </is>
      </c>
      <c r="G57" t="inlineStr">
        <is>
          <t>图文</t>
        </is>
      </c>
      <c r="H57" t="inlineStr">
        <is>
          <t>青岛大鲅鱼春鲅鱼鲅鱼新鲜冷冻马鲛鱼蓝点马鲛鱼顺丰包邮</t>
        </is>
      </c>
      <c r="I57" t="inlineStr">
        <is>
          <t>6932506ad36285000198a8a6</t>
        </is>
      </c>
      <c r="J57" t="inlineStr">
        <is>
          <t/>
        </is>
      </c>
      <c r="K57" t="n">
        <v>99.9</v>
      </c>
      <c r="L57" t="n">
        <v>1.0</v>
      </c>
      <c r="M57" t="n">
        <v>48.0</v>
      </c>
      <c r="N57" t="inlineStr">
        <is>
          <t>0.10126582278481013</t>
        </is>
      </c>
      <c r="O57" t="n">
        <v>43.0</v>
      </c>
      <c r="P57" t="n">
        <v>1.0</v>
      </c>
      <c r="Q57" t="inlineStr">
        <is>
          <t>0.020833333333333332</t>
        </is>
      </c>
      <c r="R57" t="inlineStr">
        <is>
          <t>0.023255813953488372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3.0</v>
      </c>
      <c r="Z57" t="n">
        <v>23.0</v>
      </c>
      <c r="AA57" t="n">
        <v>0.0</v>
      </c>
      <c r="AB57" t="n">
        <v>0.0</v>
      </c>
      <c r="AC57" t="n">
        <v>0.0</v>
      </c>
      <c r="AD57" t="n">
        <v>474.0</v>
      </c>
      <c r="AE57" t="n">
        <v>2.0</v>
      </c>
      <c r="AF57" t="n">
        <v>1.0</v>
      </c>
      <c r="AG57" t="n">
        <v>0.0</v>
      </c>
      <c r="AH57" t="n">
        <v>5.0</v>
      </c>
      <c r="AI57" t="n">
        <v>1.0</v>
      </c>
      <c r="AJ57" t="n">
        <v>0.0</v>
      </c>
      <c r="AK57" t="n">
        <v>11.80379746835443</v>
      </c>
      <c r="AL57" t="inlineStr">
        <is>
          <t/>
        </is>
      </c>
    </row>
    <row r="58">
      <c r="A58" t="inlineStr">
        <is>
          <t>和老爸商量了，专为早八人推出的减脂小包装</t>
        </is>
      </c>
      <c r="B58" t="inlineStr">
        <is>
          <t>69d5e49b000000001f001982</t>
        </is>
      </c>
      <c r="C58" s="57" t="n">
        <f>HYPERLINK("https://www.xiaohongshu.com/explore/69d5e49b000000001f001982?xsec_token=TB8iwnyw3eAUAW6IHOsxIm-uxRI-fldOD_5uC7Or4em_U=&amp;xsec_source=pc_trdark","https://www.xiaohongshu.com/explore/69d5e49b000000001f001982?xsec_token=TB8iwnyw3eAUAW6IHOsxIm-uxRI-fldOD_5uC7Or4em_U=&amp;xsec_source=pc_trdark")</f>
        <v>0.0</v>
      </c>
      <c r="D58" t="inlineStr">
        <is>
          <t>菲菲上班吃什么</t>
        </is>
      </c>
      <c r="E58" t="inlineStr">
        <is>
          <t>49936530607</t>
        </is>
      </c>
      <c r="F58" t="inlineStr">
        <is>
          <t>2026-04-08 13:16:11</t>
        </is>
      </c>
      <c r="G58" t="inlineStr">
        <is>
          <t>图文</t>
        </is>
      </c>
      <c r="H58" t="inlineStr">
        <is>
          <t>手剥虾仁 无冰衣无添加 低脂餐一人食 上班带饭 顺丰包邮 5盒装</t>
        </is>
      </c>
      <c r="I58" t="inlineStr">
        <is>
          <t>694baba01d450d00013662f0</t>
        </is>
      </c>
      <c r="J58" t="inlineStr">
        <is>
          <t/>
        </is>
      </c>
      <c r="K58" t="n">
        <v>236.0</v>
      </c>
      <c r="L58" t="n">
        <v>3.0</v>
      </c>
      <c r="M58" t="n">
        <v>83.0</v>
      </c>
      <c r="N58" t="n">
        <v>0.1824175824175824</v>
      </c>
      <c r="O58" t="n">
        <v>68.0</v>
      </c>
      <c r="P58" t="n">
        <v>2.0</v>
      </c>
      <c r="Q58" t="inlineStr">
        <is>
          <t>0.03614457831325301</t>
        </is>
      </c>
      <c r="R58" t="inlineStr">
        <is>
          <t>0.029411764705882353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20.0</v>
      </c>
      <c r="Z58" t="n">
        <v>33.0</v>
      </c>
      <c r="AA58" t="n">
        <v>0.0</v>
      </c>
      <c r="AB58" t="n">
        <v>0.0</v>
      </c>
      <c r="AC58" t="n">
        <v>0.0</v>
      </c>
      <c r="AD58" t="n">
        <v>455.0</v>
      </c>
      <c r="AE58" t="n">
        <v>4.0</v>
      </c>
      <c r="AF58" t="n">
        <v>1.0</v>
      </c>
      <c r="AG58" t="n">
        <v>0.0</v>
      </c>
      <c r="AH58" t="n">
        <v>1.0</v>
      </c>
      <c r="AI58" t="n">
        <v>0.0</v>
      </c>
      <c r="AJ58" t="n">
        <v>0.0</v>
      </c>
      <c r="AK58" t="n">
        <v>14.323076923076924</v>
      </c>
      <c r="AL58" t="inlineStr">
        <is>
          <t/>
        </is>
      </c>
    </row>
    <row r="59">
      <c r="A59" t="inlineStr">
        <is>
          <t>三文鱼真的太适合管理期吃啦</t>
        </is>
      </c>
      <c r="B59" t="inlineStr">
        <is>
          <t>69e34338000000002202a0d3</t>
        </is>
      </c>
      <c r="C59" s="58" t="n">
        <f>HYPERLINK("https://www.xiaohongshu.com/explore/69e34338000000002202a0d3?xsec_token=TBdjj7K6Nlm9yT2LpYB6PpNvRs9DX7aNjnrfn5AcZP4cs=&amp;xsec_source=pc_trdark","https://www.xiaohongshu.com/explore/69e34338000000002202a0d3?xsec_token=TBdjj7K6Nlm9yT2LpYB6PpNvRs9DX7aNjnrfn5AcZP4cs=&amp;xsec_source=pc_trdark")</f>
        <v>0.0</v>
      </c>
      <c r="D59" t="inlineStr">
        <is>
          <t>婉婉上班吃什么</t>
        </is>
      </c>
      <c r="E59" t="inlineStr">
        <is>
          <t>11434449706</t>
        </is>
      </c>
      <c r="F59" t="inlineStr">
        <is>
          <t>2026-04-18 16:39:20</t>
        </is>
      </c>
      <c r="G59" t="inlineStr">
        <is>
          <t>图文</t>
        </is>
      </c>
      <c r="H59" t="inlineStr">
        <is>
          <t>智利三文鱼切块·整条三文鱼·深海鱼一人食健康饮食</t>
        </is>
      </c>
      <c r="I59" t="inlineStr">
        <is>
          <t>691ac562a524ee0001b51d7b</t>
        </is>
      </c>
      <c r="J59" t="inlineStr">
        <is>
          <t/>
        </is>
      </c>
      <c r="K59" t="n">
        <v>136.0</v>
      </c>
      <c r="L59" t="n">
        <v>2.0</v>
      </c>
      <c r="M59" t="n">
        <v>72.0</v>
      </c>
      <c r="N59" t="inlineStr">
        <is>
          <t>0.15859030837004406</t>
        </is>
      </c>
      <c r="O59" t="n">
        <v>58.0</v>
      </c>
      <c r="P59" t="n">
        <v>2.0</v>
      </c>
      <c r="Q59" t="inlineStr">
        <is>
          <t>0.027777777777777776</t>
        </is>
      </c>
      <c r="R59" t="inlineStr">
        <is>
          <t>0.034482758620689655</t>
        </is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19.0</v>
      </c>
      <c r="Z59" t="n">
        <v>14.0</v>
      </c>
      <c r="AA59" t="n">
        <v>0.0</v>
      </c>
      <c r="AB59" t="n">
        <v>0.0</v>
      </c>
      <c r="AC59" t="n">
        <v>0.0</v>
      </c>
      <c r="AD59" t="n">
        <v>454.0</v>
      </c>
      <c r="AE59" t="n">
        <v>3.0</v>
      </c>
      <c r="AF59" t="n">
        <v>2.0</v>
      </c>
      <c r="AG59" t="n">
        <v>0.0</v>
      </c>
      <c r="AH59" t="n">
        <v>3.0</v>
      </c>
      <c r="AI59" t="n">
        <v>0.0</v>
      </c>
      <c r="AJ59" t="n">
        <v>0.0</v>
      </c>
      <c r="AK59" t="n">
        <v>19.87224669603524</v>
      </c>
      <c r="AL59" t="inlineStr">
        <is>
          <t/>
        </is>
      </c>
    </row>
    <row r="60">
      <c r="A60" t="inlineStr">
        <is>
          <t>跟刘板筋儿学的，自己做减脂餐so了7斤</t>
        </is>
      </c>
      <c r="B60" t="inlineStr">
        <is>
          <t>69b904fe000000001a02e963</t>
        </is>
      </c>
      <c r="C60" s="59" t="n">
        <f>HYPERLINK("https://www.xiaohongshu.com/explore/69b904fe000000001a02e963?xsec_token=TBgv0wN35T_w0yZx7fmvlvfCZcaYX7nUXDRTfB7N0fbIs=&amp;xsec_source=pc_trdark","https://www.xiaohongshu.com/explore/69b904fe000000001a02e963?xsec_token=TBgv0wN35T_w0yZx7fmvlvfCZcaYX7nUXDRTfB7N0fbIs=&amp;xsec_source=pc_trdark")</f>
        <v>0.0</v>
      </c>
      <c r="D60" t="inlineStr">
        <is>
          <t>婉婉上班吃什么</t>
        </is>
      </c>
      <c r="E60" t="inlineStr">
        <is>
          <t>11434449706</t>
        </is>
      </c>
      <c r="F60" t="inlineStr">
        <is>
          <t>2026-03-17 15:38:39</t>
        </is>
      </c>
      <c r="G60" t="inlineStr">
        <is>
          <t>图文</t>
        </is>
      </c>
      <c r="H60" t="inlineStr">
        <is>
          <t>手剥虾仁 无冰衣无添加 低脂餐一人食 上班带饭 顺丰包邮 5盒装</t>
        </is>
      </c>
      <c r="I60" t="inlineStr">
        <is>
          <t>694baba01d450d00013662f0</t>
        </is>
      </c>
      <c r="J60" t="inlineStr">
        <is>
          <t/>
        </is>
      </c>
      <c r="K60" t="n">
        <v>0.0</v>
      </c>
      <c r="L60" t="n">
        <v>0.0</v>
      </c>
      <c r="M60" t="n">
        <v>2.0</v>
      </c>
      <c r="N60" t="inlineStr">
        <is>
          <t>0.004405286343612335</t>
        </is>
      </c>
      <c r="O60" t="n">
        <v>2.0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inlineStr">
        <is>
          <t/>
        </is>
      </c>
      <c r="X60" t="n">
        <v>0.0</v>
      </c>
      <c r="Y60" t="n">
        <v>1.0</v>
      </c>
      <c r="Z60" t="n">
        <v>4.0</v>
      </c>
      <c r="AA60" t="n">
        <v>0.0</v>
      </c>
      <c r="AB60" t="n">
        <v>0.0</v>
      </c>
      <c r="AC60" t="n">
        <v>0.0</v>
      </c>
      <c r="AD60" t="n">
        <v>454.0</v>
      </c>
      <c r="AE60" t="n">
        <v>4.0</v>
      </c>
      <c r="AF60" t="n">
        <v>1.0</v>
      </c>
      <c r="AG60" t="n">
        <v>0.0</v>
      </c>
      <c r="AH60" t="n">
        <v>0.0</v>
      </c>
      <c r="AI60" t="n">
        <v>0.0</v>
      </c>
      <c r="AJ60" t="n">
        <v>0.0</v>
      </c>
      <c r="AK60" t="n">
        <v>13.876651982378855</v>
      </c>
      <c r="AL60" t="inlineStr">
        <is>
          <t/>
        </is>
      </c>
    </row>
    <row r="61">
      <c r="A61" t="inlineStr">
        <is>
          <t>买回来的生蚝你就这样做，巨好吃😋</t>
        </is>
      </c>
      <c r="B61" t="inlineStr">
        <is>
          <t>6953c1ef000000001f00d45c</t>
        </is>
      </c>
      <c r="C61" s="60" t="n">
        <f>HYPERLINK("https://www.xiaohongshu.com/explore/6953c1ef000000001f00d45c?xsec_token=TBmzMOJ_zly84G2ZjeUVNrpfWnor3sDEbGcCZUVnr-0yY=&amp;xsec_source=pc_trdark","https://www.xiaohongshu.com/explore/6953c1ef000000001f00d45c?xsec_token=TBmzMOJ_zly84G2ZjeUVNrpfWnor3sDEbGcCZUVnr-0yY=&amp;xsec_source=pc_trdark")</f>
        <v>0.0</v>
      </c>
      <c r="D61" t="inlineStr">
        <is>
          <t>婉婉上班吃什么</t>
        </is>
      </c>
      <c r="E61" t="inlineStr">
        <is>
          <t>11434449706</t>
        </is>
      </c>
      <c r="F61" t="inlineStr">
        <is>
          <t>2025-12-30 20:13:36</t>
        </is>
      </c>
      <c r="G61" t="inlineStr">
        <is>
          <t>视频</t>
        </is>
      </c>
      <c r="H61" t="inlineStr">
        <is>
          <t>生蚝乳山生蚝海蛎子顺丰包邮</t>
        </is>
      </c>
      <c r="I61" t="inlineStr">
        <is>
          <t>690c70971b787900010866cc</t>
        </is>
      </c>
      <c r="J61" t="n">
        <v>55.0</v>
      </c>
      <c r="K61" t="n">
        <v>0.0</v>
      </c>
      <c r="L61" t="n">
        <v>0.0</v>
      </c>
      <c r="M61" t="n">
        <v>5.0</v>
      </c>
      <c r="N61" t="inlineStr">
        <is>
          <t>0.011337868480725623</t>
        </is>
      </c>
      <c r="O61" t="n">
        <v>5.0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inlineStr">
        <is>
          <t/>
        </is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441.0</v>
      </c>
      <c r="AE61" t="n">
        <v>4.0</v>
      </c>
      <c r="AF61" t="n">
        <v>6.0</v>
      </c>
      <c r="AG61" t="n">
        <v>0.0</v>
      </c>
      <c r="AH61" t="n">
        <v>0.0</v>
      </c>
      <c r="AI61" t="n">
        <v>0.0</v>
      </c>
      <c r="AJ61" t="n">
        <v>0.0</v>
      </c>
      <c r="AK61" t="n">
        <v>32.06575963718821</v>
      </c>
      <c r="AL61" t="inlineStr">
        <is>
          <t>0.24479166666666666</t>
        </is>
      </c>
    </row>
    <row r="62">
      <c r="A62" t="inlineStr">
        <is>
          <t>我也不想买啊，可它69够我吃一周的了</t>
        </is>
      </c>
      <c r="B62" t="inlineStr">
        <is>
          <t>69e863d3000000002202911e</t>
        </is>
      </c>
      <c r="C62" s="61" t="n">
        <f>HYPERLINK("https://www.xiaohongshu.com/explore/69e863d3000000002202911e?xsec_token=TBrsJGfbmdICsvnXoyd4QdRnyv2TM-urHKIMiKm6Wr4cc=&amp;xsec_source=pc_trdark","https://www.xiaohongshu.com/explore/69e863d3000000002202911e?xsec_token=TBrsJGfbmdICsvnXoyd4QdRnyv2TM-urHKIMiKm6Wr4cc=&amp;xsec_source=pc_trdark")</f>
        <v>0.0</v>
      </c>
      <c r="D62" t="inlineStr">
        <is>
          <t>菲菲上班吃什么</t>
        </is>
      </c>
      <c r="E62" t="inlineStr">
        <is>
          <t>49936530607</t>
        </is>
      </c>
      <c r="F62" t="inlineStr">
        <is>
          <t>2026-04-22 17:40:00</t>
        </is>
      </c>
      <c r="G62" t="inlineStr">
        <is>
          <t>图文</t>
        </is>
      </c>
      <c r="H62" t="inlineStr">
        <is>
          <t>手剥虾仁 无冰衣无添加 低脂餐一人食 上班带饭 顺丰包邮 5盒装</t>
        </is>
      </c>
      <c r="I62" t="inlineStr">
        <is>
          <t>694baba01d450d00013662f0</t>
        </is>
      </c>
      <c r="J62" t="inlineStr">
        <is>
          <t/>
        </is>
      </c>
      <c r="K62" t="n">
        <v>266.0</v>
      </c>
      <c r="L62" t="n">
        <v>3.0</v>
      </c>
      <c r="M62" t="n">
        <v>93.0</v>
      </c>
      <c r="N62" t="inlineStr">
        <is>
          <t>0.21232876712328766</t>
        </is>
      </c>
      <c r="O62" t="n">
        <v>77.0</v>
      </c>
      <c r="P62" t="n">
        <v>3.0</v>
      </c>
      <c r="Q62" t="inlineStr">
        <is>
          <t>0.03225806451612903</t>
        </is>
      </c>
      <c r="R62" t="inlineStr">
        <is>
          <t>0.03896103896103896</t>
        </is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14.0</v>
      </c>
      <c r="Z62" t="n">
        <v>10.0</v>
      </c>
      <c r="AA62" t="n">
        <v>0.0</v>
      </c>
      <c r="AB62" t="n">
        <v>0.0</v>
      </c>
      <c r="AC62" t="n">
        <v>0.0</v>
      </c>
      <c r="AD62" t="n">
        <v>438.0</v>
      </c>
      <c r="AE62" t="n">
        <v>4.0</v>
      </c>
      <c r="AF62" t="n">
        <v>0.0</v>
      </c>
      <c r="AG62" t="n">
        <v>2.0</v>
      </c>
      <c r="AH62" t="n">
        <v>2.0</v>
      </c>
      <c r="AI62" t="n">
        <v>0.0</v>
      </c>
      <c r="AJ62" t="n">
        <v>0.0</v>
      </c>
      <c r="AK62" t="n">
        <v>18.337899543378995</v>
      </c>
      <c r="AL62" t="inlineStr">
        <is>
          <t/>
        </is>
      </c>
    </row>
    <row r="63">
      <c r="A63" t="inlineStr">
        <is>
          <t>听姐妹们说大包装吃不完，虾仁小包装来了</t>
        </is>
      </c>
      <c r="B63" t="inlineStr">
        <is>
          <t>69ec62c4000000001f007375</t>
        </is>
      </c>
      <c r="C63" s="62" t="n">
        <f>HYPERLINK("https://www.xiaohongshu.com/explore/69ec62c4000000001f007375?xsec_token=TBnoSF_--XRDuLtfF77lVqP0gh8Xc9avfCnPmHOPyniN0=&amp;xsec_source=pc_trdark","https://www.xiaohongshu.com/explore/69ec62c4000000001f007375?xsec_token=TBnoSF_--XRDuLtfF77lVqP0gh8Xc9avfCnPmHOPyniN0=&amp;xsec_source=pc_trdark")</f>
        <v>0.0</v>
      </c>
      <c r="D63" t="inlineStr">
        <is>
          <t>鲜水湾</t>
        </is>
      </c>
      <c r="E63" t="inlineStr">
        <is>
          <t>49316638994</t>
        </is>
      </c>
      <c r="F63" t="inlineStr">
        <is>
          <t>2026-04-25 14:44:20</t>
        </is>
      </c>
      <c r="G63" t="inlineStr">
        <is>
          <t>图文</t>
        </is>
      </c>
      <c r="H63" t="inlineStr">
        <is>
          <t>手剥虾仁 无冰衣无添加 低脂餐一人食 上班带饭 顺丰包邮 5盒装</t>
        </is>
      </c>
      <c r="I63" t="inlineStr">
        <is>
          <t>694baba01d450d00013662f0</t>
        </is>
      </c>
      <c r="J63" t="inlineStr">
        <is>
          <t/>
        </is>
      </c>
      <c r="K63" t="n">
        <v>266.0</v>
      </c>
      <c r="L63" t="n">
        <v>3.0</v>
      </c>
      <c r="M63" t="n">
        <v>72.0</v>
      </c>
      <c r="N63" t="inlineStr">
        <is>
          <t>0.16551724137931034</t>
        </is>
      </c>
      <c r="O63" t="n">
        <v>62.0</v>
      </c>
      <c r="P63" t="n">
        <v>3.0</v>
      </c>
      <c r="Q63" t="inlineStr">
        <is>
          <t>0.041666666666666664</t>
        </is>
      </c>
      <c r="R63" t="inlineStr">
        <is>
          <t>0.04838709677419355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13.0</v>
      </c>
      <c r="Z63" t="n">
        <v>17.0</v>
      </c>
      <c r="AA63" t="n">
        <v>0.0</v>
      </c>
      <c r="AB63" t="n">
        <v>0.0</v>
      </c>
      <c r="AC63" t="n">
        <v>0.0</v>
      </c>
      <c r="AD63" t="n">
        <v>435.0</v>
      </c>
      <c r="AE63" t="n">
        <v>3.0</v>
      </c>
      <c r="AF63" t="n">
        <v>1.0</v>
      </c>
      <c r="AG63" t="n">
        <v>0.0</v>
      </c>
      <c r="AH63" t="n">
        <v>2.0</v>
      </c>
      <c r="AI63" t="n">
        <v>1.0</v>
      </c>
      <c r="AJ63" t="n">
        <v>0.0</v>
      </c>
      <c r="AK63" t="n">
        <v>11.682758620689656</v>
      </c>
      <c r="AL63" t="inlineStr">
        <is>
          <t/>
        </is>
      </c>
    </row>
    <row r="64">
      <c r="A64" t="inlineStr">
        <is>
          <t>减肥两个月瘦了12斤，我悟了！</t>
        </is>
      </c>
      <c r="B64" t="inlineStr">
        <is>
          <t>69d73619000000001f004ac5</t>
        </is>
      </c>
      <c r="C64" s="63" t="n">
        <f>HYPERLINK("https://www.xiaohongshu.com/explore/69d73619000000001f004ac5?xsec_token=TBabSJw1DqF320Z_FWL3yrQ2An3LMR0UWLRr4SGyeNN9Y=&amp;xsec_source=pc_trdark","https://www.xiaohongshu.com/explore/69d73619000000001f004ac5?xsec_token=TBabSJw1DqF320Z_FWL3yrQ2An3LMR0UWLRr4SGyeNN9Y=&amp;xsec_source=pc_trdark")</f>
        <v>0.0</v>
      </c>
      <c r="D64" t="inlineStr">
        <is>
          <t>菲菲上班吃什么</t>
        </is>
      </c>
      <c r="E64" t="inlineStr">
        <is>
          <t>49936530607</t>
        </is>
      </c>
      <c r="F64" t="inlineStr">
        <is>
          <t>2026-04-09 13:16:09</t>
        </is>
      </c>
      <c r="G64" t="inlineStr">
        <is>
          <t>图文</t>
        </is>
      </c>
      <c r="H64" t="inlineStr">
        <is>
          <t>手剥虾仁 无冰衣无添加 低脂餐一人食 上班带饭 顺丰包邮 5盒装</t>
        </is>
      </c>
      <c r="I64" t="inlineStr">
        <is>
          <t>694baba01d450d00013662f0</t>
        </is>
      </c>
      <c r="J64" t="inlineStr">
        <is>
          <t/>
        </is>
      </c>
      <c r="K64" t="n">
        <v>69.0</v>
      </c>
      <c r="L64" t="n">
        <v>1.0</v>
      </c>
      <c r="M64" t="n">
        <v>33.0</v>
      </c>
      <c r="N64" t="inlineStr">
        <is>
          <t>0.07764705882352942</t>
        </is>
      </c>
      <c r="O64" t="n">
        <v>29.0</v>
      </c>
      <c r="P64" t="n">
        <v>1.0</v>
      </c>
      <c r="Q64" t="inlineStr">
        <is>
          <t>0.030303030303030304</t>
        </is>
      </c>
      <c r="R64" t="inlineStr">
        <is>
          <t>0.034482758620689655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6.0</v>
      </c>
      <c r="Z64" t="n">
        <v>8.0</v>
      </c>
      <c r="AA64" t="n">
        <v>0.0</v>
      </c>
      <c r="AB64" t="n">
        <v>0.0</v>
      </c>
      <c r="AC64" t="n">
        <v>0.0</v>
      </c>
      <c r="AD64" t="n">
        <v>425.0</v>
      </c>
      <c r="AE64" t="n">
        <v>2.0</v>
      </c>
      <c r="AF64" t="n">
        <v>0.0</v>
      </c>
      <c r="AG64" t="n">
        <v>0.0</v>
      </c>
      <c r="AH64" t="n">
        <v>1.0</v>
      </c>
      <c r="AI64" t="n">
        <v>0.0</v>
      </c>
      <c r="AJ64" t="n">
        <v>0.0</v>
      </c>
      <c r="AK64" t="n">
        <v>13.425882352941176</v>
      </c>
      <c r="AL64" t="inlineStr">
        <is>
          <t/>
        </is>
      </c>
    </row>
    <row r="65">
      <c r="A65" t="inlineStr">
        <is>
          <t>因为穷，瘦了 15 斤。。。</t>
        </is>
      </c>
      <c r="B65" t="inlineStr">
        <is>
          <t>69db9eda000000001a034a09</t>
        </is>
      </c>
      <c r="C65" s="64" t="n">
        <f>HYPERLINK("https://www.xiaohongshu.com/explore/69db9eda000000001a034a09?xsec_token=TBv7n0Oy0CPbFvgz473v78kTZa82zzBxMklPZNgmAXzXQ=&amp;xsec_source=pc_trdark","https://www.xiaohongshu.com/explore/69db9eda000000001a034a09?xsec_token=TBv7n0Oy0CPbFvgz473v78kTZa82zzBxMklPZNgmAXzXQ=&amp;xsec_source=pc_trdark")</f>
        <v>0.0</v>
      </c>
      <c r="D65" t="inlineStr">
        <is>
          <t>菲菲上班吃什么</t>
        </is>
      </c>
      <c r="E65" t="inlineStr">
        <is>
          <t>49936530607</t>
        </is>
      </c>
      <c r="F65" t="inlineStr">
        <is>
          <t>2026-04-12 21:32:10</t>
        </is>
      </c>
      <c r="G65" t="inlineStr">
        <is>
          <t>图文</t>
        </is>
      </c>
      <c r="H65" t="inlineStr">
        <is>
          <t>手剥虾仁 无冰衣无添加 低脂餐一人食 上班带饭 顺丰包邮 5盒装</t>
        </is>
      </c>
      <c r="I65" t="inlineStr">
        <is>
          <t>694baba01d450d00013662f0</t>
        </is>
      </c>
      <c r="J65" t="inlineStr">
        <is>
          <t/>
        </is>
      </c>
      <c r="K65" t="n">
        <v>207.0</v>
      </c>
      <c r="L65" t="n">
        <v>3.0</v>
      </c>
      <c r="M65" t="n">
        <v>38.0</v>
      </c>
      <c r="N65" t="inlineStr">
        <is>
          <t>0.09047619047619047</t>
        </is>
      </c>
      <c r="O65" t="n">
        <v>32.0</v>
      </c>
      <c r="P65" t="n">
        <v>3.0</v>
      </c>
      <c r="Q65" t="inlineStr">
        <is>
          <t>0.07894736842105263</t>
        </is>
      </c>
      <c r="R65" t="n">
        <v>0.09375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7.0</v>
      </c>
      <c r="Z65" t="n">
        <v>17.0</v>
      </c>
      <c r="AA65" t="n">
        <v>0.0</v>
      </c>
      <c r="AB65" t="n">
        <v>0.0</v>
      </c>
      <c r="AC65" t="n">
        <v>0.0</v>
      </c>
      <c r="AD65" t="n">
        <v>420.0</v>
      </c>
      <c r="AE65" t="n">
        <v>6.0</v>
      </c>
      <c r="AF65" t="n">
        <v>2.0</v>
      </c>
      <c r="AG65" t="n">
        <v>0.0</v>
      </c>
      <c r="AH65" t="n">
        <v>2.0</v>
      </c>
      <c r="AI65" t="n">
        <v>0.0</v>
      </c>
      <c r="AJ65" t="n">
        <v>0.0</v>
      </c>
      <c r="AK65" t="n">
        <v>18.754761904761907</v>
      </c>
      <c r="AL65" t="inlineStr">
        <is>
          <t/>
        </is>
      </c>
    </row>
    <row r="66">
      <c r="A66" t="inlineStr">
        <is>
          <t>平台期卡了半个月全靠虾仁破局</t>
        </is>
      </c>
      <c r="B66" t="inlineStr">
        <is>
          <t>69da5b6a00000000230059c4</t>
        </is>
      </c>
      <c r="C66" s="65" t="n">
        <f>HYPERLINK("https://www.xiaohongshu.com/explore/69da5b6a00000000230059c4?xsec_token=TBhxbjR_dqBsHKT9m13UeVyp3vGqoF_A5ZKpcf3nWAyD8=&amp;xsec_source=pc_trdark","https://www.xiaohongshu.com/explore/69da5b6a00000000230059c4?xsec_token=TBhxbjR_dqBsHKT9m13UeVyp3vGqoF_A5ZKpcf3nWAyD8=&amp;xsec_source=pc_trdark")</f>
        <v>0.0</v>
      </c>
      <c r="D66" t="inlineStr">
        <is>
          <t>菲菲上班吃什么</t>
        </is>
      </c>
      <c r="E66" t="inlineStr">
        <is>
          <t>49936530607</t>
        </is>
      </c>
      <c r="F66" t="inlineStr">
        <is>
          <t>2026-04-11 22:32:10</t>
        </is>
      </c>
      <c r="G66" t="inlineStr">
        <is>
          <t>图文</t>
        </is>
      </c>
      <c r="H66" t="inlineStr">
        <is>
          <t>手剥虾仁 无冰衣无添加 低脂餐一人食 上班带饭 顺丰包邮 5盒装</t>
        </is>
      </c>
      <c r="I66" t="inlineStr">
        <is>
          <t>694baba01d450d00013662f0</t>
        </is>
      </c>
      <c r="J66" t="inlineStr">
        <is>
          <t/>
        </is>
      </c>
      <c r="K66" t="n">
        <v>138.0</v>
      </c>
      <c r="L66" t="n">
        <v>1.0</v>
      </c>
      <c r="M66" t="n">
        <v>27.0</v>
      </c>
      <c r="N66" t="n">
        <v>0.0645933014354067</v>
      </c>
      <c r="O66" t="n">
        <v>22.0</v>
      </c>
      <c r="P66" t="n">
        <v>1.0</v>
      </c>
      <c r="Q66" t="inlineStr">
        <is>
          <t>0.037037037037037035</t>
        </is>
      </c>
      <c r="R66" t="inlineStr">
        <is>
          <t>0.045454545454545456</t>
        </is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6.0</v>
      </c>
      <c r="Z66" t="n">
        <v>2.0</v>
      </c>
      <c r="AA66" t="n">
        <v>0.0</v>
      </c>
      <c r="AB66" t="n">
        <v>0.0</v>
      </c>
      <c r="AC66" t="n">
        <v>0.0</v>
      </c>
      <c r="AD66" t="n">
        <v>418.0</v>
      </c>
      <c r="AE66" t="n">
        <v>1.0</v>
      </c>
      <c r="AF66" t="n">
        <v>1.0</v>
      </c>
      <c r="AG66" t="n">
        <v>0.0</v>
      </c>
      <c r="AH66" t="n">
        <v>1.0</v>
      </c>
      <c r="AI66" t="n">
        <v>0.0</v>
      </c>
      <c r="AJ66" t="n">
        <v>0.0</v>
      </c>
      <c r="AK66" t="n">
        <v>12.260765550239235</v>
      </c>
      <c r="AL66" t="inlineStr">
        <is>
          <t/>
        </is>
      </c>
    </row>
    <row r="67">
      <c r="A67" t="inlineStr">
        <is>
          <t>第一次对爬坡后吃快碳起了敬意…</t>
        </is>
      </c>
      <c r="B67" t="inlineStr">
        <is>
          <t>69e5e6020000000022029222</t>
        </is>
      </c>
      <c r="C67" s="66" t="n">
        <f>HYPERLINK("https://www.xiaohongshu.com/explore/69e5e6020000000022029222?xsec_token=TBRM_4pSbJalcnymykJyoKXZoNY-P_7xCkGDjytDnPOYk=&amp;xsec_source=pc_trdark","https://www.xiaohongshu.com/explore/69e5e6020000000022029222?xsec_token=TBRM_4pSbJalcnymykJyoKXZoNY-P_7xCkGDjytDnPOYk=&amp;xsec_source=pc_trdark")</f>
        <v>0.0</v>
      </c>
      <c r="D67" t="inlineStr">
        <is>
          <t>菲菲上班吃什么</t>
        </is>
      </c>
      <c r="E67" t="inlineStr">
        <is>
          <t>49936530607</t>
        </is>
      </c>
      <c r="F67" t="inlineStr">
        <is>
          <t>2026-04-20 16:38:26</t>
        </is>
      </c>
      <c r="G67" t="inlineStr">
        <is>
          <t>图文</t>
        </is>
      </c>
      <c r="H67" t="inlineStr">
        <is>
          <t>手剥虾仁 无冰衣无添加 低脂餐一人食 上班带饭 顺丰包邮 5盒装</t>
        </is>
      </c>
      <c r="I67" t="inlineStr">
        <is>
          <t>694baba01d450d00013662f0</t>
        </is>
      </c>
      <c r="J67" t="inlineStr">
        <is>
          <t/>
        </is>
      </c>
      <c r="K67" t="n">
        <v>266.0</v>
      </c>
      <c r="L67" t="n">
        <v>3.0</v>
      </c>
      <c r="M67" t="n">
        <v>18.0</v>
      </c>
      <c r="N67" t="inlineStr">
        <is>
          <t>0.04316546762589928</t>
        </is>
      </c>
      <c r="O67" t="n">
        <v>16.0</v>
      </c>
      <c r="P67" t="n">
        <v>3.0</v>
      </c>
      <c r="Q67" t="inlineStr">
        <is>
          <t>0.16666666666666666</t>
        </is>
      </c>
      <c r="R67" t="n">
        <v>0.1875</v>
      </c>
      <c r="S67" t="n">
        <v>128.0</v>
      </c>
      <c r="T67" t="n">
        <v>1.0</v>
      </c>
      <c r="U67" t="n">
        <v>1.0</v>
      </c>
      <c r="V67" t="n">
        <v>128.0</v>
      </c>
      <c r="W67" t="inlineStr">
        <is>
          <t>0.48120300751879697</t>
        </is>
      </c>
      <c r="X67" t="n">
        <v>1.0</v>
      </c>
      <c r="Y67" t="n">
        <v>5.0</v>
      </c>
      <c r="Z67" t="n">
        <v>9.0</v>
      </c>
      <c r="AA67" t="n">
        <v>0.0</v>
      </c>
      <c r="AB67" t="n">
        <v>0.0</v>
      </c>
      <c r="AC67" t="n">
        <v>0.0</v>
      </c>
      <c r="AD67" t="n">
        <v>417.0</v>
      </c>
      <c r="AE67" t="n">
        <v>1.0</v>
      </c>
      <c r="AF67" t="n">
        <v>2.0</v>
      </c>
      <c r="AG67" t="n">
        <v>0.0</v>
      </c>
      <c r="AH67" t="n">
        <v>1.0</v>
      </c>
      <c r="AI67" t="n">
        <v>0.0</v>
      </c>
      <c r="AJ67" t="n">
        <v>0.0</v>
      </c>
      <c r="AK67" t="n">
        <v>14.817745803357314</v>
      </c>
      <c r="AL67" t="inlineStr">
        <is>
          <t/>
        </is>
      </c>
    </row>
    <row r="68">
      <c r="A68" t="inlineStr">
        <is>
          <t>100块够吃一周的！和外卖说再见👋</t>
        </is>
      </c>
      <c r="B68" t="inlineStr">
        <is>
          <t>69c0c1fd0000000023015a4e</t>
        </is>
      </c>
      <c r="C68" s="67" t="n">
        <f>HYPERLINK("https://www.xiaohongshu.com/explore/69c0c1fd0000000023015a4e?xsec_token=TBlSRAgxB_sBYkF02kEEKO5zZd1eF8eXLXKM01ZZV1N2g=&amp;xsec_source=pc_trdark","https://www.xiaohongshu.com/explore/69c0c1fd0000000023015a4e?xsec_token=TBlSRAgxB_sBYkF02kEEKO5zZd1eF8eXLXKM01ZZV1N2g=&amp;xsec_source=pc_trdark")</f>
        <v>0.0</v>
      </c>
      <c r="D68" t="inlineStr">
        <is>
          <t>婉婉上班吃什么</t>
        </is>
      </c>
      <c r="E68" t="inlineStr">
        <is>
          <t>11434449706</t>
        </is>
      </c>
      <c r="F68" t="inlineStr">
        <is>
          <t>2026-03-23 12:30:53</t>
        </is>
      </c>
      <c r="G68" t="inlineStr">
        <is>
          <t>图文</t>
        </is>
      </c>
      <c r="H68" t="inlineStr">
        <is>
          <t>手剥虾仁 无冰衣无添加 低脂餐一人食 上班带饭 顺丰包邮 5盒装</t>
        </is>
      </c>
      <c r="I68" t="inlineStr">
        <is>
          <t>694baba01d450d00013662f0</t>
        </is>
      </c>
      <c r="J68" t="inlineStr">
        <is>
          <t/>
        </is>
      </c>
      <c r="K68" t="n">
        <v>404.0</v>
      </c>
      <c r="L68" t="n">
        <v>5.0</v>
      </c>
      <c r="M68" t="n">
        <v>120.0</v>
      </c>
      <c r="N68" t="n">
        <v>0.293398533007335</v>
      </c>
      <c r="O68" t="n">
        <v>107.0</v>
      </c>
      <c r="P68" t="n">
        <v>5.0</v>
      </c>
      <c r="Q68" t="inlineStr">
        <is>
          <t>0.041666666666666664</t>
        </is>
      </c>
      <c r="R68" t="inlineStr">
        <is>
          <t>0.04672897196261682</t>
        </is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22.0</v>
      </c>
      <c r="Z68" t="n">
        <v>26.0</v>
      </c>
      <c r="AA68" t="n">
        <v>0.0</v>
      </c>
      <c r="AB68" t="n">
        <v>0.0</v>
      </c>
      <c r="AC68" t="n">
        <v>0.0</v>
      </c>
      <c r="AD68" t="n">
        <v>409.0</v>
      </c>
      <c r="AE68" t="n">
        <v>4.0</v>
      </c>
      <c r="AF68" t="n">
        <v>0.0</v>
      </c>
      <c r="AG68" t="n">
        <v>0.0</v>
      </c>
      <c r="AH68" t="n">
        <v>1.0</v>
      </c>
      <c r="AI68" t="n">
        <v>1.0</v>
      </c>
      <c r="AJ68" t="n">
        <v>0.0</v>
      </c>
      <c r="AK68" t="n">
        <v>14.726161369193154</v>
      </c>
      <c r="AL68" t="inlineStr">
        <is>
          <t/>
        </is>
      </c>
    </row>
    <row r="69">
      <c r="A69" t="inlineStr">
        <is>
          <t>每天带一袋虾仁上班，同事说我很有钱</t>
        </is>
      </c>
      <c r="B69" t="inlineStr">
        <is>
          <t>69d11c44000000002003a922</t>
        </is>
      </c>
      <c r="C69" s="68" t="n">
        <f>HYPERLINK("https://www.xiaohongshu.com/explore/69d11c44000000002003a922?xsec_token=TBT5TAUGV3LcD_GYbSvfENiy8brECvwJ0r_gpiZZj7Z8c=&amp;xsec_source=pc_trdark","https://www.xiaohongshu.com/explore/69d11c44000000002003a922?xsec_token=TBT5TAUGV3LcD_GYbSvfENiy8brECvwJ0r_gpiZZj7Z8c=&amp;xsec_source=pc_trdark")</f>
        <v>0.0</v>
      </c>
      <c r="D69" t="inlineStr">
        <is>
          <t>婉婉上班吃什么</t>
        </is>
      </c>
      <c r="E69" t="inlineStr">
        <is>
          <t>11434449706</t>
        </is>
      </c>
      <c r="F69" t="inlineStr">
        <is>
          <t>2026-04-04 22:12:20</t>
        </is>
      </c>
      <c r="G69" t="inlineStr">
        <is>
          <t>图文</t>
        </is>
      </c>
      <c r="H69" t="inlineStr">
        <is>
          <t>手剥虾仁 无冰衣无添加 低脂餐一人食 上班带饭 顺丰包邮 5盒装</t>
        </is>
      </c>
      <c r="I69" t="inlineStr">
        <is>
          <t>694baba01d450d00013662f0</t>
        </is>
      </c>
      <c r="J69" t="inlineStr">
        <is>
          <t/>
        </is>
      </c>
      <c r="K69" t="n">
        <v>138.0</v>
      </c>
      <c r="L69" t="n">
        <v>2.0</v>
      </c>
      <c r="M69" t="n">
        <v>66.0</v>
      </c>
      <c r="N69" t="inlineStr">
        <is>
          <t>0.16176470588235295</t>
        </is>
      </c>
      <c r="O69" t="n">
        <v>55.0</v>
      </c>
      <c r="P69" t="n">
        <v>2.0</v>
      </c>
      <c r="Q69" t="inlineStr">
        <is>
          <t>0.030303030303030304</t>
        </is>
      </c>
      <c r="R69" t="inlineStr">
        <is>
          <t>0.03636363636363636</t>
        </is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15.0</v>
      </c>
      <c r="Z69" t="n">
        <v>9.0</v>
      </c>
      <c r="AA69" t="n">
        <v>0.0</v>
      </c>
      <c r="AB69" t="n">
        <v>0.0</v>
      </c>
      <c r="AC69" t="n">
        <v>0.0</v>
      </c>
      <c r="AD69" t="n">
        <v>408.0</v>
      </c>
      <c r="AE69" t="n">
        <v>2.0</v>
      </c>
      <c r="AF69" t="n">
        <v>1.0</v>
      </c>
      <c r="AG69" t="n">
        <v>0.0</v>
      </c>
      <c r="AH69" t="n">
        <v>1.0</v>
      </c>
      <c r="AI69" t="n">
        <v>0.0</v>
      </c>
      <c r="AJ69" t="n">
        <v>0.0</v>
      </c>
      <c r="AK69" t="n">
        <v>12.860294117647058</v>
      </c>
      <c r="AL69" t="inlineStr">
        <is>
          <t/>
        </is>
      </c>
    </row>
    <row r="70">
      <c r="A70" t="inlineStr">
        <is>
          <t>老天奶...一周9斤啊</t>
        </is>
      </c>
      <c r="B70" t="inlineStr">
        <is>
          <t>69dd0d05000000001a0347cc</t>
        </is>
      </c>
      <c r="C70" s="69" t="n">
        <f>HYPERLINK("https://www.xiaohongshu.com/explore/69dd0d05000000001a0347cc?xsec_token=TB8r3ufLA5jFsQMlCYrT2kPp98gy2lsYvRmV_oIBW0Iwg=&amp;xsec_source=pc_trdark","https://www.xiaohongshu.com/explore/69dd0d05000000001a0347cc?xsec_token=TB8r3ufLA5jFsQMlCYrT2kPp98gy2lsYvRmV_oIBW0Iwg=&amp;xsec_source=pc_trdark")</f>
        <v>0.0</v>
      </c>
      <c r="D70" t="inlineStr">
        <is>
          <t>菲菲上班吃什么</t>
        </is>
      </c>
      <c r="E70" t="inlineStr">
        <is>
          <t>49936530607</t>
        </is>
      </c>
      <c r="F70" t="inlineStr">
        <is>
          <t>2026-04-13 23:34:29</t>
        </is>
      </c>
      <c r="G70" t="inlineStr">
        <is>
          <t>图文</t>
        </is>
      </c>
      <c r="H70" t="inlineStr">
        <is>
          <t>手剥虾仁 无冰衣无添加 低脂餐一人食 上班带饭 顺丰包邮 5盒装</t>
        </is>
      </c>
      <c r="I70" t="inlineStr">
        <is>
          <t>694baba01d450d00013662f0</t>
        </is>
      </c>
      <c r="J70" t="inlineStr">
        <is>
          <t/>
        </is>
      </c>
      <c r="K70" t="n">
        <v>207.0</v>
      </c>
      <c r="L70" t="n">
        <v>3.0</v>
      </c>
      <c r="M70" t="n">
        <v>41.0</v>
      </c>
      <c r="N70" t="inlineStr">
        <is>
          <t>0.10353535353535354</t>
        </is>
      </c>
      <c r="O70" t="n">
        <v>39.0</v>
      </c>
      <c r="P70" t="n">
        <v>3.0</v>
      </c>
      <c r="Q70" t="inlineStr">
        <is>
          <t>0.07317073170731707</t>
        </is>
      </c>
      <c r="R70" t="inlineStr">
        <is>
          <t>0.07692307692307693</t>
        </is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4.0</v>
      </c>
      <c r="Z70" t="n">
        <v>13.0</v>
      </c>
      <c r="AA70" t="n">
        <v>0.0</v>
      </c>
      <c r="AB70" t="n">
        <v>0.0</v>
      </c>
      <c r="AC70" t="n">
        <v>0.0</v>
      </c>
      <c r="AD70" t="n">
        <v>396.0</v>
      </c>
      <c r="AE70" t="n">
        <v>2.0</v>
      </c>
      <c r="AF70" t="n">
        <v>1.0</v>
      </c>
      <c r="AG70" t="n">
        <v>0.0</v>
      </c>
      <c r="AH70" t="n">
        <v>1.0</v>
      </c>
      <c r="AI70" t="n">
        <v>0.0</v>
      </c>
      <c r="AJ70" t="n">
        <v>0.0</v>
      </c>
      <c r="AK70" t="n">
        <v>17.343434343434343</v>
      </c>
      <c r="AL70" t="inlineStr">
        <is>
          <t/>
        </is>
      </c>
    </row>
    <row r="71">
      <c r="A71" t="inlineStr">
        <is>
          <t>以为300块没多少，结果整条鱼都发来了</t>
        </is>
      </c>
      <c r="B71" t="inlineStr">
        <is>
          <t>69e3415b00000000220295ee</t>
        </is>
      </c>
      <c r="C71" s="70" t="n">
        <f>HYPERLINK("https://www.xiaohongshu.com/explore/69e3415b00000000220295ee?xsec_token=TBdjj7K6Nlm9yT2LpYB6PpNvduhAViFLIdqk0FkEf2acg=&amp;xsec_source=pc_trdark","https://www.xiaohongshu.com/explore/69e3415b00000000220295ee?xsec_token=TBdjj7K6Nlm9yT2LpYB6PpNvduhAViFLIdqk0FkEf2acg=&amp;xsec_source=pc_trdark")</f>
        <v>0.0</v>
      </c>
      <c r="D71" t="inlineStr">
        <is>
          <t>菲菲上班吃什么</t>
        </is>
      </c>
      <c r="E71" t="inlineStr">
        <is>
          <t>49936530607</t>
        </is>
      </c>
      <c r="F71" t="inlineStr">
        <is>
          <t>2026-04-18 16:31:23</t>
        </is>
      </c>
      <c r="G71" t="inlineStr">
        <is>
          <t>图文</t>
        </is>
      </c>
      <c r="H71" t="inlineStr">
        <is>
          <t>智利三文鱼切块·整条三文鱼·深海鱼一人食健康饮食</t>
        </is>
      </c>
      <c r="I71" t="inlineStr">
        <is>
          <t>691ac562a524ee0001b51d7b</t>
        </is>
      </c>
      <c r="J71" t="inlineStr">
        <is>
          <t/>
        </is>
      </c>
      <c r="K71" t="n">
        <v>1014.0</v>
      </c>
      <c r="L71" t="n">
        <v>3.0</v>
      </c>
      <c r="M71" t="n">
        <v>62.0</v>
      </c>
      <c r="N71" t="n">
        <v>0.1569620253164557</v>
      </c>
      <c r="O71" t="n">
        <v>54.0</v>
      </c>
      <c r="P71" t="n">
        <v>3.0</v>
      </c>
      <c r="Q71" t="inlineStr">
        <is>
          <t>0.04838709677419355</t>
        </is>
      </c>
      <c r="R71" t="inlineStr">
        <is>
          <t>0.05555555555555555</t>
        </is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19.0</v>
      </c>
      <c r="Z71" t="n">
        <v>15.0</v>
      </c>
      <c r="AA71" t="n">
        <v>0.0</v>
      </c>
      <c r="AB71" t="n">
        <v>0.0</v>
      </c>
      <c r="AC71" t="n">
        <v>0.0</v>
      </c>
      <c r="AD71" t="n">
        <v>395.0</v>
      </c>
      <c r="AE71" t="n">
        <v>3.0</v>
      </c>
      <c r="AF71" t="n">
        <v>2.0</v>
      </c>
      <c r="AG71" t="n">
        <v>0.0</v>
      </c>
      <c r="AH71" t="n">
        <v>1.0</v>
      </c>
      <c r="AI71" t="n">
        <v>0.0</v>
      </c>
      <c r="AJ71" t="n">
        <v>0.0</v>
      </c>
      <c r="AK71" t="n">
        <v>17.577215189873417</v>
      </c>
      <c r="AL71" t="inlineStr">
        <is>
          <t/>
        </is>
      </c>
    </row>
    <row r="72">
      <c r="A72" t="inlineStr">
        <is>
          <t>听老粉的话，推出了一人食小包装</t>
        </is>
      </c>
      <c r="B72" t="inlineStr">
        <is>
          <t>69df5d7b000000001b020818</t>
        </is>
      </c>
      <c r="C72" s="71" t="n">
        <f>HYPERLINK("https://www.xiaohongshu.com/explore/69df5d7b000000001b020818?xsec_token=TBbELi6fdmnK2TYKEzYY0fWoxqBWO2JJMF9tvRLcybtmg=&amp;xsec_source=pc_trdark","https://www.xiaohongshu.com/explore/69df5d7b000000001b020818?xsec_token=TBbELi6fdmnK2TYKEzYY0fWoxqBWO2JJMF9tvRLcybtmg=&amp;xsec_source=pc_trdark")</f>
        <v>0.0</v>
      </c>
      <c r="D72" t="inlineStr">
        <is>
          <t>鲜水湾</t>
        </is>
      </c>
      <c r="E72" t="inlineStr">
        <is>
          <t>49316638994</t>
        </is>
      </c>
      <c r="F72" t="inlineStr">
        <is>
          <t>2026-04-15 17:42:19</t>
        </is>
      </c>
      <c r="G72" t="inlineStr">
        <is>
          <t>图文</t>
        </is>
      </c>
      <c r="H72" t="inlineStr">
        <is>
          <t>手剥虾仁 无冰衣无添加 低脂餐一人食 上班带饭 顺丰包邮 5盒装</t>
        </is>
      </c>
      <c r="I72" t="inlineStr">
        <is>
          <t>694baba01d450d00013662f0</t>
        </is>
      </c>
      <c r="J72" t="inlineStr">
        <is>
          <t/>
        </is>
      </c>
      <c r="K72" t="n">
        <v>167.0</v>
      </c>
      <c r="L72" t="n">
        <v>2.0</v>
      </c>
      <c r="M72" t="n">
        <v>76.0</v>
      </c>
      <c r="N72" t="inlineStr">
        <is>
          <t>0.19338422391857507</t>
        </is>
      </c>
      <c r="O72" t="n">
        <v>67.0</v>
      </c>
      <c r="P72" t="n">
        <v>2.0</v>
      </c>
      <c r="Q72" t="inlineStr">
        <is>
          <t>0.02631578947368421</t>
        </is>
      </c>
      <c r="R72" t="inlineStr">
        <is>
          <t>0.029850746268656716</t>
        </is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15.0</v>
      </c>
      <c r="Z72" t="n">
        <v>8.0</v>
      </c>
      <c r="AA72" t="n">
        <v>0.0</v>
      </c>
      <c r="AB72" t="n">
        <v>0.0</v>
      </c>
      <c r="AC72" t="n">
        <v>0.0</v>
      </c>
      <c r="AD72" t="n">
        <v>393.0</v>
      </c>
      <c r="AE72" t="n">
        <v>4.0</v>
      </c>
      <c r="AF72" t="n">
        <v>3.0</v>
      </c>
      <c r="AG72" t="n">
        <v>0.0</v>
      </c>
      <c r="AH72" t="n">
        <v>2.0</v>
      </c>
      <c r="AI72" t="n">
        <v>0.0</v>
      </c>
      <c r="AJ72" t="n">
        <v>0.0</v>
      </c>
      <c r="AK72" t="n">
        <v>15.091603053435115</v>
      </c>
      <c r="AL72" t="inlineStr">
        <is>
          <t/>
        </is>
      </c>
    </row>
    <row r="73">
      <c r="A73" t="inlineStr">
        <is>
          <t>某姆的大包装太多，原产地的小包装总行了吧</t>
        </is>
      </c>
      <c r="B73" t="inlineStr">
        <is>
          <t>69e5c59d000000001a02f4d0</t>
        </is>
      </c>
      <c r="C73" s="72" t="n">
        <f>HYPERLINK("https://www.xiaohongshu.com/explore/69e5c59d000000001a02f4d0?xsec_token=TBRM_4pSbJalcnymykJyoKXUn0yVFZlj7i1TmrqIIcKoI=&amp;xsec_source=pc_trdark","https://www.xiaohongshu.com/explore/69e5c59d000000001a02f4d0?xsec_token=TBRM_4pSbJalcnymykJyoKXUn0yVFZlj7i1TmrqIIcKoI=&amp;xsec_source=pc_trdark")</f>
        <v>0.0</v>
      </c>
      <c r="D73" t="inlineStr">
        <is>
          <t>鲜水湾</t>
        </is>
      </c>
      <c r="E73" t="inlineStr">
        <is>
          <t>49316638994</t>
        </is>
      </c>
      <c r="F73" t="inlineStr">
        <is>
          <t>2026-04-20 14:20:13</t>
        </is>
      </c>
      <c r="G73" t="inlineStr">
        <is>
          <t>图文</t>
        </is>
      </c>
      <c r="H73" t="inlineStr">
        <is>
          <t>手剥虾仁 无冰衣无添加 低脂餐一人食 上班带饭 顺丰包邮 5盒装</t>
        </is>
      </c>
      <c r="I73" t="inlineStr">
        <is>
          <t>694baba01d450d00013662f0</t>
        </is>
      </c>
      <c r="J73" t="inlineStr">
        <is>
          <t/>
        </is>
      </c>
      <c r="K73" t="n">
        <v>69.0</v>
      </c>
      <c r="L73" t="n">
        <v>1.0</v>
      </c>
      <c r="M73" t="n">
        <v>43.0</v>
      </c>
      <c r="N73" t="inlineStr">
        <is>
          <t>0.11082474226804123</t>
        </is>
      </c>
      <c r="O73" t="n">
        <v>39.0</v>
      </c>
      <c r="P73" t="n">
        <v>1.0</v>
      </c>
      <c r="Q73" t="inlineStr">
        <is>
          <t>0.023255813953488372</t>
        </is>
      </c>
      <c r="R73" t="inlineStr">
        <is>
          <t>0.02564102564102564</t>
        </is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9.0</v>
      </c>
      <c r="Z73" t="n">
        <v>15.0</v>
      </c>
      <c r="AA73" t="n">
        <v>0.0</v>
      </c>
      <c r="AB73" t="n">
        <v>0.0</v>
      </c>
      <c r="AC73" t="n">
        <v>0.0</v>
      </c>
      <c r="AD73" t="n">
        <v>388.0</v>
      </c>
      <c r="AE73" t="n">
        <v>8.0</v>
      </c>
      <c r="AF73" t="n">
        <v>2.0</v>
      </c>
      <c r="AG73" t="n">
        <v>0.0</v>
      </c>
      <c r="AH73" t="n">
        <v>3.0</v>
      </c>
      <c r="AI73" t="n">
        <v>1.0</v>
      </c>
      <c r="AJ73" t="n">
        <v>0.0</v>
      </c>
      <c r="AK73" t="n">
        <v>9.018041237113403</v>
      </c>
      <c r="AL73" t="inlineStr">
        <is>
          <t/>
        </is>
      </c>
    </row>
    <row r="74">
      <c r="A74" t="inlineStr">
        <is>
          <t>泪水打湿减脂餐，坚持瘦到100斤</t>
        </is>
      </c>
      <c r="B74" t="inlineStr">
        <is>
          <t>69e70c76000000001f002df3</t>
        </is>
      </c>
      <c r="C74" s="73" t="n">
        <f>HYPERLINK("https://www.xiaohongshu.com/explore/69e70c76000000001f002df3?xsec_token=TBxJD1S06w8M0Ib6UdHEwWiMeNbVGLL7WbXSR3BMWYtJs=&amp;xsec_source=pc_trdark","https://www.xiaohongshu.com/explore/69e70c76000000001f002df3?xsec_token=TBxJD1S06w8M0Ib6UdHEwWiMeNbVGLL7WbXSR3BMWYtJs=&amp;xsec_source=pc_trdark")</f>
        <v>0.0</v>
      </c>
      <c r="D74" t="inlineStr">
        <is>
          <t>菲菲上班吃什么</t>
        </is>
      </c>
      <c r="E74" t="inlineStr">
        <is>
          <t>49936530607</t>
        </is>
      </c>
      <c r="F74" t="inlineStr">
        <is>
          <t>2026-04-21 13:34:46</t>
        </is>
      </c>
      <c r="G74" t="inlineStr">
        <is>
          <t>图文</t>
        </is>
      </c>
      <c r="H74" t="inlineStr">
        <is>
          <t>智利三文鱼切块·整条三文鱼·深海鱼一人食健康饮食</t>
        </is>
      </c>
      <c r="I74" t="inlineStr">
        <is>
          <t>691ac562a524ee0001b51d7b</t>
        </is>
      </c>
      <c r="J74" t="inlineStr">
        <is>
          <t/>
        </is>
      </c>
      <c r="K74" t="n">
        <v>338.0</v>
      </c>
      <c r="L74" t="n">
        <v>1.0</v>
      </c>
      <c r="M74" t="n">
        <v>21.0</v>
      </c>
      <c r="N74" t="inlineStr">
        <is>
          <t>0.05426356589147287</t>
        </is>
      </c>
      <c r="O74" t="n">
        <v>21.0</v>
      </c>
      <c r="P74" t="n">
        <v>1.0</v>
      </c>
      <c r="Q74" t="inlineStr">
        <is>
          <t>0.047619047619047616</t>
        </is>
      </c>
      <c r="R74" t="inlineStr">
        <is>
          <t>0.047619047619047616</t>
        </is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6.0</v>
      </c>
      <c r="Z74" t="n">
        <v>6.0</v>
      </c>
      <c r="AA74" t="n">
        <v>0.0</v>
      </c>
      <c r="AB74" t="n">
        <v>0.0</v>
      </c>
      <c r="AC74" t="n">
        <v>0.0</v>
      </c>
      <c r="AD74" t="n">
        <v>387.0</v>
      </c>
      <c r="AE74" t="n">
        <v>3.0</v>
      </c>
      <c r="AF74" t="n">
        <v>1.0</v>
      </c>
      <c r="AG74" t="n">
        <v>0.0</v>
      </c>
      <c r="AH74" t="n">
        <v>1.0</v>
      </c>
      <c r="AI74" t="n">
        <v>0.0</v>
      </c>
      <c r="AJ74" t="n">
        <v>0.0</v>
      </c>
      <c r="AK74" t="n">
        <v>14.113695090439277</v>
      </c>
      <c r="AL74" t="inlineStr">
        <is>
          <t/>
        </is>
      </c>
    </row>
    <row r="75">
      <c r="A75" t="inlineStr">
        <is>
          <t>我现在开始无比认同父母的消费观</t>
        </is>
      </c>
      <c r="B75" t="inlineStr">
        <is>
          <t>69d1f45b0000000020039aca</t>
        </is>
      </c>
      <c r="C75" s="74" t="n">
        <f>HYPERLINK("https://www.xiaohongshu.com/explore/69d1f45b0000000020039aca?xsec_token=TBT5TAUGV3LcD_GYbSvfENi2Z9VjnyUlAr5gH6Q7fk6W0=&amp;xsec_source=pc_trdark","https://www.xiaohongshu.com/explore/69d1f45b0000000020039aca?xsec_token=TBT5TAUGV3LcD_GYbSvfENi2Z9VjnyUlAr5gH6Q7fk6W0=&amp;xsec_source=pc_trdark")</f>
        <v>0.0</v>
      </c>
      <c r="D75" t="inlineStr">
        <is>
          <t>婉婉上班吃什么</t>
        </is>
      </c>
      <c r="E75" t="inlineStr">
        <is>
          <t>11434449706</t>
        </is>
      </c>
      <c r="F75" t="inlineStr">
        <is>
          <t>2026-04-05 13:34:19</t>
        </is>
      </c>
      <c r="G75" t="inlineStr">
        <is>
          <t>图文</t>
        </is>
      </c>
      <c r="H75" t="inlineStr">
        <is>
          <t>手剥虾仁 无冰衣无添加 低脂餐一人食 上班带饭 顺丰包邮 5盒装</t>
        </is>
      </c>
      <c r="I75" t="inlineStr">
        <is>
          <t>694baba01d450d00013662f0</t>
        </is>
      </c>
      <c r="J75" t="inlineStr">
        <is>
          <t/>
        </is>
      </c>
      <c r="K75" t="n">
        <v>444.0</v>
      </c>
      <c r="L75" t="n">
        <v>4.0</v>
      </c>
      <c r="M75" t="n">
        <v>65.0</v>
      </c>
      <c r="N75" t="inlineStr">
        <is>
          <t>0.16971279373368145</t>
        </is>
      </c>
      <c r="O75" t="n">
        <v>59.0</v>
      </c>
      <c r="P75" t="n">
        <v>4.0</v>
      </c>
      <c r="Q75" t="inlineStr">
        <is>
          <t>0.06153846153846154</t>
        </is>
      </c>
      <c r="R75" t="inlineStr">
        <is>
          <t>0.06779661016949153</t>
        </is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15.0</v>
      </c>
      <c r="Z75" t="n">
        <v>16.0</v>
      </c>
      <c r="AA75" t="n">
        <v>0.0</v>
      </c>
      <c r="AB75" t="n">
        <v>0.0</v>
      </c>
      <c r="AC75" t="n">
        <v>0.0</v>
      </c>
      <c r="AD75" t="n">
        <v>383.0</v>
      </c>
      <c r="AE75" t="n">
        <v>5.0</v>
      </c>
      <c r="AF75" t="n">
        <v>1.0</v>
      </c>
      <c r="AG75" t="n">
        <v>0.0</v>
      </c>
      <c r="AH75" t="n">
        <v>1.0</v>
      </c>
      <c r="AI75" t="n">
        <v>0.0</v>
      </c>
      <c r="AJ75" t="n">
        <v>0.0</v>
      </c>
      <c r="AK75" t="n">
        <v>14.412532637075717</v>
      </c>
      <c r="AL75" t="inlineStr">
        <is>
          <t/>
        </is>
      </c>
    </row>
    <row r="76">
      <c r="A76" t="inlineStr">
        <is>
          <t>爸妈觉得我每天吃虾仁很奢侈！！！</t>
        </is>
      </c>
      <c r="B76" t="inlineStr">
        <is>
          <t>69ec760a0000000023015f08</t>
        </is>
      </c>
      <c r="C76" s="75" t="n">
        <f>HYPERLINK("https://www.xiaohongshu.com/explore/69ec760a0000000023015f08?xsec_token=TBnoSF_--XRDuLtfF77lVqP6y1d-0KXmi2ilvixoZhQn4=&amp;xsec_source=pc_trdark","https://www.xiaohongshu.com/explore/69ec760a0000000023015f08?xsec_token=TBnoSF_--XRDuLtfF77lVqP6y1d-0KXmi2ilvixoZhQn4=&amp;xsec_source=pc_trdark")</f>
        <v>0.0</v>
      </c>
      <c r="D76" t="inlineStr">
        <is>
          <t>菲菲上班吃什么</t>
        </is>
      </c>
      <c r="E76" t="inlineStr">
        <is>
          <t>49936530607</t>
        </is>
      </c>
      <c r="F76" t="inlineStr">
        <is>
          <t>2026-04-25 16:06:34</t>
        </is>
      </c>
      <c r="G76" t="inlineStr">
        <is>
          <t>视频</t>
        </is>
      </c>
      <c r="H76" t="inlineStr">
        <is>
          <t>手剥虾仁 无冰衣无添加 低脂餐一人食 上班带饭 顺丰包邮 5盒装</t>
        </is>
      </c>
      <c r="I76" t="inlineStr">
        <is>
          <t>694baba01d450d00013662f0</t>
        </is>
      </c>
      <c r="J76" t="n">
        <v>27.0</v>
      </c>
      <c r="K76" t="n">
        <v>0.0</v>
      </c>
      <c r="L76" t="n">
        <v>0.0</v>
      </c>
      <c r="M76" t="n">
        <v>16.0</v>
      </c>
      <c r="N76" t="inlineStr">
        <is>
          <t>0.04199475065616798</t>
        </is>
      </c>
      <c r="O76" t="n">
        <v>16.0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inlineStr">
        <is>
          <t/>
        </is>
      </c>
      <c r="X76" t="n">
        <v>0.0</v>
      </c>
      <c r="Y76" t="n">
        <v>0.0</v>
      </c>
      <c r="Z76" t="n">
        <v>8.0</v>
      </c>
      <c r="AA76" t="n">
        <v>0.0</v>
      </c>
      <c r="AB76" t="n">
        <v>0.0</v>
      </c>
      <c r="AC76" t="n">
        <v>0.0</v>
      </c>
      <c r="AD76" t="n">
        <v>381.0</v>
      </c>
      <c r="AE76" t="n">
        <v>5.0</v>
      </c>
      <c r="AF76" t="n">
        <v>3.0</v>
      </c>
      <c r="AG76" t="n">
        <v>0.0</v>
      </c>
      <c r="AH76" t="n">
        <v>1.0</v>
      </c>
      <c r="AI76" t="n">
        <v>0.0</v>
      </c>
      <c r="AJ76" t="n">
        <v>0.0</v>
      </c>
      <c r="AK76" t="n">
        <v>6.296587926509186</v>
      </c>
      <c r="AL76" t="inlineStr">
        <is>
          <t>0.09045226130653267</t>
        </is>
      </c>
    </row>
    <row r="77">
      <c r="A77" t="inlineStr">
        <is>
          <t>短短一周逼自己So了好多</t>
        </is>
      </c>
      <c r="B77" t="inlineStr">
        <is>
          <t>69e5f2cd000000001b000539</t>
        </is>
      </c>
      <c r="C77" s="76" t="n">
        <f>HYPERLINK("https://www.xiaohongshu.com/explore/69e5f2cd000000001b000539?xsec_token=TBRM_4pSbJalcnymykJyoKXfqslIx2hoqb6xxi8WPBCRA=&amp;xsec_source=pc_trdark","https://www.xiaohongshu.com/explore/69e5f2cd000000001b000539?xsec_token=TBRM_4pSbJalcnymykJyoKXfqslIx2hoqb6xxi8WPBCRA=&amp;xsec_source=pc_trdark")</f>
        <v>0.0</v>
      </c>
      <c r="D77" t="inlineStr">
        <is>
          <t>鲜水湾甄选</t>
        </is>
      </c>
      <c r="E77" t="inlineStr">
        <is>
          <t>27401929161</t>
        </is>
      </c>
      <c r="F77" t="inlineStr">
        <is>
          <t>2026-04-20 18:32:00</t>
        </is>
      </c>
      <c r="G77" t="inlineStr">
        <is>
          <t>图文</t>
        </is>
      </c>
      <c r="H77" t="inlineStr">
        <is>
          <t>手剥虾仁 无冰衣无添加 低脂餐一人食 上班带饭 顺丰包邮 5盒装</t>
        </is>
      </c>
      <c r="I77" t="inlineStr">
        <is>
          <t>694baba01d450d00013662f0</t>
        </is>
      </c>
      <c r="J77" t="inlineStr">
        <is>
          <t/>
        </is>
      </c>
      <c r="K77" t="n">
        <v>205.0</v>
      </c>
      <c r="L77" t="n">
        <v>3.0</v>
      </c>
      <c r="M77" t="n">
        <v>36.0</v>
      </c>
      <c r="N77" t="inlineStr">
        <is>
          <t>0.09473684210526316</t>
        </is>
      </c>
      <c r="O77" t="n">
        <v>29.0</v>
      </c>
      <c r="P77" t="n">
        <v>3.0</v>
      </c>
      <c r="Q77" t="inlineStr">
        <is>
          <t>0.08333333333333333</t>
        </is>
      </c>
      <c r="R77" t="inlineStr">
        <is>
          <t>0.10344827586206896</t>
        </is>
      </c>
      <c r="S77" t="n">
        <v>69.0</v>
      </c>
      <c r="T77" t="n">
        <v>1.0</v>
      </c>
      <c r="U77" t="n">
        <v>1.0</v>
      </c>
      <c r="V77" t="n">
        <v>69.0</v>
      </c>
      <c r="W77" t="inlineStr">
        <is>
          <t>0.33658536585365856</t>
        </is>
      </c>
      <c r="X77" t="n">
        <v>1.0</v>
      </c>
      <c r="Y77" t="n">
        <v>10.0</v>
      </c>
      <c r="Z77" t="n">
        <v>14.0</v>
      </c>
      <c r="AA77" t="n">
        <v>0.0</v>
      </c>
      <c r="AB77" t="n">
        <v>0.0</v>
      </c>
      <c r="AC77" t="n">
        <v>0.0</v>
      </c>
      <c r="AD77" t="n">
        <v>380.0</v>
      </c>
      <c r="AE77" t="n">
        <v>8.0</v>
      </c>
      <c r="AF77" t="n">
        <v>4.0</v>
      </c>
      <c r="AG77" t="n">
        <v>3.0</v>
      </c>
      <c r="AH77" t="n">
        <v>5.0</v>
      </c>
      <c r="AI77" t="n">
        <v>0.0</v>
      </c>
      <c r="AJ77" t="n">
        <v>0.0</v>
      </c>
      <c r="AK77" t="n">
        <v>22.373684210526317</v>
      </c>
      <c r="AL77" t="inlineStr">
        <is>
          <t/>
        </is>
      </c>
    </row>
    <row r="78">
      <c r="A78" t="inlineStr">
        <is>
          <t>听粉丝的话！推出管理期小包装虾仁</t>
        </is>
      </c>
      <c r="B78" t="inlineStr">
        <is>
          <t>69eb36ec000000002202a10f</t>
        </is>
      </c>
      <c r="C78" s="77" t="n">
        <f>HYPERLINK("https://www.xiaohongshu.com/explore/69eb36ec000000002202a10f?xsec_token=TBKYxphePGFVFgSUNcsuIbTcEDuN-5Ak2nt_aAOEvpiho=&amp;xsec_source=pc_trdark","https://www.xiaohongshu.com/explore/69eb36ec000000002202a10f?xsec_token=TBKYxphePGFVFgSUNcsuIbTcEDuN-5Ak2nt_aAOEvpiho=&amp;xsec_source=pc_trdark")</f>
        <v>0.0</v>
      </c>
      <c r="D78" t="inlineStr">
        <is>
          <t>鲜水湾</t>
        </is>
      </c>
      <c r="E78" t="inlineStr">
        <is>
          <t>49316638994</t>
        </is>
      </c>
      <c r="F78" t="inlineStr">
        <is>
          <t>2026-04-24 17:25:00</t>
        </is>
      </c>
      <c r="G78" t="inlineStr">
        <is>
          <t>图文</t>
        </is>
      </c>
      <c r="H78" t="inlineStr">
        <is>
          <t>手剥虾仁 无冰衣无添加 低脂餐一人食 上班带饭 顺丰包邮 5盒装</t>
        </is>
      </c>
      <c r="I78" t="inlineStr">
        <is>
          <t>694baba01d450d00013662f0</t>
        </is>
      </c>
      <c r="J78" t="inlineStr">
        <is>
          <t/>
        </is>
      </c>
      <c r="K78" t="n">
        <v>0.0</v>
      </c>
      <c r="L78" t="n">
        <v>0.0</v>
      </c>
      <c r="M78" t="n">
        <v>63.0</v>
      </c>
      <c r="N78" t="inlineStr">
        <is>
          <t>0.16710875331564987</t>
        </is>
      </c>
      <c r="O78" t="n">
        <v>59.0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inlineStr">
        <is>
          <t/>
        </is>
      </c>
      <c r="X78" t="n">
        <v>0.0</v>
      </c>
      <c r="Y78" t="n">
        <v>9.0</v>
      </c>
      <c r="Z78" t="n">
        <v>11.0</v>
      </c>
      <c r="AA78" t="n">
        <v>0.0</v>
      </c>
      <c r="AB78" t="n">
        <v>0.0</v>
      </c>
      <c r="AC78" t="n">
        <v>0.0</v>
      </c>
      <c r="AD78" t="n">
        <v>377.0</v>
      </c>
      <c r="AE78" t="n">
        <v>4.0</v>
      </c>
      <c r="AF78" t="n">
        <v>1.0</v>
      </c>
      <c r="AG78" t="n">
        <v>0.0</v>
      </c>
      <c r="AH78" t="n">
        <v>3.0</v>
      </c>
      <c r="AI78" t="n">
        <v>1.0</v>
      </c>
      <c r="AJ78" t="n">
        <v>0.0</v>
      </c>
      <c r="AK78" t="n">
        <v>12.082228116710874</v>
      </c>
      <c r="AL78" t="inlineStr">
        <is>
          <t/>
        </is>
      </c>
    </row>
    <row r="79">
      <c r="A79" t="inlineStr">
        <is>
          <t>低卡卡美味的三文鱼，管理期也太幸福了</t>
        </is>
      </c>
      <c r="B79" t="inlineStr">
        <is>
          <t>69e5f9c10000000023006df8</t>
        </is>
      </c>
      <c r="C79" s="78" t="n">
        <f>HYPERLINK("https://www.xiaohongshu.com/explore/69e5f9c10000000023006df8?xsec_token=TBRM_4pSbJalcnymykJyoKXewaM1_5Z2-JEAaRmdOPjWw=&amp;xsec_source=pc_trdark","https://www.xiaohongshu.com/explore/69e5f9c10000000023006df8?xsec_token=TBRM_4pSbJalcnymykJyoKXewaM1_5Z2-JEAaRmdOPjWw=&amp;xsec_source=pc_trdark")</f>
        <v>0.0</v>
      </c>
      <c r="D79" t="inlineStr">
        <is>
          <t>婉婉上班吃什么</t>
        </is>
      </c>
      <c r="E79" t="inlineStr">
        <is>
          <t>11434449706</t>
        </is>
      </c>
      <c r="F79" t="inlineStr">
        <is>
          <t>2026-04-20 18:02:41</t>
        </is>
      </c>
      <c r="G79" t="inlineStr">
        <is>
          <t>图文</t>
        </is>
      </c>
      <c r="H79" t="inlineStr">
        <is>
          <t>智利三文鱼切块·整条三文鱼·深海鱼一人食健康饮食</t>
        </is>
      </c>
      <c r="I79" t="inlineStr">
        <is>
          <t>691ac562a524ee0001b51d7b</t>
        </is>
      </c>
      <c r="J79" t="inlineStr">
        <is>
          <t/>
        </is>
      </c>
      <c r="K79" t="n">
        <v>136.0</v>
      </c>
      <c r="L79" t="n">
        <v>2.0</v>
      </c>
      <c r="M79" t="n">
        <v>56.0</v>
      </c>
      <c r="N79" t="inlineStr">
        <is>
          <t>0.15258855585831063</t>
        </is>
      </c>
      <c r="O79" t="n">
        <v>47.0</v>
      </c>
      <c r="P79" t="n">
        <v>2.0</v>
      </c>
      <c r="Q79" t="inlineStr">
        <is>
          <t>0.03571428571428571</t>
        </is>
      </c>
      <c r="R79" t="n">
        <v>0.0425531914893617</v>
      </c>
      <c r="S79" t="n">
        <v>68.0</v>
      </c>
      <c r="T79" t="n">
        <v>1.0</v>
      </c>
      <c r="U79" t="n">
        <v>1.0</v>
      </c>
      <c r="V79" t="n">
        <v>68.0</v>
      </c>
      <c r="W79" t="n">
        <v>0.5</v>
      </c>
      <c r="X79" t="n">
        <v>1.0</v>
      </c>
      <c r="Y79" t="n">
        <v>18.0</v>
      </c>
      <c r="Z79" t="n">
        <v>6.0</v>
      </c>
      <c r="AA79" t="n">
        <v>0.0</v>
      </c>
      <c r="AB79" t="n">
        <v>0.0</v>
      </c>
      <c r="AC79" t="n">
        <v>0.0</v>
      </c>
      <c r="AD79" t="n">
        <v>367.0</v>
      </c>
      <c r="AE79" t="n">
        <v>3.0</v>
      </c>
      <c r="AF79" t="n">
        <v>1.0</v>
      </c>
      <c r="AG79" t="n">
        <v>0.0</v>
      </c>
      <c r="AH79" t="n">
        <v>1.0</v>
      </c>
      <c r="AI79" t="n">
        <v>1.0</v>
      </c>
      <c r="AJ79" t="n">
        <v>0.0</v>
      </c>
      <c r="AK79" t="n">
        <v>13.9291553133515</v>
      </c>
      <c r="AL79" t="inlineStr">
        <is>
          <t/>
        </is>
      </c>
    </row>
    <row r="80">
      <c r="A80" t="inlineStr">
        <is>
          <t>老妈说虾仁就该这样吃无添加的</t>
        </is>
      </c>
      <c r="B80" t="inlineStr">
        <is>
          <t>69df8af2000000002301f0d8</t>
        </is>
      </c>
      <c r="C80" s="79" t="n">
        <f>HYPERLINK("https://www.xiaohongshu.com/explore/69df8af2000000002301f0d8?xsec_token=TBbELi6fdmnK2TYKEzYY0fWiW7OCsLlEguCBAbqdjhn7w=&amp;xsec_source=pc_trdark","https://www.xiaohongshu.com/explore/69df8af2000000002301f0d8?xsec_token=TBbELi6fdmnK2TYKEzYY0fWiW7OCsLlEguCBAbqdjhn7w=&amp;xsec_source=pc_trdark")</f>
        <v>0.0</v>
      </c>
      <c r="D80" t="inlineStr">
        <is>
          <t>婉婉上班吃什么</t>
        </is>
      </c>
      <c r="E80" t="inlineStr">
        <is>
          <t>11434449706</t>
        </is>
      </c>
      <c r="F80" t="inlineStr">
        <is>
          <t>2026-04-15 20:56:18</t>
        </is>
      </c>
      <c r="G80" t="inlineStr">
        <is>
          <t>图文</t>
        </is>
      </c>
      <c r="H80" t="inlineStr">
        <is>
          <t>手剥虾仁 无冰衣无添加 低脂餐一人食 上班带饭 顺丰包邮 5盒装</t>
        </is>
      </c>
      <c r="I80" t="inlineStr">
        <is>
          <t>694baba01d450d00013662f0</t>
        </is>
      </c>
      <c r="J80" t="inlineStr">
        <is>
          <t/>
        </is>
      </c>
      <c r="K80" t="n">
        <v>98.0</v>
      </c>
      <c r="L80" t="n">
        <v>1.0</v>
      </c>
      <c r="M80" t="n">
        <v>41.0</v>
      </c>
      <c r="N80" t="inlineStr">
        <is>
          <t>0.11294765840220386</t>
        </is>
      </c>
      <c r="O80" t="n">
        <v>34.0</v>
      </c>
      <c r="P80" t="n">
        <v>1.0</v>
      </c>
      <c r="Q80" t="inlineStr">
        <is>
          <t>0.024390243902439025</t>
        </is>
      </c>
      <c r="R80" t="inlineStr">
        <is>
          <t>0.029411764705882353</t>
        </is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7.0</v>
      </c>
      <c r="Z80" t="n">
        <v>3.0</v>
      </c>
      <c r="AA80" t="n">
        <v>0.0</v>
      </c>
      <c r="AB80" t="n">
        <v>0.0</v>
      </c>
      <c r="AC80" t="n">
        <v>0.0</v>
      </c>
      <c r="AD80" t="n">
        <v>363.0</v>
      </c>
      <c r="AE80" t="n">
        <v>3.0</v>
      </c>
      <c r="AF80" t="n">
        <v>1.0</v>
      </c>
      <c r="AG80" t="n">
        <v>0.0</v>
      </c>
      <c r="AH80" t="n">
        <v>2.0</v>
      </c>
      <c r="AI80" t="n">
        <v>0.0</v>
      </c>
      <c r="AJ80" t="n">
        <v>0.0</v>
      </c>
      <c r="AK80" t="n">
        <v>9.071625344352617</v>
      </c>
      <c r="AL80" t="inlineStr">
        <is>
          <t/>
        </is>
      </c>
    </row>
    <row r="81">
      <c r="A81" t="inlineStr">
        <is>
          <t>谁还没冲！100多实现半个月虾仁自由</t>
        </is>
      </c>
      <c r="B81" t="inlineStr">
        <is>
          <t>69d36c2b000000002301fe89</t>
        </is>
      </c>
      <c r="C81" s="80" t="n">
        <f>HYPERLINK("https://www.xiaohongshu.com/explore/69d36c2b000000002301fe89?xsec_token=TBhEDzysvLbwbBD8CIa_-jseLlW5pK9hvQKI394y3PXSU=&amp;xsec_source=pc_trdark","https://www.xiaohongshu.com/explore/69d36c2b000000002301fe89?xsec_token=TBhEDzysvLbwbBD8CIa_-jseLlW5pK9hvQKI394y3PXSU=&amp;xsec_source=pc_trdark")</f>
        <v>0.0</v>
      </c>
      <c r="D81" t="inlineStr">
        <is>
          <t>婉婉上班吃什么</t>
        </is>
      </c>
      <c r="E81" t="inlineStr">
        <is>
          <t>11434449706</t>
        </is>
      </c>
      <c r="F81" t="inlineStr">
        <is>
          <t>2026-04-06 16:17:47</t>
        </is>
      </c>
      <c r="G81" t="inlineStr">
        <is>
          <t>图文</t>
        </is>
      </c>
      <c r="H81" t="inlineStr">
        <is>
          <t>手剥虾仁 无冰衣无添加 低脂餐一人食 上班带饭 顺丰包邮 5盒装</t>
        </is>
      </c>
      <c r="I81" t="inlineStr">
        <is>
          <t>694baba01d450d00013662f0</t>
        </is>
      </c>
      <c r="J81" t="inlineStr">
        <is>
          <t/>
        </is>
      </c>
      <c r="K81" t="n">
        <v>414.0</v>
      </c>
      <c r="L81" t="n">
        <v>6.0</v>
      </c>
      <c r="M81" t="n">
        <v>102.0</v>
      </c>
      <c r="N81" t="n">
        <v>0.2833333333333333</v>
      </c>
      <c r="O81" t="n">
        <v>93.0</v>
      </c>
      <c r="P81" t="n">
        <v>6.0</v>
      </c>
      <c r="Q81" t="inlineStr">
        <is>
          <t>0.058823529411764705</t>
        </is>
      </c>
      <c r="R81" t="inlineStr">
        <is>
          <t>0.06451612903225806</t>
        </is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18.0</v>
      </c>
      <c r="Z81" t="n">
        <v>9.0</v>
      </c>
      <c r="AA81" t="n">
        <v>0.0</v>
      </c>
      <c r="AB81" t="n">
        <v>0.0</v>
      </c>
      <c r="AC81" t="n">
        <v>0.0</v>
      </c>
      <c r="AD81" t="n">
        <v>360.0</v>
      </c>
      <c r="AE81" t="n">
        <v>2.0</v>
      </c>
      <c r="AF81" t="n">
        <v>1.0</v>
      </c>
      <c r="AG81" t="n">
        <v>0.0</v>
      </c>
      <c r="AH81" t="n">
        <v>1.0</v>
      </c>
      <c r="AI81" t="n">
        <v>0.0</v>
      </c>
      <c r="AJ81" t="n">
        <v>0.0</v>
      </c>
      <c r="AK81" t="n">
        <v>19.508333333333333</v>
      </c>
      <c r="AL81" t="inlineStr">
        <is>
          <t/>
        </is>
      </c>
    </row>
    <row r="82">
      <c r="A82" t="inlineStr">
        <is>
          <t>不想开火，用空气炸锅做三文鱼太简单了！</t>
        </is>
      </c>
      <c r="B82" t="inlineStr">
        <is>
          <t>69e8331f000000002301c487</t>
        </is>
      </c>
      <c r="C82" s="81" t="n">
        <f>HYPERLINK("https://www.xiaohongshu.com/explore/69e8331f000000002301c487?xsec_token=TBrsJGfbmdICsvnXoyd4QdRh-MM5JxmNXlU4nGZDPU4DM=&amp;xsec_source=pc_trdark","https://www.xiaohongshu.com/explore/69e8331f000000002301c487?xsec_token=TBrsJGfbmdICsvnXoyd4QdRh-MM5JxmNXlU4nGZDPU4DM=&amp;xsec_source=pc_trdark")</f>
        <v>0.0</v>
      </c>
      <c r="D82" t="inlineStr">
        <is>
          <t>鲜水湾</t>
        </is>
      </c>
      <c r="E82" t="inlineStr">
        <is>
          <t>49316638994</t>
        </is>
      </c>
      <c r="F82" t="inlineStr">
        <is>
          <t>2026-04-22 10:31:59</t>
        </is>
      </c>
      <c r="G82" t="inlineStr">
        <is>
          <t>图文</t>
        </is>
      </c>
      <c r="H82" t="inlineStr">
        <is>
          <t>智利三文鱼切块·整条三文鱼·深海鱼一人食健康饮食</t>
        </is>
      </c>
      <c r="I82" t="inlineStr">
        <is>
          <t>691ac562a524ee0001b51d7b</t>
        </is>
      </c>
      <c r="J82" t="inlineStr">
        <is>
          <t/>
        </is>
      </c>
      <c r="K82" t="n">
        <v>254.0</v>
      </c>
      <c r="L82" t="n">
        <v>3.0</v>
      </c>
      <c r="M82" t="n">
        <v>49.0</v>
      </c>
      <c r="N82" t="inlineStr">
        <is>
          <t>0.13687150837988826</t>
        </is>
      </c>
      <c r="O82" t="n">
        <v>47.0</v>
      </c>
      <c r="P82" t="n">
        <v>3.0</v>
      </c>
      <c r="Q82" t="inlineStr">
        <is>
          <t>0.061224489795918366</t>
        </is>
      </c>
      <c r="R82" t="inlineStr">
        <is>
          <t>0.06382978723404255</t>
        </is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8.0</v>
      </c>
      <c r="Z82" t="n">
        <v>8.0</v>
      </c>
      <c r="AA82" t="n">
        <v>0.0</v>
      </c>
      <c r="AB82" t="n">
        <v>0.0</v>
      </c>
      <c r="AC82" t="n">
        <v>0.0</v>
      </c>
      <c r="AD82" t="n">
        <v>358.0</v>
      </c>
      <c r="AE82" t="n">
        <v>4.0</v>
      </c>
      <c r="AF82" t="n">
        <v>1.0</v>
      </c>
      <c r="AG82" t="n">
        <v>0.0</v>
      </c>
      <c r="AH82" t="n">
        <v>2.0</v>
      </c>
      <c r="AI82" t="n">
        <v>1.0</v>
      </c>
      <c r="AJ82" t="n">
        <v>0.0</v>
      </c>
      <c r="AK82" t="n">
        <v>17.083798882681563</v>
      </c>
      <c r="AL82" t="inlineStr">
        <is>
          <t/>
        </is>
      </c>
    </row>
    <row r="83">
      <c r="A83" t="inlineStr">
        <is>
          <t>减脂期靠虾仁续命，一个月瘦了5斤</t>
        </is>
      </c>
      <c r="B83" t="inlineStr">
        <is>
          <t>69d867bc0000000022027851</t>
        </is>
      </c>
      <c r="C83" s="82" t="n">
        <f>HYPERLINK("https://www.xiaohongshu.com/explore/69d867bc0000000022027851?xsec_token=TBaP4Vb_xh4r06-3Gp1C6IeBDZ8N8mdV2BdT_12Z3usYM=&amp;xsec_source=pc_trdark","https://www.xiaohongshu.com/explore/69d867bc0000000022027851?xsec_token=TBaP4Vb_xh4r06-3Gp1C6IeBDZ8N8mdV2BdT_12Z3usYM=&amp;xsec_source=pc_trdark")</f>
        <v>0.0</v>
      </c>
      <c r="D83" t="inlineStr">
        <is>
          <t>婉婉上班吃什么</t>
        </is>
      </c>
      <c r="E83" t="inlineStr">
        <is>
          <t>11434449706</t>
        </is>
      </c>
      <c r="F83" t="inlineStr">
        <is>
          <t>2026-04-10 11:00:12</t>
        </is>
      </c>
      <c r="G83" t="inlineStr">
        <is>
          <t>图文</t>
        </is>
      </c>
      <c r="H83" t="inlineStr">
        <is>
          <t>手剥虾仁 无冰衣无添加 低脂餐一人食 上班带饭 顺丰包邮 5盒装</t>
        </is>
      </c>
      <c r="I83" t="inlineStr">
        <is>
          <t>694baba01d450d00013662f0</t>
        </is>
      </c>
      <c r="J83" t="inlineStr">
        <is>
          <t/>
        </is>
      </c>
      <c r="K83" t="n">
        <v>69.0</v>
      </c>
      <c r="L83" t="n">
        <v>1.0</v>
      </c>
      <c r="M83" t="n">
        <v>33.0</v>
      </c>
      <c r="N83" t="inlineStr">
        <is>
          <t>0.09455587392550144</t>
        </is>
      </c>
      <c r="O83" t="n">
        <v>27.0</v>
      </c>
      <c r="P83" t="n">
        <v>1.0</v>
      </c>
      <c r="Q83" t="inlineStr">
        <is>
          <t>0.030303030303030304</t>
        </is>
      </c>
      <c r="R83" t="inlineStr">
        <is>
          <t>0.037037037037037035</t>
        </is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8.0</v>
      </c>
      <c r="Z83" t="n">
        <v>6.0</v>
      </c>
      <c r="AA83" t="n">
        <v>0.0</v>
      </c>
      <c r="AB83" t="n">
        <v>0.0</v>
      </c>
      <c r="AC83" t="n">
        <v>0.0</v>
      </c>
      <c r="AD83" t="n">
        <v>349.0</v>
      </c>
      <c r="AE83" t="n">
        <v>1.0</v>
      </c>
      <c r="AF83" t="n">
        <v>2.0</v>
      </c>
      <c r="AG83" t="n">
        <v>0.0</v>
      </c>
      <c r="AH83" t="n">
        <v>4.0</v>
      </c>
      <c r="AI83" t="n">
        <v>0.0</v>
      </c>
      <c r="AJ83" t="n">
        <v>0.0</v>
      </c>
      <c r="AK83" t="n">
        <v>9.292263610315187</v>
      </c>
      <c r="AL83" t="inlineStr">
        <is>
          <t/>
        </is>
      </c>
    </row>
    <row r="84">
      <c r="A84" t="inlineStr">
        <is>
          <t>下班回家太累了，5分钟搞定的晚餐</t>
        </is>
      </c>
      <c r="B84" t="inlineStr">
        <is>
          <t>69d78a8e0000000023014ab3</t>
        </is>
      </c>
      <c r="C84" s="83" t="n">
        <f>HYPERLINK("https://www.xiaohongshu.com/explore/69d78a8e0000000023014ab3?xsec_token=TBabSJw1DqF320Z_FWL3yrQyUGtn5yD_8LvmXwoBkSdyo=&amp;xsec_source=pc_trdark","https://www.xiaohongshu.com/explore/69d78a8e0000000023014ab3?xsec_token=TBabSJw1DqF320Z_FWL3yrQyUGtn5yD_8LvmXwoBkSdyo=&amp;xsec_source=pc_trdark")</f>
        <v>0.0</v>
      </c>
      <c r="D84" t="inlineStr">
        <is>
          <t>菲菲上班吃什么</t>
        </is>
      </c>
      <c r="E84" t="inlineStr">
        <is>
          <t>49936530607</t>
        </is>
      </c>
      <c r="F84" t="inlineStr">
        <is>
          <t>2026-04-09 19:16:31</t>
        </is>
      </c>
      <c r="G84" t="inlineStr">
        <is>
          <t>图文</t>
        </is>
      </c>
      <c r="H84" t="inlineStr">
        <is>
          <t>手剥虾仁 无冰衣无添加 低脂餐一人食 上班带饭 顺丰包邮 5盒装</t>
        </is>
      </c>
      <c r="I84" t="inlineStr">
        <is>
          <t>694baba01d450d00013662f0</t>
        </is>
      </c>
      <c r="J84" t="inlineStr">
        <is>
          <t/>
        </is>
      </c>
      <c r="K84" t="n">
        <v>0.0</v>
      </c>
      <c r="L84" t="n">
        <v>0.0</v>
      </c>
      <c r="M84" t="n">
        <v>17.0</v>
      </c>
      <c r="N84" t="inlineStr">
        <is>
          <t>0.04927536231884058</t>
        </is>
      </c>
      <c r="O84" t="n">
        <v>14.0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inlineStr">
        <is>
          <t/>
        </is>
      </c>
      <c r="X84" t="n">
        <v>0.0</v>
      </c>
      <c r="Y84" t="n">
        <v>5.0</v>
      </c>
      <c r="Z84" t="n">
        <v>7.0</v>
      </c>
      <c r="AA84" t="n">
        <v>0.0</v>
      </c>
      <c r="AB84" t="n">
        <v>0.0</v>
      </c>
      <c r="AC84" t="n">
        <v>0.0</v>
      </c>
      <c r="AD84" t="n">
        <v>345.0</v>
      </c>
      <c r="AE84" t="n">
        <v>3.0</v>
      </c>
      <c r="AF84" t="n">
        <v>1.0</v>
      </c>
      <c r="AG84" t="n">
        <v>0.0</v>
      </c>
      <c r="AH84" t="n">
        <v>1.0</v>
      </c>
      <c r="AI84" t="n">
        <v>1.0</v>
      </c>
      <c r="AJ84" t="n">
        <v>0.0</v>
      </c>
      <c r="AK84" t="n">
        <v>12.96231884057971</v>
      </c>
      <c r="AL84" t="inlineStr">
        <is>
          <t/>
        </is>
      </c>
    </row>
    <row r="85">
      <c r="A85" t="inlineStr">
        <is>
          <t>听劝…315曝光后我再也不买这种水晶虾仁了</t>
        </is>
      </c>
      <c r="B85" t="inlineStr">
        <is>
          <t>69d89deb000000001a02d24c</t>
        </is>
      </c>
      <c r="C85" s="84" t="n">
        <f>HYPERLINK("https://www.xiaohongshu.com/explore/69d89deb000000001a02d24c?xsec_token=TBaP4Vb_xh4r06-3Gp1C6IePLTETTMwqtYonN5fW1jXAk=&amp;xsec_source=pc_trdark","https://www.xiaohongshu.com/explore/69d89deb000000001a02d24c?xsec_token=TBaP4Vb_xh4r06-3Gp1C6IePLTETTMwqtYonN5fW1jXAk=&amp;xsec_source=pc_trdark")</f>
        <v>0.0</v>
      </c>
      <c r="D85" t="inlineStr">
        <is>
          <t>菲菲上班吃什么</t>
        </is>
      </c>
      <c r="E85" t="inlineStr">
        <is>
          <t>49936530607</t>
        </is>
      </c>
      <c r="F85" t="inlineStr">
        <is>
          <t>2026-04-10 14:51:23</t>
        </is>
      </c>
      <c r="G85" t="inlineStr">
        <is>
          <t>图文</t>
        </is>
      </c>
      <c r="H85" t="inlineStr">
        <is>
          <t>手剥虾仁 无冰衣无添加 低脂餐一人食 上班带饭 顺丰包邮 5盒装</t>
        </is>
      </c>
      <c r="I85" t="inlineStr">
        <is>
          <t>694baba01d450d00013662f0</t>
        </is>
      </c>
      <c r="J85" t="inlineStr">
        <is>
          <t/>
        </is>
      </c>
      <c r="K85" t="n">
        <v>0.0</v>
      </c>
      <c r="L85" t="n">
        <v>0.0</v>
      </c>
      <c r="M85" t="n">
        <v>24.0</v>
      </c>
      <c r="N85" t="inlineStr">
        <is>
          <t>0.07058823529411765</t>
        </is>
      </c>
      <c r="O85" t="n">
        <v>22.0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inlineStr">
        <is>
          <t/>
        </is>
      </c>
      <c r="X85" t="n">
        <v>0.0</v>
      </c>
      <c r="Y85" t="n">
        <v>4.0</v>
      </c>
      <c r="Z85" t="n">
        <v>5.0</v>
      </c>
      <c r="AA85" t="n">
        <v>0.0</v>
      </c>
      <c r="AB85" t="n">
        <v>0.0</v>
      </c>
      <c r="AC85" t="n">
        <v>0.0</v>
      </c>
      <c r="AD85" t="n">
        <v>340.0</v>
      </c>
      <c r="AE85" t="n">
        <v>3.0</v>
      </c>
      <c r="AF85" t="n">
        <v>0.0</v>
      </c>
      <c r="AG85" t="n">
        <v>0.0</v>
      </c>
      <c r="AH85" t="n">
        <v>4.0</v>
      </c>
      <c r="AI85" t="n">
        <v>0.0</v>
      </c>
      <c r="AJ85" t="n">
        <v>0.0</v>
      </c>
      <c r="AK85" t="n">
        <v>9.4</v>
      </c>
      <c r="AL85" t="inlineStr">
        <is>
          <t/>
        </is>
      </c>
    </row>
    <row r="86">
      <c r="A86" t="inlineStr">
        <is>
          <t>从青岛发来的整条三文鱼，被爸妈夸了！</t>
        </is>
      </c>
      <c r="B86" t="inlineStr">
        <is>
          <t>69e62a8b0000000023015396</t>
        </is>
      </c>
      <c r="C86" s="85" t="n">
        <f>HYPERLINK("https://www.xiaohongshu.com/explore/69e62a8b0000000023015396?xsec_token=TBXs2O6r9V_Qdtui9pffX9XVcGi7t06LZGv6hgzNY38DE=&amp;xsec_source=pc_trdark","https://www.xiaohongshu.com/explore/69e62a8b0000000023015396?xsec_token=TBXs2O6r9V_Qdtui9pffX9XVcGi7t06LZGv6hgzNY38DE=&amp;xsec_source=pc_trdark")</f>
        <v>0.0</v>
      </c>
      <c r="D86" t="inlineStr">
        <is>
          <t>婉婉上班吃什么</t>
        </is>
      </c>
      <c r="E86" t="inlineStr">
        <is>
          <t>11434449706</t>
        </is>
      </c>
      <c r="F86" t="inlineStr">
        <is>
          <t>2026-04-20 21:30:51</t>
        </is>
      </c>
      <c r="G86" t="inlineStr">
        <is>
          <t>图文</t>
        </is>
      </c>
      <c r="H86" t="inlineStr">
        <is>
          <t>智利三文鱼切块·整条三文鱼·深海鱼一人食健康饮食</t>
        </is>
      </c>
      <c r="I86" t="inlineStr">
        <is>
          <t>691ac562a524ee0001b51d7b</t>
        </is>
      </c>
      <c r="J86" t="inlineStr">
        <is>
          <t/>
        </is>
      </c>
      <c r="K86" t="n">
        <v>0.0</v>
      </c>
      <c r="L86" t="n">
        <v>0.0</v>
      </c>
      <c r="M86" t="n">
        <v>51.0</v>
      </c>
      <c r="N86" t="inlineStr">
        <is>
          <t>0.15088757396449703</t>
        </is>
      </c>
      <c r="O86" t="n">
        <v>47.0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inlineStr">
        <is>
          <t/>
        </is>
      </c>
      <c r="X86" t="n">
        <v>0.0</v>
      </c>
      <c r="Y86" t="n">
        <v>14.0</v>
      </c>
      <c r="Z86" t="n">
        <v>12.0</v>
      </c>
      <c r="AA86" t="n">
        <v>0.0</v>
      </c>
      <c r="AB86" t="n">
        <v>0.0</v>
      </c>
      <c r="AC86" t="n">
        <v>0.0</v>
      </c>
      <c r="AD86" t="n">
        <v>338.0</v>
      </c>
      <c r="AE86" t="n">
        <v>4.0</v>
      </c>
      <c r="AF86" t="n">
        <v>0.0</v>
      </c>
      <c r="AG86" t="n">
        <v>1.0</v>
      </c>
      <c r="AH86" t="n">
        <v>2.0</v>
      </c>
      <c r="AI86" t="n">
        <v>0.0</v>
      </c>
      <c r="AJ86" t="n">
        <v>0.0</v>
      </c>
      <c r="AK86" t="n">
        <v>16.869822485207102</v>
      </c>
      <c r="AL86" t="inlineStr">
        <is>
          <t/>
        </is>
      </c>
    </row>
    <row r="87">
      <c r="A87" t="inlineStr">
        <is>
          <t>对不起sam，69块承包了我一周减脂餐</t>
        </is>
      </c>
      <c r="B87" t="inlineStr">
        <is>
          <t>69dba51c000000001f0074b2</t>
        </is>
      </c>
      <c r="C87" s="86" t="n">
        <f>HYPERLINK("https://www.xiaohongshu.com/explore/69dba51c000000001f0074b2?xsec_token=TBv7n0Oy0CPbFvgz473v78kTVH9hKx0rJgCAMsrHsgS-Q=&amp;xsec_source=pc_trdark","https://www.xiaohongshu.com/explore/69dba51c000000001f0074b2?xsec_token=TBv7n0Oy0CPbFvgz473v78kTVH9hKx0rJgCAMsrHsgS-Q=&amp;xsec_source=pc_trdark")</f>
        <v>0.0</v>
      </c>
      <c r="D87" t="inlineStr">
        <is>
          <t>菲菲上班吃什么</t>
        </is>
      </c>
      <c r="E87" t="inlineStr">
        <is>
          <t>49936530607</t>
        </is>
      </c>
      <c r="F87" t="inlineStr">
        <is>
          <t>2026-04-12 21:58:52</t>
        </is>
      </c>
      <c r="G87" t="inlineStr">
        <is>
          <t>图文</t>
        </is>
      </c>
      <c r="H87" t="inlineStr">
        <is>
          <t>手剥虾仁 无冰衣无添加 低脂餐一人食 上班带饭 顺丰包邮 5盒装</t>
        </is>
      </c>
      <c r="I87" t="inlineStr">
        <is>
          <t>694baba01d450d00013662f0</t>
        </is>
      </c>
      <c r="J87" t="inlineStr">
        <is>
          <t/>
        </is>
      </c>
      <c r="K87" t="n">
        <v>138.0</v>
      </c>
      <c r="L87" t="n">
        <v>2.0</v>
      </c>
      <c r="M87" t="n">
        <v>62.0</v>
      </c>
      <c r="N87" t="inlineStr">
        <is>
          <t>0.18507462686567164</t>
        </is>
      </c>
      <c r="O87" t="n">
        <v>47.0</v>
      </c>
      <c r="P87" t="n">
        <v>2.0</v>
      </c>
      <c r="Q87" t="inlineStr">
        <is>
          <t>0.03225806451612903</t>
        </is>
      </c>
      <c r="R87" t="n">
        <v>0.0425531914893617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13.0</v>
      </c>
      <c r="Z87" t="n">
        <v>11.0</v>
      </c>
      <c r="AA87" t="n">
        <v>0.0</v>
      </c>
      <c r="AB87" t="n">
        <v>0.0</v>
      </c>
      <c r="AC87" t="n">
        <v>0.0</v>
      </c>
      <c r="AD87" t="n">
        <v>335.0</v>
      </c>
      <c r="AE87" t="n">
        <v>3.0</v>
      </c>
      <c r="AF87" t="n">
        <v>1.0</v>
      </c>
      <c r="AG87" t="n">
        <v>0.0</v>
      </c>
      <c r="AH87" t="n">
        <v>2.0</v>
      </c>
      <c r="AI87" t="n">
        <v>1.0</v>
      </c>
      <c r="AJ87" t="n">
        <v>0.0</v>
      </c>
      <c r="AK87" t="n">
        <v>12.029850746268657</v>
      </c>
      <c r="AL87" t="inlineStr">
        <is>
          <t/>
        </is>
      </c>
    </row>
    <row r="88">
      <c r="A88" t="inlineStr">
        <is>
          <t>减脂餐很费钱吗？可是一个月才300多</t>
        </is>
      </c>
      <c r="B88" t="inlineStr">
        <is>
          <t>69d36fb8000000001a02fe4b</t>
        </is>
      </c>
      <c r="C88" s="87" t="n">
        <f>HYPERLINK("https://www.xiaohongshu.com/explore/69d36fb8000000001a02fe4b?xsec_token=TBhEDzysvLbwbBD8CIa_-jsbpgyyU5arYmeUFNu78120Y=&amp;xsec_source=pc_trdark","https://www.xiaohongshu.com/explore/69d36fb8000000001a02fe4b?xsec_token=TBhEDzysvLbwbBD8CIa_-jsbpgyyU5arYmeUFNu78120Y=&amp;xsec_source=pc_trdark")</f>
        <v>0.0</v>
      </c>
      <c r="D88" t="inlineStr">
        <is>
          <t>鲜水湾</t>
        </is>
      </c>
      <c r="E88" t="inlineStr">
        <is>
          <t>49316638994</t>
        </is>
      </c>
      <c r="F88" t="inlineStr">
        <is>
          <t>2026-04-06 16:32:56</t>
        </is>
      </c>
      <c r="G88" t="inlineStr">
        <is>
          <t>图文</t>
        </is>
      </c>
      <c r="H88" t="inlineStr">
        <is>
          <t>智利三文鱼切块·整条三文鱼·深海鱼一人食健康饮食</t>
        </is>
      </c>
      <c r="I88" t="inlineStr">
        <is>
          <t>691ac562a524ee0001b51d7b</t>
        </is>
      </c>
      <c r="J88" t="inlineStr">
        <is>
          <t/>
        </is>
      </c>
      <c r="K88" t="n">
        <v>368.0</v>
      </c>
      <c r="L88" t="n">
        <v>1.0</v>
      </c>
      <c r="M88" t="n">
        <v>65.0</v>
      </c>
      <c r="N88" t="inlineStr">
        <is>
          <t>0.19756838905775076</t>
        </is>
      </c>
      <c r="O88" t="n">
        <v>57.0</v>
      </c>
      <c r="P88" t="n">
        <v>1.0</v>
      </c>
      <c r="Q88" t="inlineStr">
        <is>
          <t>0.015384615384615385</t>
        </is>
      </c>
      <c r="R88" t="inlineStr">
        <is>
          <t>0.017543859649122806</t>
        </is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20.0</v>
      </c>
      <c r="Z88" t="n">
        <v>10.0</v>
      </c>
      <c r="AA88" t="n">
        <v>0.0</v>
      </c>
      <c r="AB88" t="n">
        <v>0.0</v>
      </c>
      <c r="AC88" t="n">
        <v>0.0</v>
      </c>
      <c r="AD88" t="n">
        <v>329.0</v>
      </c>
      <c r="AE88" t="n">
        <v>2.0</v>
      </c>
      <c r="AF88" t="n">
        <v>3.0</v>
      </c>
      <c r="AG88" t="n">
        <v>0.0</v>
      </c>
      <c r="AH88" t="n">
        <v>0.0</v>
      </c>
      <c r="AI88" t="n">
        <v>0.0</v>
      </c>
      <c r="AJ88" t="n">
        <v>0.0</v>
      </c>
      <c r="AK88" t="n">
        <v>14.389057750759878</v>
      </c>
      <c r="AL88" t="inlineStr">
        <is>
          <t/>
        </is>
      </c>
    </row>
    <row r="89">
      <c r="A89" t="inlineStr">
        <is>
          <t>以前是河马，现在是小红书</t>
        </is>
      </c>
      <c r="B89" t="inlineStr">
        <is>
          <t>69de619f000000002301d137</t>
        </is>
      </c>
      <c r="C89" s="88" t="n">
        <f>HYPERLINK("https://www.xiaohongshu.com/explore/69de619f000000002301d137?xsec_token=TB59yoDgsQvcJ0I-utjSL7kAz1M8_5SLCyLTfldL4k34M=&amp;xsec_source=pc_trdark","https://www.xiaohongshu.com/explore/69de619f000000002301d137?xsec_token=TB59yoDgsQvcJ0I-utjSL7kAz1M8_5SLCyLTfldL4k34M=&amp;xsec_source=pc_trdark")</f>
        <v>0.0</v>
      </c>
      <c r="D89" t="inlineStr">
        <is>
          <t>婉婉上班吃什么</t>
        </is>
      </c>
      <c r="E89" t="inlineStr">
        <is>
          <t>11434449706</t>
        </is>
      </c>
      <c r="F89" t="inlineStr">
        <is>
          <t>2026-04-14 23:47:43</t>
        </is>
      </c>
      <c r="G89" t="inlineStr">
        <is>
          <t>图文</t>
        </is>
      </c>
      <c r="H89" t="inlineStr">
        <is>
          <t>智利三文鱼切块·整条三文鱼·深海鱼一人食健康饮食</t>
        </is>
      </c>
      <c r="I89" t="inlineStr">
        <is>
          <t>691ac562a524ee0001b51d7b</t>
        </is>
      </c>
      <c r="J89" t="inlineStr">
        <is>
          <t/>
        </is>
      </c>
      <c r="K89" t="n">
        <v>574.0</v>
      </c>
      <c r="L89" t="n">
        <v>3.0</v>
      </c>
      <c r="M89" t="n">
        <v>48.0</v>
      </c>
      <c r="N89" t="inlineStr">
        <is>
          <t>0.14678899082568808</t>
        </is>
      </c>
      <c r="O89" t="n">
        <v>39.0</v>
      </c>
      <c r="P89" t="n">
        <v>2.0</v>
      </c>
      <c r="Q89" t="n">
        <v>0.0625</v>
      </c>
      <c r="R89" t="inlineStr">
        <is>
          <t>0.05128205128205128</t>
        </is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10.0</v>
      </c>
      <c r="Z89" t="n">
        <v>24.0</v>
      </c>
      <c r="AA89" t="n">
        <v>0.0</v>
      </c>
      <c r="AB89" t="n">
        <v>0.0</v>
      </c>
      <c r="AC89" t="n">
        <v>0.0</v>
      </c>
      <c r="AD89" t="n">
        <v>327.0</v>
      </c>
      <c r="AE89" t="n">
        <v>4.0</v>
      </c>
      <c r="AF89" t="n">
        <v>1.0</v>
      </c>
      <c r="AG89" t="n">
        <v>0.0</v>
      </c>
      <c r="AH89" t="n">
        <v>1.0</v>
      </c>
      <c r="AI89" t="n">
        <v>0.0</v>
      </c>
      <c r="AJ89" t="n">
        <v>0.0</v>
      </c>
      <c r="AK89" t="n">
        <v>17.737003058103976</v>
      </c>
      <c r="AL89" t="inlineStr">
        <is>
          <t/>
        </is>
      </c>
    </row>
    <row r="90">
      <c r="A90" t="inlineStr">
        <is>
          <t>真的不要低估 300 来块的购买力😂</t>
        </is>
      </c>
      <c r="B90" t="inlineStr">
        <is>
          <t>69f04f71000000001a035fc4</t>
        </is>
      </c>
      <c r="C90" s="89" t="n">
        <f>HYPERLINK("https://www.xiaohongshu.com/explore/69f04f71000000001a035fc4?xsec_token=TBvHxiGmj2CedfPdQHdLJBmF_EHvvWOauiAg5RJ105Tvg=&amp;xsec_source=pc_trdark","https://www.xiaohongshu.com/explore/69f04f71000000001a035fc4?xsec_token=TBvHxiGmj2CedfPdQHdLJBmF_EHvvWOauiAg5RJ105Tvg=&amp;xsec_source=pc_trdark")</f>
        <v>0.0</v>
      </c>
      <c r="D90" t="inlineStr">
        <is>
          <t>婉婉上班吃什么</t>
        </is>
      </c>
      <c r="E90" t="inlineStr">
        <is>
          <t>11434449706</t>
        </is>
      </c>
      <c r="F90" t="inlineStr">
        <is>
          <t>2026-04-28 14:10:58</t>
        </is>
      </c>
      <c r="G90" t="inlineStr">
        <is>
          <t>图文</t>
        </is>
      </c>
      <c r="H90" t="inlineStr">
        <is>
          <t>智利三文鱼切块·整条三文鱼·深海鱼一人食健康饮食</t>
        </is>
      </c>
      <c r="I90" t="inlineStr">
        <is>
          <t>691ac562a524ee0001b51d7b</t>
        </is>
      </c>
      <c r="J90" t="inlineStr">
        <is>
          <t/>
        </is>
      </c>
      <c r="K90" t="n">
        <v>118.0</v>
      </c>
      <c r="L90" t="n">
        <v>1.0</v>
      </c>
      <c r="M90" t="n">
        <v>61.0</v>
      </c>
      <c r="N90" t="inlineStr">
        <is>
          <t>0.19122257053291536</t>
        </is>
      </c>
      <c r="O90" t="n">
        <v>52.0</v>
      </c>
      <c r="P90" t="n">
        <v>1.0</v>
      </c>
      <c r="Q90" t="inlineStr">
        <is>
          <t>0.01639344262295082</t>
        </is>
      </c>
      <c r="R90" t="inlineStr">
        <is>
          <t>0.019230769230769232</t>
        </is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11.0</v>
      </c>
      <c r="Z90" t="n">
        <v>28.0</v>
      </c>
      <c r="AA90" t="n">
        <v>0.0</v>
      </c>
      <c r="AB90" t="n">
        <v>0.0</v>
      </c>
      <c r="AC90" t="n">
        <v>0.0</v>
      </c>
      <c r="AD90" t="n">
        <v>319.0</v>
      </c>
      <c r="AE90" t="n">
        <v>2.0</v>
      </c>
      <c r="AF90" t="n">
        <v>3.0</v>
      </c>
      <c r="AG90" t="n">
        <v>0.0</v>
      </c>
      <c r="AH90" t="n">
        <v>0.0</v>
      </c>
      <c r="AI90" t="n">
        <v>0.0</v>
      </c>
      <c r="AJ90" t="n">
        <v>0.0</v>
      </c>
      <c r="AK90" t="n">
        <v>18.564263322884013</v>
      </c>
      <c r="AL90" t="inlineStr">
        <is>
          <t/>
        </is>
      </c>
    </row>
    <row r="91">
      <c r="A91" t="inlineStr">
        <is>
          <t>大家带去公司的饭都是隔夜饭吗？</t>
        </is>
      </c>
      <c r="B91" t="inlineStr">
        <is>
          <t>69ca38700000000022026688</t>
        </is>
      </c>
      <c r="C91" s="90" t="n">
        <f>HYPERLINK("https://www.xiaohongshu.com/explore/69ca38700000000022026688?xsec_token=TBZMwIQ43aS0K0DsaEHGlBqjc0vRAXVn4J4iN0BKg_DPE=&amp;xsec_source=pc_trdark","https://www.xiaohongshu.com/explore/69ca38700000000022026688?xsec_token=TBZMwIQ43aS0K0DsaEHGlBqjc0vRAXVn4J4iN0BKg_DPE=&amp;xsec_source=pc_trdark")</f>
        <v>0.0</v>
      </c>
      <c r="D91" t="inlineStr">
        <is>
          <t>菲菲上班吃什么</t>
        </is>
      </c>
      <c r="E91" t="inlineStr">
        <is>
          <t>49936530607</t>
        </is>
      </c>
      <c r="F91" t="inlineStr">
        <is>
          <t>2026-03-30 16:46:40</t>
        </is>
      </c>
      <c r="G91" t="inlineStr">
        <is>
          <t>图文</t>
        </is>
      </c>
      <c r="H91" t="inlineStr">
        <is>
          <t>手剥虾仁 无冰衣无添加 低脂餐一人食 上班带饭 顺丰包邮 5盒装</t>
        </is>
      </c>
      <c r="I91" t="inlineStr">
        <is>
          <t>694baba01d450d00013662f0</t>
        </is>
      </c>
      <c r="J91" t="inlineStr">
        <is>
          <t/>
        </is>
      </c>
      <c r="K91" t="n">
        <v>0.0</v>
      </c>
      <c r="L91" t="n">
        <v>0.0</v>
      </c>
      <c r="M91" t="n">
        <v>7.0</v>
      </c>
      <c r="N91" t="inlineStr">
        <is>
          <t>0.02258064516129032</t>
        </is>
      </c>
      <c r="O91" t="n">
        <v>7.0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inlineStr">
        <is>
          <t/>
        </is>
      </c>
      <c r="X91" t="n">
        <v>0.0</v>
      </c>
      <c r="Y91" t="n">
        <v>1.0</v>
      </c>
      <c r="Z91" t="n">
        <v>4.0</v>
      </c>
      <c r="AA91" t="n">
        <v>0.0</v>
      </c>
      <c r="AB91" t="n">
        <v>0.0</v>
      </c>
      <c r="AC91" t="n">
        <v>0.0</v>
      </c>
      <c r="AD91" t="n">
        <v>310.0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10.5</v>
      </c>
      <c r="AL91" t="inlineStr">
        <is>
          <t/>
        </is>
      </c>
    </row>
    <row r="92">
      <c r="A92" t="inlineStr">
        <is>
          <t>从青岛发过来的！被爸妈夸了一整天</t>
        </is>
      </c>
      <c r="B92" t="inlineStr">
        <is>
          <t>69870401000000000e00c0fc</t>
        </is>
      </c>
      <c r="C92" s="91" t="n">
        <f>HYPERLINK("https://www.xiaohongshu.com/explore/69870401000000000e00c0fc?xsec_token=TB5RfIaoHWaf_5AWlHC-0CsayumAhvzJp-HbcAYghSoic=&amp;xsec_source=pc_trdark","https://www.xiaohongshu.com/explore/69870401000000000e00c0fc?xsec_token=TB5RfIaoHWaf_5AWlHC-0CsayumAhvzJp-HbcAYghSoic=&amp;xsec_source=pc_trdark")</f>
        <v>0.0</v>
      </c>
      <c r="D92" t="inlineStr">
        <is>
          <t>鲜水湾</t>
        </is>
      </c>
      <c r="E92" t="inlineStr">
        <is>
          <t>49316638994</t>
        </is>
      </c>
      <c r="F92" t="inlineStr">
        <is>
          <t>2026-02-07 17:21:05</t>
        </is>
      </c>
      <c r="G92" t="inlineStr">
        <is>
          <t>图文</t>
        </is>
      </c>
      <c r="H92" t="inlineStr">
        <is>
          <t>大虾基围虾王牌大虾厄瓜多尔白虾盐冻虾仁海洋大虾送礼顺丰包邮</t>
        </is>
      </c>
      <c r="I92" t="inlineStr">
        <is>
          <t>690aeb7be379430001e686ac</t>
        </is>
      </c>
      <c r="J92" t="inlineStr">
        <is>
          <t/>
        </is>
      </c>
      <c r="K92" t="n">
        <v>69.0</v>
      </c>
      <c r="L92" t="n">
        <v>1.0</v>
      </c>
      <c r="M92" t="n">
        <v>29.0</v>
      </c>
      <c r="N92" t="inlineStr">
        <is>
          <t>0.09385113268608414</t>
        </is>
      </c>
      <c r="O92" t="n">
        <v>29.0</v>
      </c>
      <c r="P92" t="n">
        <v>1.0</v>
      </c>
      <c r="Q92" t="inlineStr">
        <is>
          <t>0.034482758620689655</t>
        </is>
      </c>
      <c r="R92" t="inlineStr">
        <is>
          <t>0.034482758620689655</t>
        </is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2.0</v>
      </c>
      <c r="Z92" t="n">
        <v>18.0</v>
      </c>
      <c r="AA92" t="n">
        <v>0.0</v>
      </c>
      <c r="AB92" t="n">
        <v>0.0</v>
      </c>
      <c r="AC92" t="n">
        <v>0.0</v>
      </c>
      <c r="AD92" t="n">
        <v>309.0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10.210355987055015</v>
      </c>
      <c r="AL92" t="inlineStr">
        <is>
          <t/>
        </is>
      </c>
    </row>
    <row r="93">
      <c r="A93" t="inlineStr">
        <is>
          <t>香煎三文鱼，其实真的没那么复杂</t>
        </is>
      </c>
      <c r="B93" t="inlineStr">
        <is>
          <t>69ce660d0000000023024531</t>
        </is>
      </c>
      <c r="C93" s="92" t="n">
        <f>HYPERLINK("https://www.xiaohongshu.com/explore/69ce660d0000000023024531?xsec_token=TBclHZuM5_fs2QanfU7vVSEtXQ_5i237-DGQzG5HJ0DRE=&amp;xsec_source=pc_trdark","https://www.xiaohongshu.com/explore/69ce660d0000000023024531?xsec_token=TBclHZuM5_fs2QanfU7vVSEtXQ_5i237-DGQzG5HJ0DRE=&amp;xsec_source=pc_trdark")</f>
        <v>0.0</v>
      </c>
      <c r="D93" t="inlineStr">
        <is>
          <t>鲜水湾甄选</t>
        </is>
      </c>
      <c r="E93" t="inlineStr">
        <is>
          <t>27401929161</t>
        </is>
      </c>
      <c r="F93" t="inlineStr">
        <is>
          <t>2026-04-02 20:50:21</t>
        </is>
      </c>
      <c r="G93" t="inlineStr">
        <is>
          <t>图文</t>
        </is>
      </c>
      <c r="H93" t="inlineStr">
        <is>
          <t>智利三文鱼切块·整条三文鱼·深海鱼一人食健康饮食</t>
        </is>
      </c>
      <c r="I93" t="inlineStr">
        <is>
          <t>691ac562a524ee0001b51d7b</t>
        </is>
      </c>
      <c r="J93" t="inlineStr">
        <is>
          <t/>
        </is>
      </c>
      <c r="K93" t="n">
        <v>63.0</v>
      </c>
      <c r="L93" t="n">
        <v>1.0</v>
      </c>
      <c r="M93" t="n">
        <v>41.0</v>
      </c>
      <c r="N93" t="n">
        <v>0.1331168831168831</v>
      </c>
      <c r="O93" t="n">
        <v>38.0</v>
      </c>
      <c r="P93" t="n">
        <v>1.0</v>
      </c>
      <c r="Q93" t="inlineStr">
        <is>
          <t>0.024390243902439025</t>
        </is>
      </c>
      <c r="R93" t="inlineStr">
        <is>
          <t>0.02631578947368421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2.0</v>
      </c>
      <c r="Z93" t="n">
        <v>10.0</v>
      </c>
      <c r="AA93" t="n">
        <v>0.0</v>
      </c>
      <c r="AB93" t="n">
        <v>0.0</v>
      </c>
      <c r="AC93" t="n">
        <v>0.0</v>
      </c>
      <c r="AD93" t="n">
        <v>308.0</v>
      </c>
      <c r="AE93" t="n">
        <v>1.0</v>
      </c>
      <c r="AF93" t="n">
        <v>0.0</v>
      </c>
      <c r="AG93" t="n">
        <v>0.0</v>
      </c>
      <c r="AH93" t="n">
        <v>1.0</v>
      </c>
      <c r="AI93" t="n">
        <v>0.0</v>
      </c>
      <c r="AJ93" t="n">
        <v>0.0</v>
      </c>
      <c r="AK93" t="n">
        <v>11.220779220779221</v>
      </c>
      <c r="AL93" t="inlineStr">
        <is>
          <t/>
        </is>
      </c>
    </row>
    <row r="94">
      <c r="A94" t="inlineStr">
        <is>
          <t>300多的三文鱼，承包我一个月的减脂餐</t>
        </is>
      </c>
      <c r="B94" t="inlineStr">
        <is>
          <t>69e87d1b000000001e00dc29</t>
        </is>
      </c>
      <c r="C94" s="93" t="n">
        <f>HYPERLINK("https://www.xiaohongshu.com/explore/69e87d1b000000001e00dc29?xsec_token=TBrsJGfbmdICsvnXoyd4QdRswYaIRpIpv2wWcooPLRAOk=&amp;xsec_source=pc_trdark","https://www.xiaohongshu.com/explore/69e87d1b000000001e00dc29?xsec_token=TBrsJGfbmdICsvnXoyd4QdRswYaIRpIpv2wWcooPLRAOk=&amp;xsec_source=pc_trdark")</f>
        <v>0.0</v>
      </c>
      <c r="D94" t="inlineStr">
        <is>
          <t>婉婉上班吃什么</t>
        </is>
      </c>
      <c r="E94" t="inlineStr">
        <is>
          <t>11434449706</t>
        </is>
      </c>
      <c r="F94" t="inlineStr">
        <is>
          <t>2026-04-22 15:47:39</t>
        </is>
      </c>
      <c r="G94" t="inlineStr">
        <is>
          <t>图文</t>
        </is>
      </c>
      <c r="H94" t="inlineStr">
        <is>
          <t>智利三文鱼切块·整条三文鱼·深海鱼一人食健康饮食</t>
        </is>
      </c>
      <c r="I94" t="inlineStr">
        <is>
          <t>691ac562a524ee0001b51d7b</t>
        </is>
      </c>
      <c r="J94" t="inlineStr">
        <is>
          <t/>
        </is>
      </c>
      <c r="K94" t="n">
        <v>0.0</v>
      </c>
      <c r="L94" t="n">
        <v>0.0</v>
      </c>
      <c r="M94" t="n">
        <v>56.0</v>
      </c>
      <c r="N94" t="n">
        <v>0.1848184818481848</v>
      </c>
      <c r="O94" t="n">
        <v>51.0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inlineStr">
        <is>
          <t/>
        </is>
      </c>
      <c r="X94" t="n">
        <v>0.0</v>
      </c>
      <c r="Y94" t="n">
        <v>10.0</v>
      </c>
      <c r="Z94" t="n">
        <v>8.0</v>
      </c>
      <c r="AA94" t="n">
        <v>0.0</v>
      </c>
      <c r="AB94" t="n">
        <v>0.0</v>
      </c>
      <c r="AC94" t="n">
        <v>0.0</v>
      </c>
      <c r="AD94" t="n">
        <v>303.0</v>
      </c>
      <c r="AE94" t="n">
        <v>4.0</v>
      </c>
      <c r="AF94" t="n">
        <v>3.0</v>
      </c>
      <c r="AG94" t="n">
        <v>0.0</v>
      </c>
      <c r="AH94" t="n">
        <v>2.0</v>
      </c>
      <c r="AI94" t="n">
        <v>1.0</v>
      </c>
      <c r="AJ94" t="n">
        <v>0.0</v>
      </c>
      <c r="AK94" t="n">
        <v>22.013201320132012</v>
      </c>
      <c r="AL94" t="inlineStr">
        <is>
          <t/>
        </is>
      </c>
    </row>
    <row r="95">
      <c r="A95" t="inlineStr">
        <is>
          <t>和老爹商量后，推出一人食小包装</t>
        </is>
      </c>
      <c r="B95" t="inlineStr">
        <is>
          <t>69b91f54000000002800a745</t>
        </is>
      </c>
      <c r="C95" s="94" t="n">
        <f>HYPERLINK("https://www.xiaohongshu.com/explore/69b91f54000000002800a745?xsec_token=TBgv0wN35T_w0yZx7fmvlvfOoluzsHtwJOKCFVpiqb6to=&amp;xsec_source=pc_trdark","https://www.xiaohongshu.com/explore/69b91f54000000002800a745?xsec_token=TBgv0wN35T_w0yZx7fmvlvfOoluzsHtwJOKCFVpiqb6to=&amp;xsec_source=pc_trdark")</f>
        <v>0.0</v>
      </c>
      <c r="D95" t="inlineStr">
        <is>
          <t>鲜水湾</t>
        </is>
      </c>
      <c r="E95" t="inlineStr">
        <is>
          <t>49316638994</t>
        </is>
      </c>
      <c r="F95" t="inlineStr">
        <is>
          <t>2026-03-17 17:31:00</t>
        </is>
      </c>
      <c r="G95" t="inlineStr">
        <is>
          <t>图文</t>
        </is>
      </c>
      <c r="H95" t="inlineStr">
        <is>
          <t>手剥虾仁 无冰衣无添加 低脂餐一人食 上班带饭 顺丰包邮 5盒装</t>
        </is>
      </c>
      <c r="I95" t="inlineStr">
        <is>
          <t>694baba01d450d00013662f0</t>
        </is>
      </c>
      <c r="J95" t="inlineStr">
        <is>
          <t/>
        </is>
      </c>
      <c r="K95" t="n">
        <v>197.0</v>
      </c>
      <c r="L95" t="n">
        <v>2.0</v>
      </c>
      <c r="M95" t="n">
        <v>87.0</v>
      </c>
      <c r="N95" t="n">
        <v>0.2871287128712871</v>
      </c>
      <c r="O95" t="n">
        <v>78.0</v>
      </c>
      <c r="P95" t="n">
        <v>2.0</v>
      </c>
      <c r="Q95" t="inlineStr">
        <is>
          <t>0.022988505747126436</t>
        </is>
      </c>
      <c r="R95" t="inlineStr">
        <is>
          <t>0.02564102564102564</t>
        </is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16.0</v>
      </c>
      <c r="Z95" t="n">
        <v>12.0</v>
      </c>
      <c r="AA95" t="n">
        <v>0.0</v>
      </c>
      <c r="AB95" t="n">
        <v>0.0</v>
      </c>
      <c r="AC95" t="n">
        <v>0.0</v>
      </c>
      <c r="AD95" t="n">
        <v>303.0</v>
      </c>
      <c r="AE95" t="n">
        <v>1.0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10.471947194719473</v>
      </c>
      <c r="AL95" t="inlineStr">
        <is>
          <t/>
        </is>
      </c>
    </row>
    <row r="96">
      <c r="A96" t="inlineStr">
        <is>
          <t>总算找到比某姆还实惠的三文鱼了。。。</t>
        </is>
      </c>
      <c r="B96" t="inlineStr">
        <is>
          <t>69e09695000000002003b912</t>
        </is>
      </c>
      <c r="C96" s="95" t="n">
        <f>HYPERLINK("https://www.xiaohongshu.com/explore/69e09695000000002003b912?xsec_token=TB4w-SzmaCvFu1U8FhRGBUu4YAsFrFiXuWLvswCdJTK80=&amp;xsec_source=pc_trdark","https://www.xiaohongshu.com/explore/69e09695000000002003b912?xsec_token=TB4w-SzmaCvFu1U8FhRGBUu4YAsFrFiXuWLvswCdJTK80=&amp;xsec_source=pc_trdark")</f>
        <v>0.0</v>
      </c>
      <c r="D96" t="inlineStr">
        <is>
          <t>菲菲上班吃什么</t>
        </is>
      </c>
      <c r="E96" t="inlineStr">
        <is>
          <t>49936530607</t>
        </is>
      </c>
      <c r="F96" t="inlineStr">
        <is>
          <t>2026-04-16 15:58:13</t>
        </is>
      </c>
      <c r="G96" t="inlineStr">
        <is>
          <t>图文</t>
        </is>
      </c>
      <c r="H96" t="inlineStr">
        <is>
          <t>智利三文鱼切块·整条三文鱼·深海鱼一人食健康饮食</t>
        </is>
      </c>
      <c r="I96" t="inlineStr">
        <is>
          <t>691ac562a524ee0001b51d7b</t>
        </is>
      </c>
      <c r="J96" t="inlineStr">
        <is>
          <t/>
        </is>
      </c>
      <c r="K96" t="n">
        <v>676.0</v>
      </c>
      <c r="L96" t="n">
        <v>2.0</v>
      </c>
      <c r="M96" t="n">
        <v>48.0</v>
      </c>
      <c r="N96" t="n">
        <v>0.1605351170568562</v>
      </c>
      <c r="O96" t="n">
        <v>43.0</v>
      </c>
      <c r="P96" t="n">
        <v>2.0</v>
      </c>
      <c r="Q96" t="inlineStr">
        <is>
          <t>0.041666666666666664</t>
        </is>
      </c>
      <c r="R96" t="inlineStr">
        <is>
          <t>0.046511627906976744</t>
        </is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12.0</v>
      </c>
      <c r="Z96" t="n">
        <v>10.0</v>
      </c>
      <c r="AA96" t="n">
        <v>0.0</v>
      </c>
      <c r="AB96" t="n">
        <v>0.0</v>
      </c>
      <c r="AC96" t="n">
        <v>0.0</v>
      </c>
      <c r="AD96" t="n">
        <v>299.0</v>
      </c>
      <c r="AE96" t="n">
        <v>3.0</v>
      </c>
      <c r="AF96" t="n">
        <v>1.0</v>
      </c>
      <c r="AG96" t="n">
        <v>0.0</v>
      </c>
      <c r="AH96" t="n">
        <v>1.0</v>
      </c>
      <c r="AI96" t="n">
        <v>0.0</v>
      </c>
      <c r="AJ96" t="n">
        <v>0.0</v>
      </c>
      <c r="AK96" t="n">
        <v>16.82943143812709</v>
      </c>
      <c r="AL96" t="inlineStr">
        <is>
          <t/>
        </is>
      </c>
    </row>
    <row r="97">
      <c r="A97" t="inlineStr">
        <is>
          <t>山东地区女婿们又到送鲅鱼给老丈人的时候了</t>
        </is>
      </c>
      <c r="B97" t="inlineStr">
        <is>
          <t>69d5270200000000230163e2</t>
        </is>
      </c>
      <c r="C97" s="96" t="n">
        <f>HYPERLINK("https://www.xiaohongshu.com/explore/69d5270200000000230163e2?xsec_token=TB8iwnyw3eAUAW6IHOsxIm-tgivzTMPRhgPaaLFdKg8FA=&amp;xsec_source=pc_trdark","https://www.xiaohongshu.com/explore/69d5270200000000230163e2?xsec_token=TB8iwnyw3eAUAW6IHOsxIm-tgivzTMPRhgPaaLFdKg8FA=&amp;xsec_source=pc_trdark")</f>
        <v>0.0</v>
      </c>
      <c r="D97" t="inlineStr">
        <is>
          <t>鲜水湾</t>
        </is>
      </c>
      <c r="E97" t="inlineStr">
        <is>
          <t>49316638994</t>
        </is>
      </c>
      <c r="F97" t="inlineStr">
        <is>
          <t>2026-04-07 23:47:14</t>
        </is>
      </c>
      <c r="G97" t="inlineStr">
        <is>
          <t>图文</t>
        </is>
      </c>
      <c r="H97" t="inlineStr">
        <is>
          <t>青岛大鲅鱼春鲅鱼鲅鱼新鲜冷冻马鲛鱼蓝点马鲛鱼顺丰包邮</t>
        </is>
      </c>
      <c r="I97" t="inlineStr">
        <is>
          <t>6932506ad36285000198a8a6</t>
        </is>
      </c>
      <c r="J97" t="inlineStr">
        <is>
          <t/>
        </is>
      </c>
      <c r="K97" t="n">
        <v>0.0</v>
      </c>
      <c r="L97" t="n">
        <v>0.0</v>
      </c>
      <c r="M97" t="n">
        <v>56.0</v>
      </c>
      <c r="N97" t="n">
        <v>0.1891891891891892</v>
      </c>
      <c r="O97" t="n">
        <v>36.0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inlineStr">
        <is>
          <t/>
        </is>
      </c>
      <c r="X97" t="n">
        <v>0.0</v>
      </c>
      <c r="Y97" t="n">
        <v>6.0</v>
      </c>
      <c r="Z97" t="n">
        <v>18.0</v>
      </c>
      <c r="AA97" t="n">
        <v>0.0</v>
      </c>
      <c r="AB97" t="n">
        <v>0.0</v>
      </c>
      <c r="AC97" t="n">
        <v>0.0</v>
      </c>
      <c r="AD97" t="n">
        <v>296.0</v>
      </c>
      <c r="AE97" t="n">
        <v>1.0</v>
      </c>
      <c r="AF97" t="n">
        <v>0.0</v>
      </c>
      <c r="AG97" t="n">
        <v>1.0</v>
      </c>
      <c r="AH97" t="n">
        <v>3.0</v>
      </c>
      <c r="AI97" t="n">
        <v>1.0</v>
      </c>
      <c r="AJ97" t="n">
        <v>0.0</v>
      </c>
      <c r="AK97" t="n">
        <v>10.097972972972974</v>
      </c>
      <c r="AL97" t="inlineStr">
        <is>
          <t/>
        </is>
      </c>
    </row>
    <row r="98">
      <c r="A98" t="inlineStr">
        <is>
          <t>菜市场真的在驱赶年轻人</t>
        </is>
      </c>
      <c r="B98" t="inlineStr">
        <is>
          <t>69db1489000000001f0030bc</t>
        </is>
      </c>
      <c r="C98" s="97" t="n">
        <f>HYPERLINK("https://www.xiaohongshu.com/explore/69db1489000000001f0030bc?xsec_token=TBv7n0Oy0CPbFvgz473v78kTozvKNYIEaD9jAXgognD5U=&amp;xsec_source=pc_trdark","https://www.xiaohongshu.com/explore/69db1489000000001f0030bc?xsec_token=TBv7n0Oy0CPbFvgz473v78kTozvKNYIEaD9jAXgognD5U=&amp;xsec_source=pc_trdark")</f>
        <v>0.0</v>
      </c>
      <c r="D98" t="inlineStr">
        <is>
          <t>婉婉上班吃什么</t>
        </is>
      </c>
      <c r="E98" t="inlineStr">
        <is>
          <t>11434449706</t>
        </is>
      </c>
      <c r="F98" t="inlineStr">
        <is>
          <t>2026-04-12 11:42:01</t>
        </is>
      </c>
      <c r="G98" t="inlineStr">
        <is>
          <t>图文</t>
        </is>
      </c>
      <c r="H98" t="inlineStr">
        <is>
          <t>手剥虾仁 无冰衣无添加 低脂餐一人食 上班带饭 顺丰包邮 5盒装</t>
        </is>
      </c>
      <c r="I98" t="inlineStr">
        <is>
          <t>694baba01d450d00013662f0</t>
        </is>
      </c>
      <c r="J98" t="inlineStr">
        <is>
          <t/>
        </is>
      </c>
      <c r="K98" t="n">
        <v>69.0</v>
      </c>
      <c r="L98" t="n">
        <v>1.0</v>
      </c>
      <c r="M98" t="n">
        <v>13.0</v>
      </c>
      <c r="N98" t="inlineStr">
        <is>
          <t>0.04452054794520548</t>
        </is>
      </c>
      <c r="O98" t="n">
        <v>12.0</v>
      </c>
      <c r="P98" t="n">
        <v>1.0</v>
      </c>
      <c r="Q98" t="inlineStr">
        <is>
          <t>0.07692307692307693</t>
        </is>
      </c>
      <c r="R98" t="inlineStr">
        <is>
          <t>0.08333333333333333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3.0</v>
      </c>
      <c r="Z98" t="n">
        <v>4.0</v>
      </c>
      <c r="AA98" t="n">
        <v>0.0</v>
      </c>
      <c r="AB98" t="n">
        <v>0.0</v>
      </c>
      <c r="AC98" t="n">
        <v>0.0</v>
      </c>
      <c r="AD98" t="n">
        <v>292.0</v>
      </c>
      <c r="AE98" t="n">
        <v>4.0</v>
      </c>
      <c r="AF98" t="n">
        <v>0.0</v>
      </c>
      <c r="AG98" t="n">
        <v>0.0</v>
      </c>
      <c r="AH98" t="n">
        <v>1.0</v>
      </c>
      <c r="AI98" t="n">
        <v>0.0</v>
      </c>
      <c r="AJ98" t="n">
        <v>0.0</v>
      </c>
      <c r="AK98" t="n">
        <v>17.883561643835616</v>
      </c>
      <c r="AL98" t="inlineStr">
        <is>
          <t/>
        </is>
      </c>
    </row>
    <row r="99">
      <c r="A99" t="inlineStr">
        <is>
          <t>周末备好一周的饭，周一到周五全靠它续命</t>
        </is>
      </c>
      <c r="B99" t="inlineStr">
        <is>
          <t>69d7b09b0000000023007b5c</t>
        </is>
      </c>
      <c r="C99" s="98" t="n">
        <f>HYPERLINK("https://www.xiaohongshu.com/explore/69d7b09b0000000023007b5c?xsec_token=TBabSJw1DqF320Z_FWL3yrQ_934GjgDr10x6i5boLS8Iw=&amp;xsec_source=pc_trdark","https://www.xiaohongshu.com/explore/69d7b09b0000000023007b5c?xsec_token=TBabSJw1DqF320Z_FWL3yrQ_934GjgDr10x6i5boLS8Iw=&amp;xsec_source=pc_trdark")</f>
        <v>0.0</v>
      </c>
      <c r="D99" t="inlineStr">
        <is>
          <t>菲菲上班吃什么</t>
        </is>
      </c>
      <c r="E99" t="inlineStr">
        <is>
          <t>49936530607</t>
        </is>
      </c>
      <c r="F99" t="inlineStr">
        <is>
          <t>2026-04-09 21:58:51</t>
        </is>
      </c>
      <c r="G99" t="inlineStr">
        <is>
          <t>图文</t>
        </is>
      </c>
      <c r="H99" t="inlineStr">
        <is>
          <t>手剥虾仁 无冰衣无添加 低脂餐一人食 上班带饭 顺丰包邮 5盒装</t>
        </is>
      </c>
      <c r="I99" t="inlineStr">
        <is>
          <t>694baba01d450d00013662f0</t>
        </is>
      </c>
      <c r="J99" t="inlineStr">
        <is>
          <t/>
        </is>
      </c>
      <c r="K99" t="n">
        <v>0.0</v>
      </c>
      <c r="L99" t="n">
        <v>0.0</v>
      </c>
      <c r="M99" t="n">
        <v>17.0</v>
      </c>
      <c r="N99" t="inlineStr">
        <is>
          <t>0.05821917808219178</t>
        </is>
      </c>
      <c r="O99" t="n">
        <v>13.0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inlineStr">
        <is>
          <t/>
        </is>
      </c>
      <c r="X99" t="n">
        <v>0.0</v>
      </c>
      <c r="Y99" t="n">
        <v>2.0</v>
      </c>
      <c r="Z99" t="n">
        <v>6.0</v>
      </c>
      <c r="AA99" t="n">
        <v>0.0</v>
      </c>
      <c r="AB99" t="n">
        <v>0.0</v>
      </c>
      <c r="AC99" t="n">
        <v>0.0</v>
      </c>
      <c r="AD99" t="n">
        <v>292.0</v>
      </c>
      <c r="AE99" t="n">
        <v>4.0</v>
      </c>
      <c r="AF99" t="n">
        <v>0.0</v>
      </c>
      <c r="AG99" t="n">
        <v>0.0</v>
      </c>
      <c r="AH99" t="n">
        <v>3.0</v>
      </c>
      <c r="AI99" t="n">
        <v>0.0</v>
      </c>
      <c r="AJ99" t="n">
        <v>0.0</v>
      </c>
      <c r="AK99" t="n">
        <v>12.636986301369863</v>
      </c>
      <c r="AL99" t="inlineStr">
        <is>
          <t/>
        </is>
      </c>
    </row>
    <row r="100">
      <c r="A100" t="inlineStr">
        <is>
          <t>区区69，承包了我一周的轻食虾仁</t>
        </is>
      </c>
      <c r="B100" t="inlineStr">
        <is>
          <t>69d36d7c000000001f002e9f</t>
        </is>
      </c>
      <c r="C100" s="99" t="n">
        <f>HYPERLINK("https://www.xiaohongshu.com/explore/69d36d7c000000001f002e9f?xsec_token=TBhEDzysvLbwbBD8CIa_-jsTk_xC9n_yAKyr8DDKYgEQo=&amp;xsec_source=pc_trdark","https://www.xiaohongshu.com/explore/69d36d7c000000001f002e9f?xsec_token=TBhEDzysvLbwbBD8CIa_-jsTk_xC9n_yAKyr8DDKYgEQo=&amp;xsec_source=pc_trdark")</f>
        <v>0.0</v>
      </c>
      <c r="D100" t="inlineStr">
        <is>
          <t>菲菲上班吃什么</t>
        </is>
      </c>
      <c r="E100" t="inlineStr">
        <is>
          <t>49936530607</t>
        </is>
      </c>
      <c r="F100" t="inlineStr">
        <is>
          <t>2026-04-06 16:23:24</t>
        </is>
      </c>
      <c r="G100" t="inlineStr">
        <is>
          <t>图文</t>
        </is>
      </c>
      <c r="H100" t="inlineStr">
        <is>
          <t>手剥虾仁 无冰衣无添加 低脂餐一人食 上班带饭 顺丰包邮 5盒装</t>
        </is>
      </c>
      <c r="I100" t="inlineStr">
        <is>
          <t>694baba01d450d00013662f0</t>
        </is>
      </c>
      <c r="J100" t="inlineStr">
        <is>
          <t/>
        </is>
      </c>
      <c r="K100" t="n">
        <v>276.0</v>
      </c>
      <c r="L100" t="n">
        <v>4.0</v>
      </c>
      <c r="M100" t="n">
        <v>31.0</v>
      </c>
      <c r="N100" t="inlineStr">
        <is>
          <t>0.10689655172413794</t>
        </is>
      </c>
      <c r="O100" t="n">
        <v>27.0</v>
      </c>
      <c r="P100" t="n">
        <v>4.0</v>
      </c>
      <c r="Q100" t="inlineStr">
        <is>
          <t>0.12903225806451613</t>
        </is>
      </c>
      <c r="R100" t="inlineStr">
        <is>
          <t>0.14814814814814814</t>
        </is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6.0</v>
      </c>
      <c r="Z100" t="n">
        <v>3.0</v>
      </c>
      <c r="AA100" t="n">
        <v>0.0</v>
      </c>
      <c r="AB100" t="n">
        <v>0.0</v>
      </c>
      <c r="AC100" t="n">
        <v>0.0</v>
      </c>
      <c r="AD100" t="n">
        <v>290.0</v>
      </c>
      <c r="AE100" t="n">
        <v>4.0</v>
      </c>
      <c r="AF100" t="n">
        <v>4.0</v>
      </c>
      <c r="AG100" t="n">
        <v>0.0</v>
      </c>
      <c r="AH100" t="n">
        <v>2.0</v>
      </c>
      <c r="AI100" t="n">
        <v>0.0</v>
      </c>
      <c r="AJ100" t="n">
        <v>0.0</v>
      </c>
      <c r="AK100" t="n">
        <v>12.220689655172414</v>
      </c>
      <c r="AL100" t="inlineStr">
        <is>
          <t/>
        </is>
      </c>
    </row>
    <row r="101">
      <c r="A101" t="inlineStr">
        <is>
          <t>其实，300 块够吃一个月三文鱼了🥹</t>
        </is>
      </c>
      <c r="B101" t="inlineStr">
        <is>
          <t>69f0c994000000001a036c00</t>
        </is>
      </c>
      <c r="C101" s="100" t="n">
        <f>HYPERLINK("https://www.xiaohongshu.com/explore/69f0c994000000001a036c00?xsec_token=TBvHxiGmj2CedfPdQHdLJBmGKrLxN2jXjznLh73RKvXKo=&amp;xsec_source=pc_trdark","https://www.xiaohongshu.com/explore/69f0c994000000001a036c00?xsec_token=TBvHxiGmj2CedfPdQHdLJBmGKrLxN2jXjznLh73RKvXKo=&amp;xsec_source=pc_trdark")</f>
        <v>0.0</v>
      </c>
      <c r="D101" t="inlineStr">
        <is>
          <t>鲜水湾</t>
        </is>
      </c>
      <c r="E101" t="inlineStr">
        <is>
          <t>49316638994</t>
        </is>
      </c>
      <c r="F101" t="inlineStr">
        <is>
          <t>2026-04-28 22:52:04</t>
        </is>
      </c>
      <c r="G101" t="inlineStr">
        <is>
          <t>图文</t>
        </is>
      </c>
      <c r="H101" t="inlineStr">
        <is>
          <t>智利三文鱼切块·整条三文鱼·深海鱼一人食健康饮食</t>
        </is>
      </c>
      <c r="I101" t="inlineStr">
        <is>
          <t>691ac562a524ee0001b51d7b</t>
        </is>
      </c>
      <c r="J101" t="inlineStr">
        <is>
          <t/>
        </is>
      </c>
      <c r="K101" t="n">
        <v>912.0</v>
      </c>
      <c r="L101" t="n">
        <v>4.0</v>
      </c>
      <c r="M101" t="n">
        <v>91.0</v>
      </c>
      <c r="N101" t="inlineStr">
        <is>
          <t>0.32269503546099293</t>
        </is>
      </c>
      <c r="O101" t="n">
        <v>83.0</v>
      </c>
      <c r="P101" t="n">
        <v>4.0</v>
      </c>
      <c r="Q101" t="inlineStr">
        <is>
          <t>0.04395604395604396</t>
        </is>
      </c>
      <c r="R101" t="inlineStr">
        <is>
          <t>0.04819277108433735</t>
        </is>
      </c>
      <c r="S101" t="n">
        <v>118.0</v>
      </c>
      <c r="T101" t="n">
        <v>1.0</v>
      </c>
      <c r="U101" t="n">
        <v>1.0</v>
      </c>
      <c r="V101" t="n">
        <v>456.0</v>
      </c>
      <c r="W101" t="n">
        <v>0.5</v>
      </c>
      <c r="X101" t="n">
        <v>2.0</v>
      </c>
      <c r="Y101" t="n">
        <v>30.0</v>
      </c>
      <c r="Z101" t="n">
        <v>38.0</v>
      </c>
      <c r="AA101" t="n">
        <v>0.0</v>
      </c>
      <c r="AB101" t="n">
        <v>0.0</v>
      </c>
      <c r="AC101" t="n">
        <v>0.0</v>
      </c>
      <c r="AD101" t="n">
        <v>282.0</v>
      </c>
      <c r="AE101" t="n">
        <v>6.0</v>
      </c>
      <c r="AF101" t="n">
        <v>4.0</v>
      </c>
      <c r="AG101" t="n">
        <v>7.0</v>
      </c>
      <c r="AH101" t="n">
        <v>2.0</v>
      </c>
      <c r="AI101" t="n">
        <v>2.0</v>
      </c>
      <c r="AJ101" t="n">
        <v>0.0</v>
      </c>
      <c r="AK101" t="n">
        <v>34.787234042553195</v>
      </c>
      <c r="AL101" t="inlineStr">
        <is>
          <t/>
        </is>
      </c>
    </row>
    <row r="102">
      <c r="A102" t="inlineStr">
        <is>
          <t>宝第一次吃虾仁，我紧张到手抖</t>
        </is>
      </c>
      <c r="B102" t="inlineStr">
        <is>
          <t>69d8b6b0000000001b0236ee</t>
        </is>
      </c>
      <c r="C102" s="101" t="n">
        <f>HYPERLINK("https://www.xiaohongshu.com/explore/69d8b6b0000000001b0236ee?xsec_token=TBaP4Vb_xh4r06-3Gp1C6IeAjT3gl7YDJpDPdCptIo6rE=&amp;xsec_source=pc_trdark","https://www.xiaohongshu.com/explore/69d8b6b0000000001b0236ee?xsec_token=TBaP4Vb_xh4r06-3Gp1C6IeAjT3gl7YDJpDPdCptIo6rE=&amp;xsec_source=pc_trdark")</f>
        <v>0.0</v>
      </c>
      <c r="D102" t="inlineStr">
        <is>
          <t>婉婉上班吃什么</t>
        </is>
      </c>
      <c r="E102" t="inlineStr">
        <is>
          <t>11434449706</t>
        </is>
      </c>
      <c r="F102" t="inlineStr">
        <is>
          <t>2026-04-10 16:37:05</t>
        </is>
      </c>
      <c r="G102" t="inlineStr">
        <is>
          <t>图文</t>
        </is>
      </c>
      <c r="H102" t="inlineStr">
        <is>
          <t>手剥虾仁 无冰衣无添加 低脂餐一人食 上班带饭 顺丰包邮 5盒装</t>
        </is>
      </c>
      <c r="I102" t="inlineStr">
        <is>
          <t>694baba01d450d00013662f0</t>
        </is>
      </c>
      <c r="J102" t="inlineStr">
        <is>
          <t/>
        </is>
      </c>
      <c r="K102" t="n">
        <v>69.0</v>
      </c>
      <c r="L102" t="n">
        <v>1.0</v>
      </c>
      <c r="M102" t="n">
        <v>18.0</v>
      </c>
      <c r="N102" t="inlineStr">
        <is>
          <t>0.06569343065693431</t>
        </is>
      </c>
      <c r="O102" t="n">
        <v>16.0</v>
      </c>
      <c r="P102" t="n">
        <v>1.0</v>
      </c>
      <c r="Q102" t="inlineStr">
        <is>
          <t>0.05555555555555555</t>
        </is>
      </c>
      <c r="R102" t="n">
        <v>0.0625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4.0</v>
      </c>
      <c r="Z102" t="n">
        <v>9.0</v>
      </c>
      <c r="AA102" t="n">
        <v>0.0</v>
      </c>
      <c r="AB102" t="n">
        <v>0.0</v>
      </c>
      <c r="AC102" t="n">
        <v>0.0</v>
      </c>
      <c r="AD102" t="n">
        <v>274.0</v>
      </c>
      <c r="AE102" t="n">
        <v>2.0</v>
      </c>
      <c r="AF102" t="n">
        <v>1.0</v>
      </c>
      <c r="AG102" t="n">
        <v>0.0</v>
      </c>
      <c r="AH102" t="n">
        <v>2.0</v>
      </c>
      <c r="AI102" t="n">
        <v>0.0</v>
      </c>
      <c r="AJ102" t="n">
        <v>0.0</v>
      </c>
      <c r="AK102" t="n">
        <v>11.627737226277372</v>
      </c>
      <c r="AL102" t="inlineStr">
        <is>
          <t/>
        </is>
      </c>
    </row>
    <row r="103">
      <c r="A103" t="inlineStr">
        <is>
          <t>69块解决了我一周轻食餐了……</t>
        </is>
      </c>
      <c r="B103" t="inlineStr">
        <is>
          <t>69e77c37000000002301c7ba</t>
        </is>
      </c>
      <c r="C103" s="102" t="n">
        <f>HYPERLINK("https://www.xiaohongshu.com/explore/69e77c37000000002301c7ba?xsec_token=TBxJD1S06w8M0Ib6UdHEwWiGUMeyC5fbjgx7cQkYFlFjQ=&amp;xsec_source=pc_trdark","https://www.xiaohongshu.com/explore/69e77c37000000002301c7ba?xsec_token=TBxJD1S06w8M0Ib6UdHEwWiGUMeyC5fbjgx7cQkYFlFjQ=&amp;xsec_source=pc_trdark")</f>
        <v>0.0</v>
      </c>
      <c r="D103" t="inlineStr">
        <is>
          <t>婉婉上班吃什么</t>
        </is>
      </c>
      <c r="E103" t="inlineStr">
        <is>
          <t>11434449706</t>
        </is>
      </c>
      <c r="F103" t="inlineStr">
        <is>
          <t>2026-04-21 21:31:35</t>
        </is>
      </c>
      <c r="G103" t="inlineStr">
        <is>
          <t>图文</t>
        </is>
      </c>
      <c r="H103" t="inlineStr">
        <is>
          <t>手剥虾仁 无冰衣无添加 低脂餐一人食 上班带饭 顺丰包邮 5盒装</t>
        </is>
      </c>
      <c r="I103" t="inlineStr">
        <is>
          <t>694baba01d450d00013662f0</t>
        </is>
      </c>
      <c r="J103" t="inlineStr">
        <is>
          <t/>
        </is>
      </c>
      <c r="K103" t="n">
        <v>0.0</v>
      </c>
      <c r="L103" t="n">
        <v>0.0</v>
      </c>
      <c r="M103" t="n">
        <v>16.0</v>
      </c>
      <c r="N103" t="inlineStr">
        <is>
          <t>0.05860805860805861</t>
        </is>
      </c>
      <c r="O103" t="n">
        <v>14.0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inlineStr">
        <is>
          <t/>
        </is>
      </c>
      <c r="X103" t="n">
        <v>0.0</v>
      </c>
      <c r="Y103" t="n">
        <v>2.0</v>
      </c>
      <c r="Z103" t="n">
        <v>9.0</v>
      </c>
      <c r="AA103" t="n">
        <v>0.0</v>
      </c>
      <c r="AB103" t="n">
        <v>0.0</v>
      </c>
      <c r="AC103" t="n">
        <v>0.0</v>
      </c>
      <c r="AD103" t="n">
        <v>273.0</v>
      </c>
      <c r="AE103" t="n">
        <v>2.0</v>
      </c>
      <c r="AF103" t="n">
        <v>2.0</v>
      </c>
      <c r="AG103" t="n">
        <v>0.0</v>
      </c>
      <c r="AH103" t="n">
        <v>2.0</v>
      </c>
      <c r="AI103" t="n">
        <v>0.0</v>
      </c>
      <c r="AJ103" t="n">
        <v>0.0</v>
      </c>
      <c r="AK103" t="n">
        <v>11.956043956043956</v>
      </c>
      <c r="AL103" t="inlineStr">
        <is>
          <t/>
        </is>
      </c>
    </row>
    <row r="104">
      <c r="A104" t="inlineStr">
        <is>
          <t>不是某姆吃不起，而是工厂直发更有性价比</t>
        </is>
      </c>
      <c r="B104" t="inlineStr">
        <is>
          <t>69df2b29000000001a034ff8</t>
        </is>
      </c>
      <c r="C104" s="103" t="n">
        <f>HYPERLINK("https://www.xiaohongshu.com/explore/69df2b29000000001a034ff8?xsec_token=TBbELi6fdmnK2TYKEzYY0fWtVZwe5k65yaYTXKd4Qr5JQ=&amp;xsec_source=pc_trdark","https://www.xiaohongshu.com/explore/69df2b29000000001a034ff8?xsec_token=TBbELi6fdmnK2TYKEzYY0fWtVZwe5k65yaYTXKd4Qr5JQ=&amp;xsec_source=pc_trdark")</f>
        <v>0.0</v>
      </c>
      <c r="D104" t="inlineStr">
        <is>
          <t>菲菲上班吃什么</t>
        </is>
      </c>
      <c r="E104" t="inlineStr">
        <is>
          <t>49936530607</t>
        </is>
      </c>
      <c r="F104" t="inlineStr">
        <is>
          <t>2026-04-15 14:07:37</t>
        </is>
      </c>
      <c r="G104" t="inlineStr">
        <is>
          <t>图文</t>
        </is>
      </c>
      <c r="H104" t="inlineStr">
        <is>
          <t>智利三文鱼切块·整条三文鱼·深海鱼一人食健康饮食</t>
        </is>
      </c>
      <c r="I104" t="inlineStr">
        <is>
          <t>691ac562a524ee0001b51d7b</t>
        </is>
      </c>
      <c r="J104" t="inlineStr">
        <is>
          <t/>
        </is>
      </c>
      <c r="K104" t="n">
        <v>136.0</v>
      </c>
      <c r="L104" t="n">
        <v>2.0</v>
      </c>
      <c r="M104" t="n">
        <v>40.0</v>
      </c>
      <c r="N104" t="inlineStr">
        <is>
          <t>0.14705882352941177</t>
        </is>
      </c>
      <c r="O104" t="n">
        <v>33.0</v>
      </c>
      <c r="P104" t="n">
        <v>2.0</v>
      </c>
      <c r="Q104" t="n">
        <v>0.05</v>
      </c>
      <c r="R104" t="inlineStr">
        <is>
          <t>0.06060606060606061</t>
        </is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9.0</v>
      </c>
      <c r="Z104" t="n">
        <v>12.0</v>
      </c>
      <c r="AA104" t="n">
        <v>0.0</v>
      </c>
      <c r="AB104" t="n">
        <v>0.0</v>
      </c>
      <c r="AC104" t="n">
        <v>0.0</v>
      </c>
      <c r="AD104" t="n">
        <v>272.0</v>
      </c>
      <c r="AE104" t="n">
        <v>4.0</v>
      </c>
      <c r="AF104" t="n">
        <v>1.0</v>
      </c>
      <c r="AG104" t="n">
        <v>0.0</v>
      </c>
      <c r="AH104" t="n">
        <v>1.0</v>
      </c>
      <c r="AI104" t="n">
        <v>0.0</v>
      </c>
      <c r="AJ104" t="n">
        <v>0.0</v>
      </c>
      <c r="AK104" t="n">
        <v>15.275735294117647</v>
      </c>
      <c r="AL104" t="inlineStr">
        <is>
          <t/>
        </is>
      </c>
    </row>
    <row r="105">
      <c r="A105" t="inlineStr">
        <is>
          <t>在家煎三文鱼一整条才300块，餐厅看了都沉默</t>
        </is>
      </c>
      <c r="B105" t="inlineStr">
        <is>
          <t>69d4e50d0000000020039031</t>
        </is>
      </c>
      <c r="C105" s="104" t="n">
        <f>HYPERLINK("https://www.xiaohongshu.com/explore/69d4e50d0000000020039031?xsec_token=TBCfzrc-PQxdd2ruCVqHUjYn4WUC43_O8dA4C93uibOOI=&amp;xsec_source=pc_trdark","https://www.xiaohongshu.com/explore/69d4e50d0000000020039031?xsec_token=TBCfzrc-PQxdd2ruCVqHUjYn4WUC43_O8dA4C93uibOOI=&amp;xsec_source=pc_trdark")</f>
        <v>0.0</v>
      </c>
      <c r="D105" t="inlineStr">
        <is>
          <t>鲜水湾</t>
        </is>
      </c>
      <c r="E105" t="inlineStr">
        <is>
          <t>49316638994</t>
        </is>
      </c>
      <c r="F105" t="inlineStr">
        <is>
          <t>2026-04-07 19:05:49</t>
        </is>
      </c>
      <c r="G105" t="inlineStr">
        <is>
          <t>图文</t>
        </is>
      </c>
      <c r="H105" t="inlineStr">
        <is>
          <t>智利三文鱼切块·整条三文鱼·深海鱼一人食健康饮食</t>
        </is>
      </c>
      <c r="I105" t="inlineStr">
        <is>
          <t>691ac562a524ee0001b51d7b</t>
        </is>
      </c>
      <c r="J105" t="inlineStr">
        <is>
          <t/>
        </is>
      </c>
      <c r="K105" t="n">
        <v>0.0</v>
      </c>
      <c r="L105" t="n">
        <v>0.0</v>
      </c>
      <c r="M105" t="n">
        <v>49.0</v>
      </c>
      <c r="N105" t="n">
        <v>0.1801470588235294</v>
      </c>
      <c r="O105" t="n">
        <v>45.0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inlineStr">
        <is>
          <t/>
        </is>
      </c>
      <c r="X105" t="n">
        <v>0.0</v>
      </c>
      <c r="Y105" t="n">
        <v>10.0</v>
      </c>
      <c r="Z105" t="n">
        <v>16.0</v>
      </c>
      <c r="AA105" t="n">
        <v>0.0</v>
      </c>
      <c r="AB105" t="n">
        <v>0.0</v>
      </c>
      <c r="AC105" t="n">
        <v>0.0</v>
      </c>
      <c r="AD105" t="n">
        <v>272.0</v>
      </c>
      <c r="AE105" t="n">
        <v>2.0</v>
      </c>
      <c r="AF105" t="n">
        <v>0.0</v>
      </c>
      <c r="AG105" t="n">
        <v>1.0</v>
      </c>
      <c r="AH105" t="n">
        <v>1.0</v>
      </c>
      <c r="AI105" t="n">
        <v>1.0</v>
      </c>
      <c r="AJ105" t="n">
        <v>0.0</v>
      </c>
      <c r="AK105" t="n">
        <v>14.393382352941176</v>
      </c>
      <c r="AL105" t="inlineStr">
        <is>
          <t/>
        </is>
      </c>
    </row>
    <row r="106">
      <c r="A106" t="inlineStr">
        <is>
          <t>同事对我每天吃一盒虾仁，表示很奢侈❗️</t>
        </is>
      </c>
      <c r="B106" t="inlineStr">
        <is>
          <t>69ce226600000000200387dc</t>
        </is>
      </c>
      <c r="C106" s="105" t="n">
        <f>HYPERLINK("https://www.xiaohongshu.com/explore/69ce226600000000200387dc?xsec_token=TBclHZuM5_fs2QanfU7vVSEpoBQ_bOcfxWEw9k2JtrE-k=&amp;xsec_source=pc_trdark","https://www.xiaohongshu.com/explore/69ce226600000000200387dc?xsec_token=TBclHZuM5_fs2QanfU7vVSEpoBQ_bOcfxWEw9k2JtrE-k=&amp;xsec_source=pc_trdark")</f>
        <v>0.0</v>
      </c>
      <c r="D106" t="inlineStr">
        <is>
          <t>婉婉上班吃什么</t>
        </is>
      </c>
      <c r="E106" t="inlineStr">
        <is>
          <t>11434449706</t>
        </is>
      </c>
      <c r="F106" t="inlineStr">
        <is>
          <t>2026-04-02 16:01:42</t>
        </is>
      </c>
      <c r="G106" t="inlineStr">
        <is>
          <t>图文</t>
        </is>
      </c>
      <c r="H106" t="inlineStr">
        <is>
          <t>手剥虾仁 无冰衣无添加 低脂餐一人食 上班带饭 顺丰包邮 5盒装</t>
        </is>
      </c>
      <c r="I106" t="inlineStr">
        <is>
          <t>694baba01d450d00013662f0</t>
        </is>
      </c>
      <c r="J106" t="inlineStr">
        <is>
          <t/>
        </is>
      </c>
      <c r="K106" t="n">
        <v>69.0</v>
      </c>
      <c r="L106" t="n">
        <v>1.0</v>
      </c>
      <c r="M106" t="n">
        <v>38.0</v>
      </c>
      <c r="N106" t="n">
        <v>0.1412639405204461</v>
      </c>
      <c r="O106" t="n">
        <v>34.0</v>
      </c>
      <c r="P106" t="n">
        <v>1.0</v>
      </c>
      <c r="Q106" t="inlineStr">
        <is>
          <t>0.02631578947368421</t>
        </is>
      </c>
      <c r="R106" t="inlineStr">
        <is>
          <t>0.029411764705882353</t>
        </is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9.0</v>
      </c>
      <c r="Z106" t="n">
        <v>8.0</v>
      </c>
      <c r="AA106" t="n">
        <v>0.0</v>
      </c>
      <c r="AB106" t="n">
        <v>0.0</v>
      </c>
      <c r="AC106" t="n">
        <v>0.0</v>
      </c>
      <c r="AD106" t="n">
        <v>269.0</v>
      </c>
      <c r="AE106" t="n">
        <v>1.0</v>
      </c>
      <c r="AF106" t="n">
        <v>1.0</v>
      </c>
      <c r="AG106" t="n">
        <v>0.0</v>
      </c>
      <c r="AH106" t="n">
        <v>1.0</v>
      </c>
      <c r="AI106" t="n">
        <v>0.0</v>
      </c>
      <c r="AJ106" t="n">
        <v>0.0</v>
      </c>
      <c r="AK106" t="n">
        <v>10.799256505576208</v>
      </c>
      <c r="AL106" t="inlineStr">
        <is>
          <t/>
        </is>
      </c>
    </row>
    <row r="107">
      <c r="A107" t="inlineStr">
        <is>
          <t>和老爸商量后，春日推出独居一人食小包装</t>
        </is>
      </c>
      <c r="B107" t="inlineStr">
        <is>
          <t>69ccd2800000000023007d06</t>
        </is>
      </c>
      <c r="C107" s="106" t="n">
        <f>HYPERLINK("https://www.xiaohongshu.com/explore/69ccd2800000000023007d06?xsec_token=TBmwaR-CbxUmnLfgemf1f-gtf4tTmt8YBktIC6YAaC0kA=&amp;xsec_source=pc_trdark","https://www.xiaohongshu.com/explore/69ccd2800000000023007d06?xsec_token=TBmwaR-CbxUmnLfgemf1f-gtf4tTmt8YBktIC6YAaC0kA=&amp;xsec_source=pc_trdark")</f>
        <v>0.0</v>
      </c>
      <c r="D107" t="inlineStr">
        <is>
          <t>鲜水湾</t>
        </is>
      </c>
      <c r="E107" t="inlineStr">
        <is>
          <t>49316638994</t>
        </is>
      </c>
      <c r="F107" t="inlineStr">
        <is>
          <t>2026-04-01 16:08:32</t>
        </is>
      </c>
      <c r="G107" t="inlineStr">
        <is>
          <t>图文</t>
        </is>
      </c>
      <c r="H107" t="inlineStr">
        <is>
          <t>手剥虾仁 无冰衣无添加 低脂餐一人食 上班带饭 顺丰包邮 5盒装</t>
        </is>
      </c>
      <c r="I107" t="inlineStr">
        <is>
          <t>694baba01d450d00013662f0</t>
        </is>
      </c>
      <c r="J107" t="inlineStr">
        <is>
          <t/>
        </is>
      </c>
      <c r="K107" t="n">
        <v>138.0</v>
      </c>
      <c r="L107" t="n">
        <v>2.0</v>
      </c>
      <c r="M107" t="n">
        <v>28.0</v>
      </c>
      <c r="N107" t="inlineStr">
        <is>
          <t>0.10606060606060606</t>
        </is>
      </c>
      <c r="O107" t="n">
        <v>24.0</v>
      </c>
      <c r="P107" t="n">
        <v>2.0</v>
      </c>
      <c r="Q107" t="inlineStr">
        <is>
          <t>0.07142857142857142</t>
        </is>
      </c>
      <c r="R107" t="inlineStr">
        <is>
          <t>0.08333333333333333</t>
        </is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4.0</v>
      </c>
      <c r="Z107" t="n">
        <v>15.0</v>
      </c>
      <c r="AA107" t="n">
        <v>0.0</v>
      </c>
      <c r="AB107" t="n">
        <v>0.0</v>
      </c>
      <c r="AC107" t="n">
        <v>0.0</v>
      </c>
      <c r="AD107" t="n">
        <v>264.0</v>
      </c>
      <c r="AE107" t="n">
        <v>3.0</v>
      </c>
      <c r="AF107" t="n">
        <v>0.0</v>
      </c>
      <c r="AG107" t="n">
        <v>2.0</v>
      </c>
      <c r="AH107" t="n">
        <v>2.0</v>
      </c>
      <c r="AI107" t="n">
        <v>0.0</v>
      </c>
      <c r="AJ107" t="n">
        <v>0.0</v>
      </c>
      <c r="AK107" t="n">
        <v>12.556818181818182</v>
      </c>
      <c r="AL107" t="inlineStr">
        <is>
          <t/>
        </is>
      </c>
    </row>
    <row r="108">
      <c r="A108" t="inlineStr">
        <is>
          <t>我宣布！三文鱼是管理期的神！</t>
        </is>
      </c>
      <c r="B108" t="inlineStr">
        <is>
          <t>69e359f7000000001b021596</t>
        </is>
      </c>
      <c r="C108" s="107" t="n">
        <f>HYPERLINK("https://www.xiaohongshu.com/explore/69e359f7000000001b021596?xsec_token=TBdjj7K6Nlm9yT2LpYB6PpNlL-M9O7-w9IXN-YVn0aB84=&amp;xsec_source=pc_trdark","https://www.xiaohongshu.com/explore/69e359f7000000001b021596?xsec_token=TBdjj7K6Nlm9yT2LpYB6PpNlL-M9O7-w9IXN-YVn0aB84=&amp;xsec_source=pc_trdark")</f>
        <v>0.0</v>
      </c>
      <c r="D108" t="inlineStr">
        <is>
          <t>鲜水湾</t>
        </is>
      </c>
      <c r="E108" t="inlineStr">
        <is>
          <t>49316638994</t>
        </is>
      </c>
      <c r="F108" t="inlineStr">
        <is>
          <t>2026-04-18 18:16:23</t>
        </is>
      </c>
      <c r="G108" t="inlineStr">
        <is>
          <t>图文</t>
        </is>
      </c>
      <c r="H108" t="inlineStr">
        <is>
          <t>智利三文鱼切块·整条三文鱼·深海鱼一人食健康饮食</t>
        </is>
      </c>
      <c r="I108" t="inlineStr">
        <is>
          <t>691ac562a524ee0001b51d7b</t>
        </is>
      </c>
      <c r="J108" t="inlineStr">
        <is>
          <t/>
        </is>
      </c>
      <c r="K108" t="n">
        <v>710.0</v>
      </c>
      <c r="L108" t="n">
        <v>5.0</v>
      </c>
      <c r="M108" t="n">
        <v>28.0</v>
      </c>
      <c r="N108" t="inlineStr">
        <is>
          <t>0.10687022900763359</t>
        </is>
      </c>
      <c r="O108" t="n">
        <v>25.0</v>
      </c>
      <c r="P108" t="n">
        <v>5.0</v>
      </c>
      <c r="Q108" t="inlineStr">
        <is>
          <t>0.17857142857142858</t>
        </is>
      </c>
      <c r="R108" t="n">
        <v>0.2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8.0</v>
      </c>
      <c r="Z108" t="n">
        <v>4.0</v>
      </c>
      <c r="AA108" t="n">
        <v>0.0</v>
      </c>
      <c r="AB108" t="n">
        <v>0.0</v>
      </c>
      <c r="AC108" t="n">
        <v>0.0</v>
      </c>
      <c r="AD108" t="n">
        <v>262.0</v>
      </c>
      <c r="AE108" t="n">
        <v>1.0</v>
      </c>
      <c r="AF108" t="n">
        <v>0.0</v>
      </c>
      <c r="AG108" t="n">
        <v>2.0</v>
      </c>
      <c r="AH108" t="n">
        <v>2.0</v>
      </c>
      <c r="AI108" t="n">
        <v>2.0</v>
      </c>
      <c r="AJ108" t="n">
        <v>0.0</v>
      </c>
      <c r="AK108" t="n">
        <v>14.782442748091603</v>
      </c>
      <c r="AL108" t="inlineStr">
        <is>
          <t/>
        </is>
      </c>
    </row>
    <row r="109">
      <c r="A109" t="inlineStr">
        <is>
          <t>放弃山🪵了，还是这种小包装更有性价比</t>
        </is>
      </c>
      <c r="B109" t="inlineStr">
        <is>
          <t>69ec363e000000003503a4d9</t>
        </is>
      </c>
      <c r="C109" s="108" t="n">
        <f>HYPERLINK("https://www.xiaohongshu.com/explore/69ec363e000000003503a4d9?xsec_token=TBnoSF_--XRDuLtfF77lVqP0IHyNuNPYDyGYBIK-bnubw=&amp;xsec_source=pc_trdark","https://www.xiaohongshu.com/explore/69ec363e000000003503a4d9?xsec_token=TBnoSF_--XRDuLtfF77lVqP0IHyNuNPYDyGYBIK-bnubw=&amp;xsec_source=pc_trdark")</f>
        <v>0.0</v>
      </c>
      <c r="D109" t="inlineStr">
        <is>
          <t>鲜水湾甄选</t>
        </is>
      </c>
      <c r="E109" t="inlineStr">
        <is>
          <t>27401929161</t>
        </is>
      </c>
      <c r="F109" t="inlineStr">
        <is>
          <t>2026-04-25 11:34:22</t>
        </is>
      </c>
      <c r="G109" t="inlineStr">
        <is>
          <t>图文</t>
        </is>
      </c>
      <c r="H109" t="inlineStr">
        <is>
          <t>手剥虾仁 无冰衣无添加 低脂餐一人食 上班带饭 顺丰包邮 5盒装</t>
        </is>
      </c>
      <c r="I109" t="inlineStr">
        <is>
          <t>694baba01d450d00013662f0</t>
        </is>
      </c>
      <c r="J109" t="inlineStr">
        <is>
          <t/>
        </is>
      </c>
      <c r="K109" t="n">
        <v>0.0</v>
      </c>
      <c r="L109" t="n">
        <v>0.0</v>
      </c>
      <c r="M109" t="n">
        <v>38.0</v>
      </c>
      <c r="N109" t="inlineStr">
        <is>
          <t>0.14785992217898833</t>
        </is>
      </c>
      <c r="O109" t="n">
        <v>31.0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inlineStr">
        <is>
          <t/>
        </is>
      </c>
      <c r="X109" t="n">
        <v>0.0</v>
      </c>
      <c r="Y109" t="n">
        <v>11.0</v>
      </c>
      <c r="Z109" t="n">
        <v>8.0</v>
      </c>
      <c r="AA109" t="n">
        <v>0.0</v>
      </c>
      <c r="AB109" t="n">
        <v>0.0</v>
      </c>
      <c r="AC109" t="n">
        <v>0.0</v>
      </c>
      <c r="AD109" t="n">
        <v>257.0</v>
      </c>
      <c r="AE109" t="n">
        <v>4.0</v>
      </c>
      <c r="AF109" t="n">
        <v>4.0</v>
      </c>
      <c r="AG109" t="n">
        <v>2.0</v>
      </c>
      <c r="AH109" t="n">
        <v>1.0</v>
      </c>
      <c r="AI109" t="n">
        <v>0.0</v>
      </c>
      <c r="AJ109" t="n">
        <v>0.0</v>
      </c>
      <c r="AK109" t="n">
        <v>18.186770428015564</v>
      </c>
      <c r="AL109" t="inlineStr">
        <is>
          <t/>
        </is>
      </c>
    </row>
    <row r="110">
      <c r="A110" t="inlineStr">
        <is>
          <t>控体期一周蛋白质全靠它！回购了五次</t>
        </is>
      </c>
      <c r="B110" t="inlineStr">
        <is>
          <t>69dba0b9000000002003908b</t>
        </is>
      </c>
      <c r="C110" s="109" t="n">
        <f>HYPERLINK("https://www.xiaohongshu.com/explore/69dba0b9000000002003908b?xsec_token=TBv7n0Oy0CPbFvgz473v78kbKq38ZS_L6TODqYv5jTY-Y=&amp;xsec_source=pc_trdark","https://www.xiaohongshu.com/explore/69dba0b9000000002003908b?xsec_token=TBv7n0Oy0CPbFvgz473v78kbKq38ZS_L6TODqYv5jTY-Y=&amp;xsec_source=pc_trdark")</f>
        <v>0.0</v>
      </c>
      <c r="D110" t="inlineStr">
        <is>
          <t>婉婉上班吃什么</t>
        </is>
      </c>
      <c r="E110" t="inlineStr">
        <is>
          <t>11434449706</t>
        </is>
      </c>
      <c r="F110" t="inlineStr">
        <is>
          <t>2026-04-12 21:40:09</t>
        </is>
      </c>
      <c r="G110" t="inlineStr">
        <is>
          <t>图文</t>
        </is>
      </c>
      <c r="H110" t="inlineStr">
        <is>
          <t>手剥虾仁 无冰衣无添加 低脂餐一人食 上班带饭 顺丰包邮 5盒装</t>
        </is>
      </c>
      <c r="I110" t="inlineStr">
        <is>
          <t>694baba01d450d00013662f0</t>
        </is>
      </c>
      <c r="J110" t="inlineStr">
        <is>
          <t/>
        </is>
      </c>
      <c r="K110" t="n">
        <v>69.0</v>
      </c>
      <c r="L110" t="n">
        <v>1.0</v>
      </c>
      <c r="M110" t="n">
        <v>25.0</v>
      </c>
      <c r="N110" t="inlineStr">
        <is>
          <t>0.09803921568627451</t>
        </is>
      </c>
      <c r="O110" t="n">
        <v>24.0</v>
      </c>
      <c r="P110" t="n">
        <v>1.0</v>
      </c>
      <c r="Q110" t="n">
        <v>0.04</v>
      </c>
      <c r="R110" t="inlineStr">
        <is>
          <t>0.041666666666666664</t>
        </is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4.0</v>
      </c>
      <c r="Z110" t="n">
        <v>10.0</v>
      </c>
      <c r="AA110" t="n">
        <v>138.0</v>
      </c>
      <c r="AB110" t="n">
        <v>0.0</v>
      </c>
      <c r="AC110" t="n">
        <v>0.0</v>
      </c>
      <c r="AD110" t="n">
        <v>255.0</v>
      </c>
      <c r="AE110" t="n">
        <v>5.0</v>
      </c>
      <c r="AF110" t="n">
        <v>0.0</v>
      </c>
      <c r="AG110" t="n">
        <v>0.0</v>
      </c>
      <c r="AH110" t="n">
        <v>2.0</v>
      </c>
      <c r="AI110" t="n">
        <v>0.0</v>
      </c>
      <c r="AJ110" t="n">
        <v>0.0</v>
      </c>
      <c r="AK110" t="n">
        <v>9.749019607843136</v>
      </c>
      <c r="AL110" t="inlineStr">
        <is>
          <t/>
        </is>
      </c>
    </row>
    <row r="111">
      <c r="A111" t="inlineStr">
        <is>
          <t>区区69块承包我一周的减脂餐😂</t>
        </is>
      </c>
      <c r="B111" t="inlineStr">
        <is>
          <t>69f0a64a000000001a037412</t>
        </is>
      </c>
      <c r="C111" s="110" t="n">
        <f>HYPERLINK("https://www.xiaohongshu.com/explore/69f0a64a000000001a037412?xsec_token=TBvHxiGmj2CedfPdQHdLJBmJPajlvWIoKRnPdRMIQcAsI=&amp;xsec_source=pc_trdark","https://www.xiaohongshu.com/explore/69f0a64a000000001a037412?xsec_token=TBvHxiGmj2CedfPdQHdLJBmJPajlvWIoKRnPdRMIQcAsI=&amp;xsec_source=pc_trdark")</f>
        <v>0.0</v>
      </c>
      <c r="D111" t="inlineStr">
        <is>
          <t>婉婉上班吃什么</t>
        </is>
      </c>
      <c r="E111" t="inlineStr">
        <is>
          <t>11434449706</t>
        </is>
      </c>
      <c r="F111" t="inlineStr">
        <is>
          <t>2026-04-28 20:21:30</t>
        </is>
      </c>
      <c r="G111" t="inlineStr">
        <is>
          <t>图文</t>
        </is>
      </c>
      <c r="H111" t="inlineStr">
        <is>
          <t>手剥虾仁 无冰衣无添加 低脂餐一人食 上班带饭 顺丰包邮 5盒装</t>
        </is>
      </c>
      <c r="I111" t="inlineStr">
        <is>
          <t>694baba01d450d00013662f0</t>
        </is>
      </c>
      <c r="J111" t="inlineStr">
        <is>
          <t/>
        </is>
      </c>
      <c r="K111" t="n">
        <v>197.0</v>
      </c>
      <c r="L111" t="n">
        <v>2.0</v>
      </c>
      <c r="M111" t="n">
        <v>57.0</v>
      </c>
      <c r="N111" t="inlineStr">
        <is>
          <t>0.22440944881889763</t>
        </is>
      </c>
      <c r="O111" t="n">
        <v>50.0</v>
      </c>
      <c r="P111" t="n">
        <v>2.0</v>
      </c>
      <c r="Q111" t="inlineStr">
        <is>
          <t>0.03508771929824561</t>
        </is>
      </c>
      <c r="R111" t="n">
        <v>0.04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11.0</v>
      </c>
      <c r="Z111" t="n">
        <v>12.0</v>
      </c>
      <c r="AA111" t="n">
        <v>0.0</v>
      </c>
      <c r="AB111" t="n">
        <v>0.0</v>
      </c>
      <c r="AC111" t="n">
        <v>0.0</v>
      </c>
      <c r="AD111" t="n">
        <v>254.0</v>
      </c>
      <c r="AE111" t="n">
        <v>2.0</v>
      </c>
      <c r="AF111" t="n">
        <v>0.0</v>
      </c>
      <c r="AG111" t="n">
        <v>0.0</v>
      </c>
      <c r="AH111" t="n">
        <v>2.0</v>
      </c>
      <c r="AI111" t="n">
        <v>0.0</v>
      </c>
      <c r="AJ111" t="n">
        <v>0.0</v>
      </c>
      <c r="AK111" t="n">
        <v>13.26771653543307</v>
      </c>
      <c r="AL111" t="inlineStr">
        <is>
          <t/>
        </is>
      </c>
    </row>
    <row r="112">
      <c r="A112" t="inlineStr">
        <is>
          <t>真的会谢，对100来块的购买力有了新概念</t>
        </is>
      </c>
      <c r="B112" t="inlineStr">
        <is>
          <t>69ec65b000000000350242a2</t>
        </is>
      </c>
      <c r="C112" s="111" t="n">
        <f>HYPERLINK("https://www.xiaohongshu.com/explore/69ec65b000000000350242a2?xsec_token=TBnoSF_--XRDuLtfF77lVqP7fGI9bD2KIuucNa73Gwwc8=&amp;xsec_source=pc_trdark","https://www.xiaohongshu.com/explore/69ec65b000000000350242a2?xsec_token=TBnoSF_--XRDuLtfF77lVqP7fGI9bD2KIuucNa73Gwwc8=&amp;xsec_source=pc_trdark")</f>
        <v>0.0</v>
      </c>
      <c r="D112" t="inlineStr">
        <is>
          <t>鲜水湾甄选</t>
        </is>
      </c>
      <c r="E112" t="inlineStr">
        <is>
          <t>27401929161</t>
        </is>
      </c>
      <c r="F112" t="inlineStr">
        <is>
          <t>2026-04-25 14:56:48</t>
        </is>
      </c>
      <c r="G112" t="inlineStr">
        <is>
          <t>图文</t>
        </is>
      </c>
      <c r="H112" t="inlineStr">
        <is>
          <t>手剥虾仁 无冰衣无添加 低脂餐一人食 上班带饭 顺丰包邮 5盒装</t>
        </is>
      </c>
      <c r="I112" t="inlineStr">
        <is>
          <t>694baba01d450d00013662f0</t>
        </is>
      </c>
      <c r="J112" t="inlineStr">
        <is>
          <t/>
        </is>
      </c>
      <c r="K112" t="n">
        <v>0.0</v>
      </c>
      <c r="L112" t="n">
        <v>0.0</v>
      </c>
      <c r="M112" t="n">
        <v>27.0</v>
      </c>
      <c r="N112" t="n">
        <v>0.108</v>
      </c>
      <c r="O112" t="n">
        <v>24.0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inlineStr">
        <is>
          <t/>
        </is>
      </c>
      <c r="X112" t="n">
        <v>0.0</v>
      </c>
      <c r="Y112" t="n">
        <v>5.0</v>
      </c>
      <c r="Z112" t="n">
        <v>7.0</v>
      </c>
      <c r="AA112" t="n">
        <v>0.0</v>
      </c>
      <c r="AB112" t="n">
        <v>0.0</v>
      </c>
      <c r="AC112" t="n">
        <v>0.0</v>
      </c>
      <c r="AD112" t="n">
        <v>250.0</v>
      </c>
      <c r="AE112" t="n">
        <v>4.0</v>
      </c>
      <c r="AF112" t="n">
        <v>1.0</v>
      </c>
      <c r="AG112" t="n">
        <v>0.0</v>
      </c>
      <c r="AH112" t="n">
        <v>1.0</v>
      </c>
      <c r="AI112" t="n">
        <v>0.0</v>
      </c>
      <c r="AJ112" t="n">
        <v>0.0</v>
      </c>
      <c r="AK112" t="n">
        <v>17.824</v>
      </c>
      <c r="AL112" t="inlineStr">
        <is>
          <t/>
        </is>
      </c>
    </row>
    <row r="113">
      <c r="A113" t="inlineStr">
        <is>
          <t>感谢 315 让 0 添加虾仁被越来越多人看到！</t>
        </is>
      </c>
      <c r="B113" t="inlineStr">
        <is>
          <t>69de03020000000020038018</t>
        </is>
      </c>
      <c r="C113" s="112" t="n">
        <f>HYPERLINK("https://www.xiaohongshu.com/explore/69de03020000000020038018?xsec_token=TB59yoDgsQvcJ0I-utjSL7kCUSHPFdlFgy5WbpEXCniFM=&amp;xsec_source=pc_trdark","https://www.xiaohongshu.com/explore/69de03020000000020038018?xsec_token=TB59yoDgsQvcJ0I-utjSL7kCUSHPFdlFgy5WbpEXCniFM=&amp;xsec_source=pc_trdark")</f>
        <v>0.0</v>
      </c>
      <c r="D113" t="inlineStr">
        <is>
          <t>鲜水湾</t>
        </is>
      </c>
      <c r="E113" t="inlineStr">
        <is>
          <t>49316638994</t>
        </is>
      </c>
      <c r="F113" t="inlineStr">
        <is>
          <t>2026-04-14 17:04:02</t>
        </is>
      </c>
      <c r="G113" t="inlineStr">
        <is>
          <t>图文</t>
        </is>
      </c>
      <c r="H113" t="inlineStr">
        <is>
          <t>手剥虾仁 无冰衣无添加 低脂餐一人食 上班带饭 顺丰包邮 5盒装</t>
        </is>
      </c>
      <c r="I113" t="inlineStr">
        <is>
          <t>694baba01d450d00013662f0</t>
        </is>
      </c>
      <c r="J113" t="inlineStr">
        <is>
          <t/>
        </is>
      </c>
      <c r="K113" t="n">
        <v>0.0</v>
      </c>
      <c r="L113" t="n">
        <v>0.0</v>
      </c>
      <c r="M113" t="n">
        <v>39.0</v>
      </c>
      <c r="N113" t="inlineStr">
        <is>
          <t>0.15725806451612903</t>
        </is>
      </c>
      <c r="O113" t="n">
        <v>36.0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inlineStr">
        <is>
          <t/>
        </is>
      </c>
      <c r="X113" t="n">
        <v>0.0</v>
      </c>
      <c r="Y113" t="n">
        <v>7.0</v>
      </c>
      <c r="Z113" t="n">
        <v>3.0</v>
      </c>
      <c r="AA113" t="n">
        <v>0.0</v>
      </c>
      <c r="AB113" t="n">
        <v>0.0</v>
      </c>
      <c r="AC113" t="n">
        <v>0.0</v>
      </c>
      <c r="AD113" t="n">
        <v>248.0</v>
      </c>
      <c r="AE113" t="n">
        <v>5.0</v>
      </c>
      <c r="AF113" t="n">
        <v>0.0</v>
      </c>
      <c r="AG113" t="n">
        <v>0.0</v>
      </c>
      <c r="AH113" t="n">
        <v>2.0</v>
      </c>
      <c r="AI113" t="n">
        <v>0.0</v>
      </c>
      <c r="AJ113" t="n">
        <v>0.0</v>
      </c>
      <c r="AK113" t="n">
        <v>12.358870967741936</v>
      </c>
      <c r="AL113" t="inlineStr">
        <is>
          <t/>
        </is>
      </c>
    </row>
    <row r="114">
      <c r="A114" t="inlineStr">
        <is>
          <t>Xhs诚不欺我，三文鱼真的很大</t>
        </is>
      </c>
      <c r="B114" t="inlineStr">
        <is>
          <t>69e73fad0000000022026a8e</t>
        </is>
      </c>
      <c r="C114" s="113" t="n">
        <f>HYPERLINK("https://www.xiaohongshu.com/explore/69e73fad0000000022026a8e?xsec_token=TBxJD1S06w8M0Ib6UdHEwWiF6BGBJjveiqIbYuWZCM9ag=&amp;xsec_source=pc_trdark","https://www.xiaohongshu.com/explore/69e73fad0000000022026a8e?xsec_token=TBxJD1S06w8M0Ib6UdHEwWiF6BGBJjveiqIbYuWZCM9ag=&amp;xsec_source=pc_trdark")</f>
        <v>0.0</v>
      </c>
      <c r="D114" t="inlineStr">
        <is>
          <t>婉婉上班吃什么</t>
        </is>
      </c>
      <c r="E114" t="inlineStr">
        <is>
          <t>11434449706</t>
        </is>
      </c>
      <c r="F114" t="inlineStr">
        <is>
          <t>2026-04-21 17:13:17</t>
        </is>
      </c>
      <c r="G114" t="inlineStr">
        <is>
          <t>图文</t>
        </is>
      </c>
      <c r="H114" t="inlineStr">
        <is>
          <t>智利三文鱼切块·整条三文鱼·深海鱼一人食健康饮食</t>
        </is>
      </c>
      <c r="I114" t="inlineStr">
        <is>
          <t>691ac562a524ee0001b51d7b</t>
        </is>
      </c>
      <c r="J114" t="inlineStr">
        <is>
          <t/>
        </is>
      </c>
      <c r="K114" t="n">
        <v>118.0</v>
      </c>
      <c r="L114" t="n">
        <v>1.0</v>
      </c>
      <c r="M114" t="n">
        <v>40.0</v>
      </c>
      <c r="N114" t="inlineStr">
        <is>
          <t>0.16326530612244897</t>
        </is>
      </c>
      <c r="O114" t="n">
        <v>37.0</v>
      </c>
      <c r="P114" t="n">
        <v>1.0</v>
      </c>
      <c r="Q114" t="n">
        <v>0.025</v>
      </c>
      <c r="R114" t="inlineStr">
        <is>
          <t>0.02702702702702703</t>
        </is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3.0</v>
      </c>
      <c r="Z114" t="n">
        <v>4.0</v>
      </c>
      <c r="AA114" t="n">
        <v>0.0</v>
      </c>
      <c r="AB114" t="n">
        <v>0.0</v>
      </c>
      <c r="AC114" t="n">
        <v>0.0</v>
      </c>
      <c r="AD114" t="n">
        <v>245.0</v>
      </c>
      <c r="AE114" t="n">
        <v>3.0</v>
      </c>
      <c r="AF114" t="n">
        <v>0.0</v>
      </c>
      <c r="AG114" t="n">
        <v>0.0</v>
      </c>
      <c r="AH114" t="n">
        <v>1.0</v>
      </c>
      <c r="AI114" t="n">
        <v>0.0</v>
      </c>
      <c r="AJ114" t="n">
        <v>0.0</v>
      </c>
      <c r="AK114" t="n">
        <v>15.661224489795918</v>
      </c>
      <c r="AL114" t="inlineStr">
        <is>
          <t/>
        </is>
      </c>
    </row>
    <row r="115">
      <c r="A115" t="inlineStr">
        <is>
          <t>山母对不起，还是小包装更有幸福感✌️</t>
        </is>
      </c>
      <c r="B115" t="inlineStr">
        <is>
          <t>69e85ff000000000230067e7</t>
        </is>
      </c>
      <c r="C115" s="114" t="n">
        <f>HYPERLINK("https://www.xiaohongshu.com/explore/69e85ff000000000230067e7?xsec_token=TBrsJGfbmdICsvnXoyd4QdRtrQ8BZXivMVO-C-K6LrP6g=&amp;xsec_source=pc_trdark","https://www.xiaohongshu.com/explore/69e85ff000000000230067e7?xsec_token=TBrsJGfbmdICsvnXoyd4QdRtrQ8BZXivMVO-C-K6LrP6g=&amp;xsec_source=pc_trdark")</f>
        <v>0.0</v>
      </c>
      <c r="D115" t="inlineStr">
        <is>
          <t>菲菲上班吃什么</t>
        </is>
      </c>
      <c r="E115" t="inlineStr">
        <is>
          <t>49936530607</t>
        </is>
      </c>
      <c r="F115" t="inlineStr">
        <is>
          <t>2026-04-22 15:30:00</t>
        </is>
      </c>
      <c r="G115" t="inlineStr">
        <is>
          <t>图文</t>
        </is>
      </c>
      <c r="H115" t="inlineStr">
        <is>
          <t>手剥虾仁 无冰衣无添加 低脂餐一人食 上班带饭 顺丰包邮 5盒装</t>
        </is>
      </c>
      <c r="I115" t="inlineStr">
        <is>
          <t>694baba01d450d00013662f0</t>
        </is>
      </c>
      <c r="J115" t="inlineStr">
        <is>
          <t/>
        </is>
      </c>
      <c r="K115" t="n">
        <v>256.0</v>
      </c>
      <c r="L115" t="n">
        <v>2.0</v>
      </c>
      <c r="M115" t="n">
        <v>31.0</v>
      </c>
      <c r="N115" t="n">
        <v>0.128099173553719</v>
      </c>
      <c r="O115" t="n">
        <v>25.0</v>
      </c>
      <c r="P115" t="n">
        <v>2.0</v>
      </c>
      <c r="Q115" t="inlineStr">
        <is>
          <t>0.06451612903225806</t>
        </is>
      </c>
      <c r="R115" t="n">
        <v>0.08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6.0</v>
      </c>
      <c r="Z115" t="n">
        <v>7.0</v>
      </c>
      <c r="AA115" t="n">
        <v>128.0</v>
      </c>
      <c r="AB115" t="n">
        <v>0.0</v>
      </c>
      <c r="AC115" t="n">
        <v>0.0</v>
      </c>
      <c r="AD115" t="n">
        <v>242.0</v>
      </c>
      <c r="AE115" t="n">
        <v>1.0</v>
      </c>
      <c r="AF115" t="n">
        <v>0.0</v>
      </c>
      <c r="AG115" t="n">
        <v>0.0</v>
      </c>
      <c r="AH115" t="n">
        <v>1.0</v>
      </c>
      <c r="AI115" t="n">
        <v>0.0</v>
      </c>
      <c r="AJ115" t="n">
        <v>0.0</v>
      </c>
      <c r="AK115" t="n">
        <v>9.62809917355372</v>
      </c>
      <c r="AL115" t="inlineStr">
        <is>
          <t/>
        </is>
      </c>
    </row>
    <row r="116">
      <c r="A116" t="inlineStr">
        <is>
          <t>我也不想买啊，可它300来块一整条还顺丰包邮</t>
        </is>
      </c>
      <c r="B116" t="inlineStr">
        <is>
          <t>69e711b5000000001a02fe4d</t>
        </is>
      </c>
      <c r="C116" s="115" t="n">
        <f>HYPERLINK("https://www.xiaohongshu.com/explore/69e711b5000000001a02fe4d?xsec_token=TBxJD1S06w8M0Ib6UdHEwWiDc8H_4vCVENCz3X4Me11hw=&amp;xsec_source=pc_trdark","https://www.xiaohongshu.com/explore/69e711b5000000001a02fe4d?xsec_token=TBxJD1S06w8M0Ib6UdHEwWiDc8H_4vCVENCz3X4Me11hw=&amp;xsec_source=pc_trdark")</f>
        <v>0.0</v>
      </c>
      <c r="D116" t="inlineStr">
        <is>
          <t>婉婉上班吃什么</t>
        </is>
      </c>
      <c r="E116" t="inlineStr">
        <is>
          <t>11434449706</t>
        </is>
      </c>
      <c r="F116" t="inlineStr">
        <is>
          <t>2026-04-21 13:57:09</t>
        </is>
      </c>
      <c r="G116" t="inlineStr">
        <is>
          <t>图文</t>
        </is>
      </c>
      <c r="H116" t="inlineStr">
        <is>
          <t>智利三文鱼切块·整条三文鱼·深海鱼一人食健康饮食</t>
        </is>
      </c>
      <c r="I116" t="inlineStr">
        <is>
          <t>691ac562a524ee0001b51d7b</t>
        </is>
      </c>
      <c r="J116" t="inlineStr">
        <is>
          <t/>
        </is>
      </c>
      <c r="K116" t="n">
        <v>0.0</v>
      </c>
      <c r="L116" t="n">
        <v>0.0</v>
      </c>
      <c r="M116" t="n">
        <v>33.0</v>
      </c>
      <c r="N116" t="inlineStr">
        <is>
          <t>0.13636363636363635</t>
        </is>
      </c>
      <c r="O116" t="n">
        <v>32.0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inlineStr">
        <is>
          <t/>
        </is>
      </c>
      <c r="X116" t="n">
        <v>0.0</v>
      </c>
      <c r="Y116" t="n">
        <v>6.0</v>
      </c>
      <c r="Z116" t="n">
        <v>4.0</v>
      </c>
      <c r="AA116" t="n">
        <v>0.0</v>
      </c>
      <c r="AB116" t="n">
        <v>0.0</v>
      </c>
      <c r="AC116" t="n">
        <v>0.0</v>
      </c>
      <c r="AD116" t="n">
        <v>242.0</v>
      </c>
      <c r="AE116" t="n">
        <v>3.0</v>
      </c>
      <c r="AF116" t="n">
        <v>2.0</v>
      </c>
      <c r="AG116" t="n">
        <v>2.0</v>
      </c>
      <c r="AH116" t="n">
        <v>1.0</v>
      </c>
      <c r="AI116" t="n">
        <v>0.0</v>
      </c>
      <c r="AJ116" t="n">
        <v>0.0</v>
      </c>
      <c r="AK116" t="n">
        <v>19.90495867768595</v>
      </c>
      <c r="AL116" t="inlineStr">
        <is>
          <t/>
        </is>
      </c>
    </row>
    <row r="117">
      <c r="A117" t="inlineStr">
        <is>
          <t>区区300多，承包了我一个月的减脂餐</t>
        </is>
      </c>
      <c r="B117" t="inlineStr">
        <is>
          <t>69dc8109000000002003a65a</t>
        </is>
      </c>
      <c r="C117" s="116" t="n">
        <f>HYPERLINK("https://www.xiaohongshu.com/explore/69dc8109000000002003a65a?xsec_token=TBe8vKhJyviDCWrA3Jp-irCUhYQPd1tocHZ5zqUimOyGM=&amp;xsec_source=pc_trdark","https://www.xiaohongshu.com/explore/69dc8109000000002003a65a?xsec_token=TBe8vKhJyviDCWrA3Jp-irCUhYQPd1tocHZ5zqUimOyGM=&amp;xsec_source=pc_trdark")</f>
        <v>0.0</v>
      </c>
      <c r="D117" t="inlineStr">
        <is>
          <t>鲜水湾</t>
        </is>
      </c>
      <c r="E117" t="inlineStr">
        <is>
          <t>49316638994</t>
        </is>
      </c>
      <c r="F117" t="inlineStr">
        <is>
          <t>2026-04-13 13:37:13</t>
        </is>
      </c>
      <c r="G117" t="inlineStr">
        <is>
          <t>图文</t>
        </is>
      </c>
      <c r="H117" t="inlineStr">
        <is>
          <t>智利三文鱼切块·整条三文鱼·深海鱼一人食健康饮食</t>
        </is>
      </c>
      <c r="I117" t="inlineStr">
        <is>
          <t>691ac562a524ee0001b51d7b</t>
        </is>
      </c>
      <c r="J117" t="inlineStr">
        <is>
          <t/>
        </is>
      </c>
      <c r="K117" t="n">
        <v>368.0</v>
      </c>
      <c r="L117" t="n">
        <v>1.0</v>
      </c>
      <c r="M117" t="n">
        <v>36.0</v>
      </c>
      <c r="N117" t="inlineStr">
        <is>
          <t>0.15254237288135594</t>
        </is>
      </c>
      <c r="O117" t="n">
        <v>35.0</v>
      </c>
      <c r="P117" t="n">
        <v>1.0</v>
      </c>
      <c r="Q117" t="inlineStr">
        <is>
          <t>0.027777777777777776</t>
        </is>
      </c>
      <c r="R117" t="inlineStr">
        <is>
          <t>0.02857142857142857</t>
        </is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8.0</v>
      </c>
      <c r="Z117" t="n">
        <v>11.0</v>
      </c>
      <c r="AA117" t="n">
        <v>0.0</v>
      </c>
      <c r="AB117" t="n">
        <v>0.0</v>
      </c>
      <c r="AC117" t="n">
        <v>0.0</v>
      </c>
      <c r="AD117" t="n">
        <v>236.0</v>
      </c>
      <c r="AE117" t="n">
        <v>5.0</v>
      </c>
      <c r="AF117" t="n">
        <v>1.0</v>
      </c>
      <c r="AG117" t="n">
        <v>0.0</v>
      </c>
      <c r="AH117" t="n">
        <v>4.0</v>
      </c>
      <c r="AI117" t="n">
        <v>1.0</v>
      </c>
      <c r="AJ117" t="n">
        <v>0.0</v>
      </c>
      <c r="AK117" t="n">
        <v>15.936440677966102</v>
      </c>
      <c r="AL117" t="inlineStr">
        <is>
          <t/>
        </is>
      </c>
    </row>
    <row r="118">
      <c r="A118" t="inlineStr">
        <is>
          <t>感受一下300来块的购买力，顺丰包邮</t>
        </is>
      </c>
      <c r="B118" t="inlineStr">
        <is>
          <t>69f00d8d000000002301ccda</t>
        </is>
      </c>
      <c r="C118" s="117" t="n">
        <f>HYPERLINK("https://www.xiaohongshu.com/explore/69f00d8d000000002301ccda?xsec_token=TBvHxiGmj2CedfPdQHdLJBmOm9KOId16twHD_TtxXP5ao=&amp;xsec_source=pc_trdark","https://www.xiaohongshu.com/explore/69f00d8d000000002301ccda?xsec_token=TBvHxiGmj2CedfPdQHdLJBmOm9KOId16twHD_TtxXP5ao=&amp;xsec_source=pc_trdark")</f>
        <v>0.0</v>
      </c>
      <c r="D118" t="inlineStr">
        <is>
          <t>婉婉上班吃什么</t>
        </is>
      </c>
      <c r="E118" t="inlineStr">
        <is>
          <t>11434449706</t>
        </is>
      </c>
      <c r="F118" t="inlineStr">
        <is>
          <t>2026-04-28 09:29:49</t>
        </is>
      </c>
      <c r="G118" t="inlineStr">
        <is>
          <t>图文</t>
        </is>
      </c>
      <c r="H118" t="inlineStr">
        <is>
          <t>智利三文鱼切块·整条三文鱼·深海鱼一人食健康饮食</t>
        </is>
      </c>
      <c r="I118" t="inlineStr">
        <is>
          <t>691ac562a524ee0001b51d7b</t>
        </is>
      </c>
      <c r="J118" t="inlineStr">
        <is>
          <t/>
        </is>
      </c>
      <c r="K118" t="n">
        <v>794.0</v>
      </c>
      <c r="L118" t="n">
        <v>3.0</v>
      </c>
      <c r="M118" t="n">
        <v>46.0</v>
      </c>
      <c r="N118" t="inlineStr">
        <is>
          <t>0.20087336244541484</t>
        </is>
      </c>
      <c r="O118" t="n">
        <v>39.0</v>
      </c>
      <c r="P118" t="n">
        <v>3.0</v>
      </c>
      <c r="Q118" t="inlineStr">
        <is>
          <t>0.06521739130434782</t>
        </is>
      </c>
      <c r="R118" t="inlineStr">
        <is>
          <t>0.07692307692307693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8.0</v>
      </c>
      <c r="Z118" t="n">
        <v>3.0</v>
      </c>
      <c r="AA118" t="n">
        <v>0.0</v>
      </c>
      <c r="AB118" t="n">
        <v>0.0</v>
      </c>
      <c r="AC118" t="n">
        <v>0.0</v>
      </c>
      <c r="AD118" t="n">
        <v>229.0</v>
      </c>
      <c r="AE118" t="n">
        <v>7.0</v>
      </c>
      <c r="AF118" t="n">
        <v>3.0</v>
      </c>
      <c r="AG118" t="n">
        <v>0.0</v>
      </c>
      <c r="AH118" t="n">
        <v>2.0</v>
      </c>
      <c r="AI118" t="n">
        <v>1.0</v>
      </c>
      <c r="AJ118" t="n">
        <v>0.0</v>
      </c>
      <c r="AK118" t="n">
        <v>20.70305676855895</v>
      </c>
      <c r="AL118" t="inlineStr">
        <is>
          <t/>
        </is>
      </c>
    </row>
    <row r="119">
      <c r="A119" t="inlineStr">
        <is>
          <t>听粉丝的话！上架独立小包装真的受欢迎</t>
        </is>
      </c>
      <c r="B119" t="inlineStr">
        <is>
          <t>69e86a69000000001f0071ec</t>
        </is>
      </c>
      <c r="C119" s="118" t="n">
        <f>HYPERLINK("https://www.xiaohongshu.com/explore/69e86a69000000001f0071ec?xsec_token=TBrsJGfbmdICsvnXoyd4QdRn0aOvmCiHWouaXzNaQwoFU=&amp;xsec_source=pc_trdark","https://www.xiaohongshu.com/explore/69e86a69000000001f0071ec?xsec_token=TBrsJGfbmdICsvnXoyd4QdRn0aOvmCiHWouaXzNaQwoFU=&amp;xsec_source=pc_trdark")</f>
        <v>0.0</v>
      </c>
      <c r="D119" t="inlineStr">
        <is>
          <t>菲菲上班吃什么</t>
        </is>
      </c>
      <c r="E119" t="inlineStr">
        <is>
          <t>49936530607</t>
        </is>
      </c>
      <c r="F119" t="inlineStr">
        <is>
          <t>2026-04-23 07:30:00</t>
        </is>
      </c>
      <c r="G119" t="inlineStr">
        <is>
          <t>图文</t>
        </is>
      </c>
      <c r="H119" t="inlineStr">
        <is>
          <t>手剥虾仁 无冰衣无添加 低脂餐一人食 上班带饭 顺丰包邮 5盒装</t>
        </is>
      </c>
      <c r="I119" t="inlineStr">
        <is>
          <t>694baba01d450d00013662f0</t>
        </is>
      </c>
      <c r="J119" t="inlineStr">
        <is>
          <t/>
        </is>
      </c>
      <c r="K119" t="n">
        <v>138.0</v>
      </c>
      <c r="L119" t="n">
        <v>2.0</v>
      </c>
      <c r="M119" t="n">
        <v>43.0</v>
      </c>
      <c r="N119" t="n">
        <v>0.1894273127753304</v>
      </c>
      <c r="O119" t="n">
        <v>39.0</v>
      </c>
      <c r="P119" t="n">
        <v>2.0</v>
      </c>
      <c r="Q119" t="inlineStr">
        <is>
          <t>0.046511627906976744</t>
        </is>
      </c>
      <c r="R119" t="inlineStr">
        <is>
          <t>0.05128205128205128</t>
        </is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14.0</v>
      </c>
      <c r="Z119" t="n">
        <v>10.0</v>
      </c>
      <c r="AA119" t="n">
        <v>0.0</v>
      </c>
      <c r="AB119" t="n">
        <v>0.0</v>
      </c>
      <c r="AC119" t="n">
        <v>0.0</v>
      </c>
      <c r="AD119" t="n">
        <v>227.0</v>
      </c>
      <c r="AE119" t="n">
        <v>6.0</v>
      </c>
      <c r="AF119" t="n">
        <v>1.0</v>
      </c>
      <c r="AG119" t="n">
        <v>0.0</v>
      </c>
      <c r="AH119" t="n">
        <v>1.0</v>
      </c>
      <c r="AI119" t="n">
        <v>0.0</v>
      </c>
      <c r="AJ119" t="n">
        <v>0.0</v>
      </c>
      <c r="AK119" t="n">
        <v>14.947136563876652</v>
      </c>
      <c r="AL119" t="inlineStr">
        <is>
          <t/>
        </is>
      </c>
    </row>
    <row r="120">
      <c r="A120" t="inlineStr">
        <is>
          <t>大家带去公司的饭都是隔夜饭吗？</t>
        </is>
      </c>
      <c r="B120" t="inlineStr">
        <is>
          <t>69e6eb170000000021005b98</t>
        </is>
      </c>
      <c r="C120" s="119" t="n">
        <f>HYPERLINK("https://www.xiaohongshu.com/explore/69e6eb170000000021005b98?xsec_token=TBXs2O6r9V_Qdtui9pffX9XY_7qkf5d6yNglzBv-EiDPI=&amp;xsec_source=pc_trdark","https://www.xiaohongshu.com/explore/69e6eb170000000021005b98?xsec_token=TBXs2O6r9V_Qdtui9pffX9XY_7qkf5d6yNglzBv-EiDPI=&amp;xsec_source=pc_trdark")</f>
        <v>0.0</v>
      </c>
      <c r="D120" t="inlineStr">
        <is>
          <t>鲜水湾甄选</t>
        </is>
      </c>
      <c r="E120" t="inlineStr">
        <is>
          <t>27401929161</t>
        </is>
      </c>
      <c r="F120" t="inlineStr">
        <is>
          <t>2026-04-21 13:12:00</t>
        </is>
      </c>
      <c r="G120" t="inlineStr">
        <is>
          <t>图文</t>
        </is>
      </c>
      <c r="H120" t="inlineStr">
        <is>
          <t>手剥虾仁 无冰衣无添加 低脂餐一人食 上班带饭 顺丰包邮 5盒装</t>
        </is>
      </c>
      <c r="I120" t="inlineStr">
        <is>
          <t>694baba01d450d00013662f0</t>
        </is>
      </c>
      <c r="J120" t="inlineStr">
        <is>
          <t/>
        </is>
      </c>
      <c r="K120" t="n">
        <v>0.0</v>
      </c>
      <c r="L120" t="n">
        <v>0.0</v>
      </c>
      <c r="M120" t="n">
        <v>15.0</v>
      </c>
      <c r="N120" t="inlineStr">
        <is>
          <t>0.06637168141592921</t>
        </is>
      </c>
      <c r="O120" t="n">
        <v>15.0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inlineStr">
        <is>
          <t/>
        </is>
      </c>
      <c r="X120" t="n">
        <v>0.0</v>
      </c>
      <c r="Y120" t="n">
        <v>6.0</v>
      </c>
      <c r="Z120" t="n">
        <v>15.0</v>
      </c>
      <c r="AA120" t="n">
        <v>0.0</v>
      </c>
      <c r="AB120" t="n">
        <v>0.0</v>
      </c>
      <c r="AC120" t="n">
        <v>0.0</v>
      </c>
      <c r="AD120" t="n">
        <v>226.0</v>
      </c>
      <c r="AE120" t="n">
        <v>4.0</v>
      </c>
      <c r="AF120" t="n">
        <v>2.0</v>
      </c>
      <c r="AG120" t="n">
        <v>0.0</v>
      </c>
      <c r="AH120" t="n">
        <v>2.0</v>
      </c>
      <c r="AI120" t="n">
        <v>0.0</v>
      </c>
      <c r="AJ120" t="n">
        <v>0.0</v>
      </c>
      <c r="AK120" t="n">
        <v>10.654867256637168</v>
      </c>
      <c r="AL120" t="inlineStr">
        <is>
          <t/>
        </is>
      </c>
    </row>
    <row r="121">
      <c r="A121" t="inlineStr">
        <is>
          <t>以为 69 没多少，结果够我吃一周减脂餐了</t>
        </is>
      </c>
      <c r="B121" t="inlineStr">
        <is>
          <t>69de0748000000001f0027ee</t>
        </is>
      </c>
      <c r="C121" s="120" t="n">
        <f>HYPERLINK("https://www.xiaohongshu.com/explore/69de0748000000001f0027ee?xsec_token=TB59yoDgsQvcJ0I-utjSL7kAuKCi_ZLAn-bwRMJHdLKmE=&amp;xsec_source=pc_trdark","https://www.xiaohongshu.com/explore/69de0748000000001f0027ee?xsec_token=TB59yoDgsQvcJ0I-utjSL7kAuKCi_ZLAn-bwRMJHdLKmE=&amp;xsec_source=pc_trdark")</f>
        <v>0.0</v>
      </c>
      <c r="D121" t="inlineStr">
        <is>
          <t>菲菲上班吃什么</t>
        </is>
      </c>
      <c r="E121" t="inlineStr">
        <is>
          <t>49936530607</t>
        </is>
      </c>
      <c r="F121" t="inlineStr">
        <is>
          <t>2026-04-14 17:22:16</t>
        </is>
      </c>
      <c r="G121" t="inlineStr">
        <is>
          <t>图文</t>
        </is>
      </c>
      <c r="H121" t="inlineStr">
        <is>
          <t>手剥虾仁 无冰衣无添加 低脂餐一人食 上班带饭 顺丰包邮 5盒装</t>
        </is>
      </c>
      <c r="I121" t="inlineStr">
        <is>
          <t>694baba01d450d00013662f0</t>
        </is>
      </c>
      <c r="J121" t="inlineStr">
        <is>
          <t/>
        </is>
      </c>
      <c r="K121" t="n">
        <v>0.0</v>
      </c>
      <c r="L121" t="n">
        <v>0.0</v>
      </c>
      <c r="M121" t="n">
        <v>29.0</v>
      </c>
      <c r="N121" t="n">
        <v>0.1324200913242009</v>
      </c>
      <c r="O121" t="n">
        <v>28.0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inlineStr">
        <is>
          <t/>
        </is>
      </c>
      <c r="X121" t="n">
        <v>0.0</v>
      </c>
      <c r="Y121" t="n">
        <v>7.0</v>
      </c>
      <c r="Z121" t="n">
        <v>2.0</v>
      </c>
      <c r="AA121" t="n">
        <v>0.0</v>
      </c>
      <c r="AB121" t="n">
        <v>0.0</v>
      </c>
      <c r="AC121" t="n">
        <v>0.0</v>
      </c>
      <c r="AD121" t="n">
        <v>219.0</v>
      </c>
      <c r="AE121" t="n">
        <v>4.0</v>
      </c>
      <c r="AF121" t="n">
        <v>1.0</v>
      </c>
      <c r="AG121" t="n">
        <v>0.0</v>
      </c>
      <c r="AH121" t="n">
        <v>1.0</v>
      </c>
      <c r="AI121" t="n">
        <v>0.0</v>
      </c>
      <c r="AJ121" t="n">
        <v>0.0</v>
      </c>
      <c r="AK121" t="n">
        <v>13.28310502283105</v>
      </c>
      <c r="AL121" t="inlineStr">
        <is>
          <t/>
        </is>
      </c>
    </row>
    <row r="122">
      <c r="A122" t="inlineStr">
        <is>
          <t>对不起某马，我移情别恋了</t>
        </is>
      </c>
      <c r="B122" t="inlineStr">
        <is>
          <t>69e5def0000000001f003ef7</t>
        </is>
      </c>
      <c r="C122" s="121" t="n">
        <f>HYPERLINK("https://www.xiaohongshu.com/explore/69e5def0000000001f003ef7?xsec_token=TBRM_4pSbJalcnymykJyoKXfAkctNsBmXx7XgD_I55DMw=&amp;xsec_source=pc_trdark","https://www.xiaohongshu.com/explore/69e5def0000000001f003ef7?xsec_token=TBRM_4pSbJalcnymykJyoKXfAkctNsBmXx7XgD_I55DMw=&amp;xsec_source=pc_trdark")</f>
        <v>0.0</v>
      </c>
      <c r="D122" t="inlineStr">
        <is>
          <t>菲菲上班吃什么</t>
        </is>
      </c>
      <c r="E122" t="inlineStr">
        <is>
          <t>49936530607</t>
        </is>
      </c>
      <c r="F122" t="inlineStr">
        <is>
          <t>2026-04-20 16:08:16</t>
        </is>
      </c>
      <c r="G122" t="inlineStr">
        <is>
          <t>图文</t>
        </is>
      </c>
      <c r="H122" t="inlineStr">
        <is>
          <t>手剥虾仁 无冰衣无添加 低脂餐一人食 上班带饭 顺丰包邮 5盒装</t>
        </is>
      </c>
      <c r="I122" t="inlineStr">
        <is>
          <t>694baba01d450d00013662f0</t>
        </is>
      </c>
      <c r="J122" t="inlineStr">
        <is>
          <t/>
        </is>
      </c>
      <c r="K122" t="n">
        <v>0.0</v>
      </c>
      <c r="L122" t="n">
        <v>0.0</v>
      </c>
      <c r="M122" t="n">
        <v>23.0</v>
      </c>
      <c r="N122" t="inlineStr">
        <is>
          <t>0.10550458715596331</t>
        </is>
      </c>
      <c r="O122" t="n">
        <v>21.0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inlineStr">
        <is>
          <t/>
        </is>
      </c>
      <c r="X122" t="n">
        <v>0.0</v>
      </c>
      <c r="Y122" t="n">
        <v>2.0</v>
      </c>
      <c r="Z122" t="n">
        <v>8.0</v>
      </c>
      <c r="AA122" t="n">
        <v>0.0</v>
      </c>
      <c r="AB122" t="n">
        <v>0.0</v>
      </c>
      <c r="AC122" t="n">
        <v>0.0</v>
      </c>
      <c r="AD122" t="n">
        <v>218.0</v>
      </c>
      <c r="AE122" t="n">
        <v>1.0</v>
      </c>
      <c r="AF122" t="n">
        <v>1.0</v>
      </c>
      <c r="AG122" t="n">
        <v>0.0</v>
      </c>
      <c r="AH122" t="n">
        <v>1.0</v>
      </c>
      <c r="AI122" t="n">
        <v>0.0</v>
      </c>
      <c r="AJ122" t="n">
        <v>0.0</v>
      </c>
      <c r="AK122" t="n">
        <v>9.555045871559633</v>
      </c>
      <c r="AL122" t="inlineStr">
        <is>
          <t/>
        </is>
      </c>
    </row>
    <row r="123">
      <c r="A123" t="inlineStr">
        <is>
          <t>真的低估了100块的购买力！承包了一周减脂餐</t>
        </is>
      </c>
      <c r="B123" t="inlineStr">
        <is>
          <t>69cdd81c000000002301cd07</t>
        </is>
      </c>
      <c r="C123" s="122" t="n">
        <f>HYPERLINK("https://www.xiaohongshu.com/explore/69cdd81c000000002301cd07?xsec_token=TB94T6isBuVSIhUV8JYRJ9ZhylTGYaehrC7goq-RpljOw=&amp;xsec_source=pc_trdark","https://www.xiaohongshu.com/explore/69cdd81c000000002301cd07?xsec_token=TB94T6isBuVSIhUV8JYRJ9ZhylTGYaehrC7goq-RpljOw=&amp;xsec_source=pc_trdark")</f>
        <v>0.0</v>
      </c>
      <c r="D123" t="inlineStr">
        <is>
          <t>鲜水湾</t>
        </is>
      </c>
      <c r="E123" t="inlineStr">
        <is>
          <t>49316638994</t>
        </is>
      </c>
      <c r="F123" t="inlineStr">
        <is>
          <t>2026-04-02 10:44:44</t>
        </is>
      </c>
      <c r="G123" t="inlineStr">
        <is>
          <t>图文</t>
        </is>
      </c>
      <c r="H123" t="inlineStr">
        <is>
          <t>手剥虾仁 无冰衣无添加 低脂餐一人食 上班带饭 顺丰包邮 5盒装</t>
        </is>
      </c>
      <c r="I123" t="inlineStr">
        <is>
          <t>694baba01d450d00013662f0</t>
        </is>
      </c>
      <c r="J123" t="inlineStr">
        <is>
          <t/>
        </is>
      </c>
      <c r="K123" t="n">
        <v>69.0</v>
      </c>
      <c r="L123" t="n">
        <v>1.0</v>
      </c>
      <c r="M123" t="n">
        <v>19.0</v>
      </c>
      <c r="N123" t="n">
        <v>0.0871559633027523</v>
      </c>
      <c r="O123" t="n">
        <v>19.0</v>
      </c>
      <c r="P123" t="n">
        <v>1.0</v>
      </c>
      <c r="Q123" t="inlineStr">
        <is>
          <t>0.05263157894736842</t>
        </is>
      </c>
      <c r="R123" t="inlineStr">
        <is>
          <t>0.05263157894736842</t>
        </is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4.0</v>
      </c>
      <c r="Z123" t="n">
        <v>10.0</v>
      </c>
      <c r="AA123" t="n">
        <v>0.0</v>
      </c>
      <c r="AB123" t="n">
        <v>0.0</v>
      </c>
      <c r="AC123" t="n">
        <v>0.0</v>
      </c>
      <c r="AD123" t="n">
        <v>218.0</v>
      </c>
      <c r="AE123" t="n">
        <v>2.0</v>
      </c>
      <c r="AF123" t="n">
        <v>0.0</v>
      </c>
      <c r="AG123" t="n">
        <v>0.0</v>
      </c>
      <c r="AH123" t="n">
        <v>2.0</v>
      </c>
      <c r="AI123" t="n">
        <v>1.0</v>
      </c>
      <c r="AJ123" t="n">
        <v>0.0</v>
      </c>
      <c r="AK123" t="n">
        <v>13.610091743119266</v>
      </c>
      <c r="AL123" t="inlineStr">
        <is>
          <t/>
        </is>
      </c>
    </row>
    <row r="124">
      <c r="A124" t="inlineStr">
        <is>
          <t>同事问我:你天天带虾仁，月薪多少啊</t>
        </is>
      </c>
      <c r="B124" t="inlineStr">
        <is>
          <t>69e6e4d90000000023025d70</t>
        </is>
      </c>
      <c r="C124" s="123" t="n">
        <f>HYPERLINK("https://www.xiaohongshu.com/explore/69e6e4d90000000023025d70?xsec_token=TBXs2O6r9V_Qdtui9pffX9XRcSajdc35iPVAsJMlWH1Is=&amp;xsec_source=pc_trdark","https://www.xiaohongshu.com/explore/69e6e4d90000000023025d70?xsec_token=TBXs2O6r9V_Qdtui9pffX9XRcSajdc35iPVAsJMlWH1Is=&amp;xsec_source=pc_trdark")</f>
        <v>0.0</v>
      </c>
      <c r="D124" t="inlineStr">
        <is>
          <t>鲜水湾甄选</t>
        </is>
      </c>
      <c r="E124" t="inlineStr">
        <is>
          <t>27401929161</t>
        </is>
      </c>
      <c r="F124" t="inlineStr">
        <is>
          <t>2026-04-21 11:30:00</t>
        </is>
      </c>
      <c r="G124" t="inlineStr">
        <is>
          <t>图文</t>
        </is>
      </c>
      <c r="H124" t="inlineStr">
        <is>
          <t>手剥虾仁 无冰衣无添加 低脂餐一人食 上班带饭 顺丰包邮 5盒装</t>
        </is>
      </c>
      <c r="I124" t="inlineStr">
        <is>
          <t>694baba01d450d00013662f0</t>
        </is>
      </c>
      <c r="J124" t="inlineStr">
        <is>
          <t/>
        </is>
      </c>
      <c r="K124" t="n">
        <v>138.0</v>
      </c>
      <c r="L124" t="n">
        <v>2.0</v>
      </c>
      <c r="M124" t="n">
        <v>20.0</v>
      </c>
      <c r="N124" t="inlineStr">
        <is>
          <t>0.09302325581395349</t>
        </is>
      </c>
      <c r="O124" t="n">
        <v>17.0</v>
      </c>
      <c r="P124" t="n">
        <v>2.0</v>
      </c>
      <c r="Q124" t="n">
        <v>0.1</v>
      </c>
      <c r="R124" t="inlineStr">
        <is>
          <t>0.11764705882352941</t>
        </is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2.0</v>
      </c>
      <c r="Z124" t="n">
        <v>10.0</v>
      </c>
      <c r="AA124" t="n">
        <v>0.0</v>
      </c>
      <c r="AB124" t="n">
        <v>0.0</v>
      </c>
      <c r="AC124" t="n">
        <v>0.0</v>
      </c>
      <c r="AD124" t="n">
        <v>215.0</v>
      </c>
      <c r="AE124" t="n">
        <v>2.0</v>
      </c>
      <c r="AF124" t="n">
        <v>0.0</v>
      </c>
      <c r="AG124" t="n">
        <v>0.0</v>
      </c>
      <c r="AH124" t="n">
        <v>1.0</v>
      </c>
      <c r="AI124" t="n">
        <v>1.0</v>
      </c>
      <c r="AJ124" t="n">
        <v>0.0</v>
      </c>
      <c r="AK124" t="n">
        <v>12.330232558139535</v>
      </c>
      <c r="AL124" t="inlineStr">
        <is>
          <t/>
        </is>
      </c>
    </row>
    <row r="125">
      <c r="A125" t="inlineStr">
        <is>
          <t>带饭的尽头…真的是免加热</t>
        </is>
      </c>
      <c r="B125" t="inlineStr">
        <is>
          <t>69bb6a07000000001a02cda7</t>
        </is>
      </c>
      <c r="C125" s="124" t="n">
        <f>HYPERLINK("https://www.xiaohongshu.com/explore/69bb6a07000000001a02cda7?xsec_token=TBbjiHoA30T3IRnkbtYIm1O0hosuIpOuYX2B1olmbPzBU=&amp;xsec_source=pc_trdark","https://www.xiaohongshu.com/explore/69bb6a07000000001a02cda7?xsec_token=TBbjiHoA30T3IRnkbtYIm1O0hosuIpOuYX2B1olmbPzBU=&amp;xsec_source=pc_trdark")</f>
        <v>0.0</v>
      </c>
      <c r="D125" t="inlineStr">
        <is>
          <t>菲菲上班吃什么</t>
        </is>
      </c>
      <c r="E125" t="inlineStr">
        <is>
          <t>49936530607</t>
        </is>
      </c>
      <c r="F125" t="inlineStr">
        <is>
          <t>2026-03-19 11:14:15</t>
        </is>
      </c>
      <c r="G125" t="inlineStr">
        <is>
          <t>图文</t>
        </is>
      </c>
      <c r="H125" t="inlineStr">
        <is>
          <t>手剥虾仁 无冰衣无添加 低脂餐一人食 上班带饭 顺丰包邮 5盒装</t>
        </is>
      </c>
      <c r="I125" t="inlineStr">
        <is>
          <t>694baba01d450d00013662f0</t>
        </is>
      </c>
      <c r="J125" t="inlineStr">
        <is>
          <t/>
        </is>
      </c>
      <c r="K125" t="n">
        <v>0.0</v>
      </c>
      <c r="L125" t="n">
        <v>0.0</v>
      </c>
      <c r="M125" t="n">
        <v>5.0</v>
      </c>
      <c r="N125" t="inlineStr">
        <is>
          <t>0.023474178403755867</t>
        </is>
      </c>
      <c r="O125" t="n">
        <v>4.0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inlineStr">
        <is>
          <t/>
        </is>
      </c>
      <c r="X125" t="n">
        <v>0.0</v>
      </c>
      <c r="Y125" t="n">
        <v>1.0</v>
      </c>
      <c r="Z125" t="n">
        <v>3.0</v>
      </c>
      <c r="AA125" t="n">
        <v>0.0</v>
      </c>
      <c r="AB125" t="n">
        <v>0.0</v>
      </c>
      <c r="AC125" t="n">
        <v>0.0</v>
      </c>
      <c r="AD125" t="n">
        <v>213.0</v>
      </c>
      <c r="AE125" t="n">
        <v>1.0</v>
      </c>
      <c r="AF125" t="n">
        <v>1.0</v>
      </c>
      <c r="AG125" t="n">
        <v>0.0</v>
      </c>
      <c r="AH125" t="n">
        <v>1.0</v>
      </c>
      <c r="AI125" t="n">
        <v>0.0</v>
      </c>
      <c r="AJ125" t="n">
        <v>0.0</v>
      </c>
      <c r="AK125" t="n">
        <v>8.633802816901408</v>
      </c>
      <c r="AL125" t="inlineStr">
        <is>
          <t/>
        </is>
      </c>
    </row>
    <row r="126">
      <c r="A126" t="inlineStr">
        <is>
          <t>别不信，300块能买整条三文鱼！</t>
        </is>
      </c>
      <c r="B126" t="inlineStr">
        <is>
          <t>69e74b88000000001f0064f0</t>
        </is>
      </c>
      <c r="C126" s="125" t="n">
        <f>HYPERLINK("https://www.xiaohongshu.com/explore/69e74b88000000001f0064f0?xsec_token=TBxJD1S06w8M0Ib6UdHEwWiDKuMGmE1hLeUETteYWKmSM=&amp;xsec_source=pc_trdark","https://www.xiaohongshu.com/explore/69e74b88000000001f0064f0?xsec_token=TBxJD1S06w8M0Ib6UdHEwWiDKuMGmE1hLeUETteYWKmSM=&amp;xsec_source=pc_trdark")</f>
        <v>0.0</v>
      </c>
      <c r="D126" t="inlineStr">
        <is>
          <t>鲜水湾</t>
        </is>
      </c>
      <c r="E126" t="inlineStr">
        <is>
          <t>49316638994</t>
        </is>
      </c>
      <c r="F126" t="inlineStr">
        <is>
          <t>2026-04-21 18:03:52</t>
        </is>
      </c>
      <c r="G126" t="inlineStr">
        <is>
          <t>图文</t>
        </is>
      </c>
      <c r="H126" t="inlineStr">
        <is>
          <t>智利三文鱼切块·整条三文鱼·深海鱼一人食健康饮食</t>
        </is>
      </c>
      <c r="I126" t="inlineStr">
        <is>
          <t>691ac562a524ee0001b51d7b</t>
        </is>
      </c>
      <c r="J126" t="inlineStr">
        <is>
          <t/>
        </is>
      </c>
      <c r="K126" t="n">
        <v>1044.0</v>
      </c>
      <c r="L126" t="n">
        <v>3.0</v>
      </c>
      <c r="M126" t="n">
        <v>46.0</v>
      </c>
      <c r="N126" t="n">
        <v>0.2169811320754717</v>
      </c>
      <c r="O126" t="n">
        <v>40.0</v>
      </c>
      <c r="P126" t="n">
        <v>3.0</v>
      </c>
      <c r="Q126" t="inlineStr">
        <is>
          <t>0.06521739130434782</t>
        </is>
      </c>
      <c r="R126" t="n">
        <v>0.075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9.0</v>
      </c>
      <c r="Z126" t="n">
        <v>33.0</v>
      </c>
      <c r="AA126" t="n">
        <v>338.0</v>
      </c>
      <c r="AB126" t="n">
        <v>0.0</v>
      </c>
      <c r="AC126" t="n">
        <v>0.0</v>
      </c>
      <c r="AD126" t="n">
        <v>212.0</v>
      </c>
      <c r="AE126" t="n">
        <v>2.0</v>
      </c>
      <c r="AF126" t="n">
        <v>2.0</v>
      </c>
      <c r="AG126" t="n">
        <v>1.0</v>
      </c>
      <c r="AH126" t="n">
        <v>2.0</v>
      </c>
      <c r="AI126" t="n">
        <v>1.0</v>
      </c>
      <c r="AJ126" t="n">
        <v>0.0</v>
      </c>
      <c r="AK126" t="n">
        <v>21.235849056603772</v>
      </c>
      <c r="AL126" t="inlineStr">
        <is>
          <t/>
        </is>
      </c>
    </row>
    <row r="127">
      <c r="A127" t="inlineStr">
        <is>
          <t>区区 300 块承包了我一个月的轻食餐</t>
        </is>
      </c>
      <c r="B127" t="inlineStr">
        <is>
          <t>69e1ffb1000000001a034520</t>
        </is>
      </c>
      <c r="C127" s="126" t="n">
        <f>HYPERLINK("https://www.xiaohongshu.com/explore/69e1ffb1000000001a034520?xsec_token=TB8N84m1IX58SDo_19LEXNLweaJHUUEWwNPIBoEy31LDU=&amp;xsec_source=pc_trdark","https://www.xiaohongshu.com/explore/69e1ffb1000000001a034520?xsec_token=TB8N84m1IX58SDo_19LEXNLweaJHUUEWwNPIBoEy31LDU=&amp;xsec_source=pc_trdark")</f>
        <v>0.0</v>
      </c>
      <c r="D127" t="inlineStr">
        <is>
          <t>婉婉上班吃什么</t>
        </is>
      </c>
      <c r="E127" t="inlineStr">
        <is>
          <t>11434449706</t>
        </is>
      </c>
      <c r="F127" t="inlineStr">
        <is>
          <t>2026-04-17 17:38:57</t>
        </is>
      </c>
      <c r="G127" t="inlineStr">
        <is>
          <t>图文</t>
        </is>
      </c>
      <c r="H127" t="inlineStr">
        <is>
          <t>智利三文鱼切块·整条三文鱼·深海鱼一人食健康饮食</t>
        </is>
      </c>
      <c r="I127" t="inlineStr">
        <is>
          <t>691ac562a524ee0001b51d7b</t>
        </is>
      </c>
      <c r="J127" t="inlineStr">
        <is>
          <t/>
        </is>
      </c>
      <c r="K127" t="n">
        <v>676.0</v>
      </c>
      <c r="L127" t="n">
        <v>2.0</v>
      </c>
      <c r="M127" t="n">
        <v>35.0</v>
      </c>
      <c r="N127" t="inlineStr">
        <is>
          <t>0.16587677725118483</t>
        </is>
      </c>
      <c r="O127" t="n">
        <v>33.0</v>
      </c>
      <c r="P127" t="n">
        <v>2.0</v>
      </c>
      <c r="Q127" t="inlineStr">
        <is>
          <t>0.05714285714285714</t>
        </is>
      </c>
      <c r="R127" t="inlineStr">
        <is>
          <t>0.06060606060606061</t>
        </is>
      </c>
      <c r="S127" t="n">
        <v>338.0</v>
      </c>
      <c r="T127" t="n">
        <v>1.0</v>
      </c>
      <c r="U127" t="n">
        <v>1.0</v>
      </c>
      <c r="V127" t="n">
        <v>338.0</v>
      </c>
      <c r="W127" t="n">
        <v>0.5</v>
      </c>
      <c r="X127" t="n">
        <v>1.0</v>
      </c>
      <c r="Y127" t="n">
        <v>7.0</v>
      </c>
      <c r="Z127" t="n">
        <v>11.0</v>
      </c>
      <c r="AA127" t="n">
        <v>0.0</v>
      </c>
      <c r="AB127" t="n">
        <v>0.0</v>
      </c>
      <c r="AC127" t="n">
        <v>0.0</v>
      </c>
      <c r="AD127" t="n">
        <v>211.0</v>
      </c>
      <c r="AE127" t="n">
        <v>1.0</v>
      </c>
      <c r="AF127" t="n">
        <v>0.0</v>
      </c>
      <c r="AG127" t="n">
        <v>0.0</v>
      </c>
      <c r="AH127" t="n">
        <v>2.0</v>
      </c>
      <c r="AI127" t="n">
        <v>0.0</v>
      </c>
      <c r="AJ127" t="n">
        <v>0.0</v>
      </c>
      <c r="AK127" t="n">
        <v>25.099526066350712</v>
      </c>
      <c r="AL127" t="inlineStr">
        <is>
          <t/>
        </is>
      </c>
    </row>
    <row r="128">
      <c r="A128" t="inlineStr">
        <is>
          <t>跟风买的虾仁，没拔草，好吃！</t>
        </is>
      </c>
      <c r="B128" t="inlineStr">
        <is>
          <t>69e0b19a000000002301f6d1</t>
        </is>
      </c>
      <c r="C128" s="127" t="n">
        <f>HYPERLINK("https://www.xiaohongshu.com/explore/69e0b19a000000002301f6d1?xsec_token=TB4w-SzmaCvFu1U8FhRGBUuyBK1vxxWi3dXCZ9Zscmejk=&amp;xsec_source=pc_trdark","https://www.xiaohongshu.com/explore/69e0b19a000000002301f6d1?xsec_token=TB4w-SzmaCvFu1U8FhRGBUuyBK1vxxWi3dXCZ9Zscmejk=&amp;xsec_source=pc_trdark")</f>
        <v>0.0</v>
      </c>
      <c r="D128" t="inlineStr">
        <is>
          <t>菲菲上班吃什么</t>
        </is>
      </c>
      <c r="E128" t="inlineStr">
        <is>
          <t>49936530607</t>
        </is>
      </c>
      <c r="F128" t="inlineStr">
        <is>
          <t>2026-04-16 17:53:30</t>
        </is>
      </c>
      <c r="G128" t="inlineStr">
        <is>
          <t>图文</t>
        </is>
      </c>
      <c r="H128" t="inlineStr">
        <is>
          <t>手剥虾仁 无冰衣无添加 低脂餐一人食 上班带饭 顺丰包邮 5盒装</t>
        </is>
      </c>
      <c r="I128" t="inlineStr">
        <is>
          <t>694baba01d450d00013662f0</t>
        </is>
      </c>
      <c r="J128" t="inlineStr">
        <is>
          <t/>
        </is>
      </c>
      <c r="K128" t="n">
        <v>69.0</v>
      </c>
      <c r="L128" t="n">
        <v>1.0</v>
      </c>
      <c r="M128" t="n">
        <v>28.0</v>
      </c>
      <c r="N128" t="inlineStr">
        <is>
          <t>0.13333333333333333</t>
        </is>
      </c>
      <c r="O128" t="n">
        <v>25.0</v>
      </c>
      <c r="P128" t="n">
        <v>1.0</v>
      </c>
      <c r="Q128" t="inlineStr">
        <is>
          <t>0.03571428571428571</t>
        </is>
      </c>
      <c r="R128" t="n">
        <v>0.04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7.0</v>
      </c>
      <c r="Z128" t="n">
        <v>5.0</v>
      </c>
      <c r="AA128" t="n">
        <v>0.0</v>
      </c>
      <c r="AB128" t="n">
        <v>0.0</v>
      </c>
      <c r="AC128" t="n">
        <v>0.0</v>
      </c>
      <c r="AD128" t="n">
        <v>210.0</v>
      </c>
      <c r="AE128" t="n">
        <v>1.0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11.004761904761905</v>
      </c>
      <c r="AL128" t="inlineStr">
        <is>
          <t/>
        </is>
      </c>
    </row>
    <row r="129">
      <c r="A129" t="inlineStr">
        <is>
          <t>头籽北极甜虾你真的会吃吗？</t>
        </is>
      </c>
      <c r="B129" t="inlineStr">
        <is>
          <t>696d8eb3000000000c035e5e</t>
        </is>
      </c>
      <c r="C129" s="128" t="n">
        <f>HYPERLINK("https://www.xiaohongshu.com/explore/696d8eb3000000000c035e5e?xsec_token=TBhBdCGGh1NnVPomuS6-J4H6RT9tyPrUpjWMHTUUrQzKY=&amp;xsec_source=pc_trdark","https://www.xiaohongshu.com/explore/696d8eb3000000000c035e5e?xsec_token=TBhBdCGGh1NnVPomuS6-J4H6RT9tyPrUpjWMHTUUrQzKY=&amp;xsec_source=pc_trdark")</f>
        <v>0.0</v>
      </c>
      <c r="D129" t="inlineStr">
        <is>
          <t>鲜水湾甄选</t>
        </is>
      </c>
      <c r="E129" t="inlineStr">
        <is>
          <t>27401929161</t>
        </is>
      </c>
      <c r="F129" t="inlineStr">
        <is>
          <t>2026-01-19 09:53:55</t>
        </is>
      </c>
      <c r="G129" t="inlineStr">
        <is>
          <t>视频</t>
        </is>
      </c>
      <c r="H129" t="inlineStr">
        <is>
          <t>北极甜虾头籽甜虾元宝虾北极熊冰虾孕妈妈宝宝辅食顺丰</t>
        </is>
      </c>
      <c r="I129" t="inlineStr">
        <is>
          <t>6953717eb8f0bb000115158d</t>
        </is>
      </c>
      <c r="J129" t="n">
        <v>42.0</v>
      </c>
      <c r="K129" t="n">
        <v>158.0</v>
      </c>
      <c r="L129" t="n">
        <v>1.0</v>
      </c>
      <c r="M129" t="n">
        <v>12.0</v>
      </c>
      <c r="N129" t="n">
        <v>0.0594059405940594</v>
      </c>
      <c r="O129" t="n">
        <v>11.0</v>
      </c>
      <c r="P129" t="n">
        <v>1.0</v>
      </c>
      <c r="Q129" t="inlineStr">
        <is>
          <t>0.08333333333333333</t>
        </is>
      </c>
      <c r="R129" t="inlineStr">
        <is>
          <t>0.09090909090909091</t>
        </is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1.0</v>
      </c>
      <c r="Z129" t="n">
        <v>0.0</v>
      </c>
      <c r="AA129" t="n">
        <v>0.0</v>
      </c>
      <c r="AB129" t="n">
        <v>0.0</v>
      </c>
      <c r="AC129" t="n">
        <v>0.0</v>
      </c>
      <c r="AD129" t="n">
        <v>202.0</v>
      </c>
      <c r="AE129" t="n">
        <v>1.0</v>
      </c>
      <c r="AF129" t="n">
        <v>0.0</v>
      </c>
      <c r="AG129" t="n">
        <v>0.0</v>
      </c>
      <c r="AH129" t="n">
        <v>2.0</v>
      </c>
      <c r="AI129" t="n">
        <v>0.0</v>
      </c>
      <c r="AJ129" t="n">
        <v>0.0</v>
      </c>
      <c r="AK129" t="n">
        <v>14.014851485148515</v>
      </c>
      <c r="AL129" t="inlineStr">
        <is>
          <t>0.12987012987012986</t>
        </is>
      </c>
    </row>
    <row r="130">
      <c r="A130" t="inlineStr">
        <is>
          <t>69搞定一周带饭！虾仁自由了</t>
        </is>
      </c>
      <c r="B130" t="inlineStr">
        <is>
          <t>69df4a86000000001a0371e0</t>
        </is>
      </c>
      <c r="C130" s="129" t="n">
        <f>HYPERLINK("https://www.xiaohongshu.com/explore/69df4a86000000001a0371e0?xsec_token=TBbELi6fdmnK2TYKEzYY0fWrQhQovOS_R_jNvVUIVBN04=&amp;xsec_source=pc_trdark","https://www.xiaohongshu.com/explore/69df4a86000000001a0371e0?xsec_token=TBbELi6fdmnK2TYKEzYY0fWrQhQovOS_R_jNvVUIVBN04=&amp;xsec_source=pc_trdark")</f>
        <v>0.0</v>
      </c>
      <c r="D130" t="inlineStr">
        <is>
          <t>婉婉上班吃什么</t>
        </is>
      </c>
      <c r="E130" t="inlineStr">
        <is>
          <t>11434449706</t>
        </is>
      </c>
      <c r="F130" t="inlineStr">
        <is>
          <t>2026-04-15 16:21:26</t>
        </is>
      </c>
      <c r="G130" t="inlineStr">
        <is>
          <t>图文</t>
        </is>
      </c>
      <c r="H130" t="inlineStr">
        <is>
          <t>手剥虾仁 无冰衣无添加 低脂餐一人食 上班带饭 顺丰包邮 5盒装</t>
        </is>
      </c>
      <c r="I130" t="inlineStr">
        <is>
          <t>694baba01d450d00013662f0</t>
        </is>
      </c>
      <c r="J130" t="inlineStr">
        <is>
          <t/>
        </is>
      </c>
      <c r="K130" t="n">
        <v>0.0</v>
      </c>
      <c r="L130" t="n">
        <v>0.0</v>
      </c>
      <c r="M130" t="n">
        <v>24.0</v>
      </c>
      <c r="N130" t="n">
        <v>0.12</v>
      </c>
      <c r="O130" t="n">
        <v>19.0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inlineStr">
        <is>
          <t/>
        </is>
      </c>
      <c r="X130" t="n">
        <v>0.0</v>
      </c>
      <c r="Y130" t="n">
        <v>6.0</v>
      </c>
      <c r="Z130" t="n">
        <v>14.0</v>
      </c>
      <c r="AA130" t="n">
        <v>0.0</v>
      </c>
      <c r="AB130" t="n">
        <v>0.0</v>
      </c>
      <c r="AC130" t="n">
        <v>0.0</v>
      </c>
      <c r="AD130" t="n">
        <v>200.0</v>
      </c>
      <c r="AE130" t="n">
        <v>3.0</v>
      </c>
      <c r="AF130" t="n">
        <v>0.0</v>
      </c>
      <c r="AG130" t="n">
        <v>0.0</v>
      </c>
      <c r="AH130" t="n">
        <v>1.0</v>
      </c>
      <c r="AI130" t="n">
        <v>0.0</v>
      </c>
      <c r="AJ130" t="n">
        <v>0.0</v>
      </c>
      <c r="AK130" t="n">
        <v>13.76</v>
      </c>
      <c r="AL130" t="inlineStr">
        <is>
          <t/>
        </is>
      </c>
    </row>
    <row r="131">
      <c r="A131" t="inlineStr">
        <is>
          <t>跟风吃了一个月的高蛋白……</t>
        </is>
      </c>
      <c r="B131" t="inlineStr">
        <is>
          <t>69dd0bda000000001f004e57</t>
        </is>
      </c>
      <c r="C131" s="130" t="n">
        <f>HYPERLINK("https://www.xiaohongshu.com/explore/69dd0bda000000001f004e57?xsec_token=TB8r3ufLA5jFsQMlCYrT2kPthzKtQi5kmvYCm1YQIY_dc=&amp;xsec_source=pc_trdark","https://www.xiaohongshu.com/explore/69dd0bda000000001f004e57?xsec_token=TB8r3ufLA5jFsQMlCYrT2kPthzKtQi5kmvYCm1YQIY_dc=&amp;xsec_source=pc_trdark")</f>
        <v>0.0</v>
      </c>
      <c r="D131" t="inlineStr">
        <is>
          <t>婉婉上班吃什么</t>
        </is>
      </c>
      <c r="E131" t="inlineStr">
        <is>
          <t>11434449706</t>
        </is>
      </c>
      <c r="F131" t="inlineStr">
        <is>
          <t>2026-04-13 23:29:30</t>
        </is>
      </c>
      <c r="G131" t="inlineStr">
        <is>
          <t>图文</t>
        </is>
      </c>
      <c r="H131" t="inlineStr">
        <is>
          <t>手剥虾仁 无冰衣无添加 低脂餐一人食 上班带饭 顺丰包邮 5盒装</t>
        </is>
      </c>
      <c r="I131" t="inlineStr">
        <is>
          <t>694baba01d450d00013662f0</t>
        </is>
      </c>
      <c r="J131" t="inlineStr">
        <is>
          <t/>
        </is>
      </c>
      <c r="K131" t="n">
        <v>207.0</v>
      </c>
      <c r="L131" t="n">
        <v>3.0</v>
      </c>
      <c r="M131" t="n">
        <v>23.0</v>
      </c>
      <c r="N131" t="n">
        <v>0.115</v>
      </c>
      <c r="O131" t="n">
        <v>22.0</v>
      </c>
      <c r="P131" t="n">
        <v>3.0</v>
      </c>
      <c r="Q131" t="inlineStr">
        <is>
          <t>0.13043478260869565</t>
        </is>
      </c>
      <c r="R131" t="inlineStr">
        <is>
          <t>0.13636363636363635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3.0</v>
      </c>
      <c r="Z131" t="n">
        <v>7.0</v>
      </c>
      <c r="AA131" t="n">
        <v>0.0</v>
      </c>
      <c r="AB131" t="n">
        <v>0.0</v>
      </c>
      <c r="AC131" t="n">
        <v>0.0</v>
      </c>
      <c r="AD131" t="n">
        <v>200.0</v>
      </c>
      <c r="AE131" t="n">
        <v>1.0</v>
      </c>
      <c r="AF131" t="n">
        <v>0.0</v>
      </c>
      <c r="AG131" t="n">
        <v>0.0</v>
      </c>
      <c r="AH131" t="n">
        <v>1.0</v>
      </c>
      <c r="AI131" t="n">
        <v>0.0</v>
      </c>
      <c r="AJ131" t="n">
        <v>0.0</v>
      </c>
      <c r="AK131" t="n">
        <v>13.49</v>
      </c>
      <c r="AL131" t="inlineStr">
        <is>
          <t/>
        </is>
      </c>
    </row>
    <row r="132">
      <c r="A132" t="inlineStr">
        <is>
          <t>香煎三文鱼，其实真的没有那么复杂[哇R]</t>
        </is>
      </c>
      <c r="B132" t="inlineStr">
        <is>
          <t>69cb7d16000000002800bb98</t>
        </is>
      </c>
      <c r="C132" s="131" t="n">
        <f>HYPERLINK("https://www.xiaohongshu.com/explore/69cb7d16000000002800bb98?xsec_token=TBNvk7eB588c7ey-qUUMF7OZcEhMpBVSv8fJx9Omm68b4=&amp;xsec_source=pc_trdark","https://www.xiaohongshu.com/explore/69cb7d16000000002800bb98?xsec_token=TBNvk7eB588c7ey-qUUMF7OZcEhMpBVSv8fJx9Omm68b4=&amp;xsec_source=pc_trdark")</f>
        <v>0.0</v>
      </c>
      <c r="D132" t="inlineStr">
        <is>
          <t>菲菲上班吃什么</t>
        </is>
      </c>
      <c r="E132" t="inlineStr">
        <is>
          <t>49936530607</t>
        </is>
      </c>
      <c r="F132" t="inlineStr">
        <is>
          <t>2026-03-31 15:51:50</t>
        </is>
      </c>
      <c r="G132" t="inlineStr">
        <is>
          <t>图文</t>
        </is>
      </c>
      <c r="H132" t="inlineStr">
        <is>
          <t>智利三文鱼切块·整条三文鱼·深海鱼一人食健康饮食</t>
        </is>
      </c>
      <c r="I132" t="inlineStr">
        <is>
          <t>691ac562a524ee0001b51d7b</t>
        </is>
      </c>
      <c r="J132" t="inlineStr">
        <is>
          <t/>
        </is>
      </c>
      <c r="K132" t="n">
        <v>118.0</v>
      </c>
      <c r="L132" t="n">
        <v>1.0</v>
      </c>
      <c r="M132" t="n">
        <v>20.0</v>
      </c>
      <c r="N132" t="inlineStr">
        <is>
          <t>0.10050251256281408</t>
        </is>
      </c>
      <c r="O132" t="n">
        <v>20.0</v>
      </c>
      <c r="P132" t="n">
        <v>1.0</v>
      </c>
      <c r="Q132" t="n">
        <v>0.05</v>
      </c>
      <c r="R132" t="n">
        <v>0.05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2.0</v>
      </c>
      <c r="Z132" t="n">
        <v>2.0</v>
      </c>
      <c r="AA132" t="n">
        <v>0.0</v>
      </c>
      <c r="AB132" t="n">
        <v>0.0</v>
      </c>
      <c r="AC132" t="n">
        <v>0.0</v>
      </c>
      <c r="AD132" t="n">
        <v>199.0</v>
      </c>
      <c r="AE132" t="n">
        <v>0.0</v>
      </c>
      <c r="AF132" t="n">
        <v>1.0</v>
      </c>
      <c r="AG132" t="n">
        <v>0.0</v>
      </c>
      <c r="AH132" t="n">
        <v>0.0</v>
      </c>
      <c r="AI132" t="n">
        <v>0.0</v>
      </c>
      <c r="AJ132" t="n">
        <v>0.0</v>
      </c>
      <c r="AK132" t="n">
        <v>12.557788944723619</v>
      </c>
      <c r="AL132" t="inlineStr">
        <is>
          <t/>
        </is>
      </c>
    </row>
    <row r="133">
      <c r="A133" t="inlineStr">
        <is>
          <t>上班带饭的人，真的不需要同情</t>
        </is>
      </c>
      <c r="B133" t="inlineStr">
        <is>
          <t>69d8c11b000000001e00d326</t>
        </is>
      </c>
      <c r="C133" s="132" t="n">
        <f>HYPERLINK("https://www.xiaohongshu.com/explore/69d8c11b000000001e00d326?xsec_token=TBaP4Vb_xh4r06-3Gp1C6IeNABNyIzQxzCEPF3aK98Lq0=&amp;xsec_source=pc_trdark","https://www.xiaohongshu.com/explore/69d8c11b000000001e00d326?xsec_token=TBaP4Vb_xh4r06-3Gp1C6IeNABNyIzQxzCEPF3aK98Lq0=&amp;xsec_source=pc_trdark")</f>
        <v>0.0</v>
      </c>
      <c r="D133" t="inlineStr">
        <is>
          <t>婉婉上班吃什么</t>
        </is>
      </c>
      <c r="E133" t="inlineStr">
        <is>
          <t>11434449706</t>
        </is>
      </c>
      <c r="F133" t="inlineStr">
        <is>
          <t>2026-04-10 17:21:31</t>
        </is>
      </c>
      <c r="G133" t="inlineStr">
        <is>
          <t>图文</t>
        </is>
      </c>
      <c r="H133" t="inlineStr">
        <is>
          <t>手剥虾仁 无冰衣无添加 低脂餐一人食 上班带饭 顺丰包邮 5盒装</t>
        </is>
      </c>
      <c r="I133" t="inlineStr">
        <is>
          <t>694baba01d450d00013662f0</t>
        </is>
      </c>
      <c r="J133" t="inlineStr">
        <is>
          <t/>
        </is>
      </c>
      <c r="K133" t="n">
        <v>138.0</v>
      </c>
      <c r="L133" t="n">
        <v>1.0</v>
      </c>
      <c r="M133" t="n">
        <v>12.0</v>
      </c>
      <c r="N133" t="inlineStr">
        <is>
          <t>0.06060606060606061</t>
        </is>
      </c>
      <c r="O133" t="n">
        <v>10.0</v>
      </c>
      <c r="P133" t="n">
        <v>1.0</v>
      </c>
      <c r="Q133" t="inlineStr">
        <is>
          <t>0.08333333333333333</t>
        </is>
      </c>
      <c r="R133" t="n">
        <v>0.1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1.0</v>
      </c>
      <c r="Z133" t="n">
        <v>4.0</v>
      </c>
      <c r="AA133" t="n">
        <v>0.0</v>
      </c>
      <c r="AB133" t="n">
        <v>0.0</v>
      </c>
      <c r="AC133" t="n">
        <v>0.0</v>
      </c>
      <c r="AD133" t="n">
        <v>198.0</v>
      </c>
      <c r="AE133" t="n">
        <v>2.0</v>
      </c>
      <c r="AF133" t="n">
        <v>0.0</v>
      </c>
      <c r="AG133" t="n">
        <v>0.0</v>
      </c>
      <c r="AH133" t="n">
        <v>1.0</v>
      </c>
      <c r="AI133" t="n">
        <v>0.0</v>
      </c>
      <c r="AJ133" t="n">
        <v>0.0</v>
      </c>
      <c r="AK133" t="n">
        <v>13.3989898989899</v>
      </c>
      <c r="AL133" t="inlineStr">
        <is>
          <t/>
        </is>
      </c>
    </row>
    <row r="134">
      <c r="A134" t="inlineStr">
        <is>
          <t>真的感受到100来块的杀伤力了</t>
        </is>
      </c>
      <c r="B134" t="inlineStr">
        <is>
          <t>69ee2588000000002301fcd6</t>
        </is>
      </c>
      <c r="C134" s="133" t="n">
        <f>HYPERLINK("https://www.xiaohongshu.com/explore/69ee2588000000002301fcd6?xsec_token=TB3JCI8OO3ItJ5gw9_OIE0bMylJqi2GkI1aihxbFWUmwE=&amp;xsec_source=pc_trdark","https://www.xiaohongshu.com/explore/69ee2588000000002301fcd6?xsec_token=TB3JCI8OO3ItJ5gw9_OIE0bMylJqi2GkI1aihxbFWUmwE=&amp;xsec_source=pc_trdark")</f>
        <v>0.0</v>
      </c>
      <c r="D134" t="inlineStr">
        <is>
          <t>婉婉上班吃什么</t>
        </is>
      </c>
      <c r="E134" t="inlineStr">
        <is>
          <t>11434449706</t>
        </is>
      </c>
      <c r="F134" t="inlineStr">
        <is>
          <t>2026-04-26 22:47:36</t>
        </is>
      </c>
      <c r="G134" t="inlineStr">
        <is>
          <t>图文</t>
        </is>
      </c>
      <c r="H134" t="inlineStr">
        <is>
          <t>手剥虾仁 无冰衣无添加 低脂餐一人食 上班带饭 顺丰包邮 5盒装</t>
        </is>
      </c>
      <c r="I134" t="inlineStr">
        <is>
          <t>694baba01d450d00013662f0</t>
        </is>
      </c>
      <c r="J134" t="inlineStr">
        <is>
          <t/>
        </is>
      </c>
      <c r="K134" t="n">
        <v>128.0</v>
      </c>
      <c r="L134" t="n">
        <v>1.0</v>
      </c>
      <c r="M134" t="n">
        <v>17.0</v>
      </c>
      <c r="N134" t="inlineStr">
        <is>
          <t>0.08629441624365482</t>
        </is>
      </c>
      <c r="O134" t="n">
        <v>15.0</v>
      </c>
      <c r="P134" t="n">
        <v>1.0</v>
      </c>
      <c r="Q134" t="inlineStr">
        <is>
          <t>0.058823529411764705</t>
        </is>
      </c>
      <c r="R134" t="inlineStr">
        <is>
          <t>0.06666666666666667</t>
        </is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4.0</v>
      </c>
      <c r="Z134" t="n">
        <v>3.0</v>
      </c>
      <c r="AA134" t="n">
        <v>0.0</v>
      </c>
      <c r="AB134" t="n">
        <v>0.0</v>
      </c>
      <c r="AC134" t="n">
        <v>0.0</v>
      </c>
      <c r="AD134" t="n">
        <v>197.0</v>
      </c>
      <c r="AE134" t="n">
        <v>2.0</v>
      </c>
      <c r="AF134" t="n">
        <v>0.0</v>
      </c>
      <c r="AG134" t="n">
        <v>0.0</v>
      </c>
      <c r="AH134" t="n">
        <v>2.0</v>
      </c>
      <c r="AI134" t="n">
        <v>0.0</v>
      </c>
      <c r="AJ134" t="n">
        <v>0.0</v>
      </c>
      <c r="AK134" t="n">
        <v>14.812182741116752</v>
      </c>
      <c r="AL134" t="inlineStr">
        <is>
          <t/>
        </is>
      </c>
    </row>
    <row r="135">
      <c r="A135" t="inlineStr">
        <is>
          <t>冷冻虾仁到底腥不腥？打开包装告诉你真相</t>
        </is>
      </c>
      <c r="B135" t="inlineStr">
        <is>
          <t>69d4fd5f0000000022025c8e</t>
        </is>
      </c>
      <c r="C135" s="134" t="n">
        <f>HYPERLINK("https://www.xiaohongshu.com/explore/69d4fd5f0000000022025c8e?xsec_token=TBCfzrc-PQxdd2ruCVqHUjYs2daB0q6qdiUGApZry6L0k=&amp;xsec_source=pc_trdark","https://www.xiaohongshu.com/explore/69d4fd5f0000000022025c8e?xsec_token=TBCfzrc-PQxdd2ruCVqHUjYs2daB0q6qdiUGApZry6L0k=&amp;xsec_source=pc_trdark")</f>
        <v>0.0</v>
      </c>
      <c r="D135" t="inlineStr">
        <is>
          <t>鲜水湾</t>
        </is>
      </c>
      <c r="E135" t="inlineStr">
        <is>
          <t>49316638994</t>
        </is>
      </c>
      <c r="F135" t="inlineStr">
        <is>
          <t>2026-04-07 20:49:35</t>
        </is>
      </c>
      <c r="G135" t="inlineStr">
        <is>
          <t>图文</t>
        </is>
      </c>
      <c r="H135" t="inlineStr">
        <is>
          <t>手剥虾仁 无冰衣无添加 低脂餐一人食 上班带饭 顺丰包邮 5盒装</t>
        </is>
      </c>
      <c r="I135" t="inlineStr">
        <is>
          <t>694baba01d450d00013662f0</t>
        </is>
      </c>
      <c r="J135" t="inlineStr">
        <is>
          <t/>
        </is>
      </c>
      <c r="K135" t="n">
        <v>98.0</v>
      </c>
      <c r="L135" t="n">
        <v>1.0</v>
      </c>
      <c r="M135" t="n">
        <v>21.0</v>
      </c>
      <c r="N135" t="inlineStr">
        <is>
          <t>0.10714285714285714</t>
        </is>
      </c>
      <c r="O135" t="n">
        <v>20.0</v>
      </c>
      <c r="P135" t="n">
        <v>1.0</v>
      </c>
      <c r="Q135" t="inlineStr">
        <is>
          <t>0.047619047619047616</t>
        </is>
      </c>
      <c r="R135" t="n">
        <v>0.05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3.0</v>
      </c>
      <c r="Z135" t="n">
        <v>8.0</v>
      </c>
      <c r="AA135" t="n">
        <v>0.0</v>
      </c>
      <c r="AB135" t="n">
        <v>0.0</v>
      </c>
      <c r="AC135" t="n">
        <v>0.0</v>
      </c>
      <c r="AD135" t="n">
        <v>196.0</v>
      </c>
      <c r="AE135" t="n">
        <v>2.0</v>
      </c>
      <c r="AF135" t="n">
        <v>1.0</v>
      </c>
      <c r="AG135" t="n">
        <v>0.0</v>
      </c>
      <c r="AH135" t="n">
        <v>1.0</v>
      </c>
      <c r="AI135" t="n">
        <v>0.0</v>
      </c>
      <c r="AJ135" t="n">
        <v>0.0</v>
      </c>
      <c r="AK135" t="n">
        <v>15.408163265306122</v>
      </c>
      <c r="AL135" t="inlineStr">
        <is>
          <t/>
        </is>
      </c>
    </row>
    <row r="136">
      <c r="A136" t="inlineStr">
        <is>
          <t>给孩子做的三文鱼健康餐</t>
        </is>
      </c>
      <c r="B136" t="inlineStr">
        <is>
          <t>69eb1244000000001b023c12</t>
        </is>
      </c>
      <c r="C136" s="135" t="n">
        <f>HYPERLINK("https://www.xiaohongshu.com/explore/69eb1244000000001b023c12?xsec_token=TBKYxphePGFVFgSUNcsuIbTToUDBbl4PWWQTdviRIvegY=&amp;xsec_source=pc_trdark","https://www.xiaohongshu.com/explore/69eb1244000000001b023c12?xsec_token=TBKYxphePGFVFgSUNcsuIbTToUDBbl4PWWQTdviRIvegY=&amp;xsec_source=pc_trdark")</f>
        <v>0.0</v>
      </c>
      <c r="D136" t="inlineStr">
        <is>
          <t>鲜水湾</t>
        </is>
      </c>
      <c r="E136" t="inlineStr">
        <is>
          <t>49316638994</t>
        </is>
      </c>
      <c r="F136" t="inlineStr">
        <is>
          <t>2026-04-24 14:48:37</t>
        </is>
      </c>
      <c r="G136" t="inlineStr">
        <is>
          <t>图文</t>
        </is>
      </c>
      <c r="H136" t="inlineStr">
        <is>
          <t>智利三文鱼切块·整条三文鱼·深海鱼一人食健康饮食</t>
        </is>
      </c>
      <c r="I136" t="inlineStr">
        <is>
          <t>691ac562a524ee0001b51d7b</t>
        </is>
      </c>
      <c r="J136" t="inlineStr">
        <is>
          <t/>
        </is>
      </c>
      <c r="K136" t="n">
        <v>68.0</v>
      </c>
      <c r="L136" t="n">
        <v>1.0</v>
      </c>
      <c r="M136" t="n">
        <v>20.0</v>
      </c>
      <c r="N136" t="inlineStr">
        <is>
          <t>0.10416666666666667</t>
        </is>
      </c>
      <c r="O136" t="n">
        <v>19.0</v>
      </c>
      <c r="P136" t="n">
        <v>1.0</v>
      </c>
      <c r="Q136" t="n">
        <v>0.05</v>
      </c>
      <c r="R136" t="inlineStr">
        <is>
          <t>0.05263157894736842</t>
        </is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2.0</v>
      </c>
      <c r="Z136" t="n">
        <v>19.0</v>
      </c>
      <c r="AA136" t="n">
        <v>68.0</v>
      </c>
      <c r="AB136" t="n">
        <v>0.0</v>
      </c>
      <c r="AC136" t="n">
        <v>0.0</v>
      </c>
      <c r="AD136" t="n">
        <v>192.0</v>
      </c>
      <c r="AE136" t="n">
        <v>2.0</v>
      </c>
      <c r="AF136" t="n">
        <v>1.0</v>
      </c>
      <c r="AG136" t="n">
        <v>0.0</v>
      </c>
      <c r="AH136" t="n">
        <v>1.0</v>
      </c>
      <c r="AI136" t="n">
        <v>0.0</v>
      </c>
      <c r="AJ136" t="n">
        <v>0.0</v>
      </c>
      <c r="AK136" t="n">
        <v>13.932291666666666</v>
      </c>
      <c r="AL136" t="inlineStr">
        <is>
          <t/>
        </is>
      </c>
    </row>
    <row r="137">
      <c r="A137" t="inlineStr">
        <is>
          <t>听取姐妹建议，上架自律一人食小包装❗️</t>
        </is>
      </c>
      <c r="B137" t="inlineStr">
        <is>
          <t>69ee238200000000200389fd</t>
        </is>
      </c>
      <c r="C137" s="136" t="n">
        <f>HYPERLINK("https://www.xiaohongshu.com/explore/69ee238200000000200389fd?xsec_token=TB3JCI8OO3ItJ5gw9_OIE0bG0cGudIh9bJ-uEaoC8bUeE=&amp;xsec_source=pc_trdark","https://www.xiaohongshu.com/explore/69ee238200000000200389fd?xsec_token=TB3JCI8OO3ItJ5gw9_OIE0bG0cGudIh9bJ-uEaoC8bUeE=&amp;xsec_source=pc_trdark")</f>
        <v>0.0</v>
      </c>
      <c r="D137" t="inlineStr">
        <is>
          <t>鲜水湾</t>
        </is>
      </c>
      <c r="E137" t="inlineStr">
        <is>
          <t>49316638994</t>
        </is>
      </c>
      <c r="F137" t="inlineStr">
        <is>
          <t>2026-04-26 22:38:58</t>
        </is>
      </c>
      <c r="G137" t="inlineStr">
        <is>
          <t>图文</t>
        </is>
      </c>
      <c r="H137" t="inlineStr">
        <is>
          <t>手剥虾仁 无冰衣无添加 低脂餐一人食 上班带饭 顺丰包邮 5盒装</t>
        </is>
      </c>
      <c r="I137" t="inlineStr">
        <is>
          <t>694baba01d450d00013662f0</t>
        </is>
      </c>
      <c r="J137" t="inlineStr">
        <is>
          <t/>
        </is>
      </c>
      <c r="K137" t="n">
        <v>0.0</v>
      </c>
      <c r="L137" t="n">
        <v>0.0</v>
      </c>
      <c r="M137" t="n">
        <v>21.0</v>
      </c>
      <c r="N137" t="inlineStr">
        <is>
          <t>0.11052631578947368</t>
        </is>
      </c>
      <c r="O137" t="n">
        <v>20.0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inlineStr">
        <is>
          <t/>
        </is>
      </c>
      <c r="X137" t="n">
        <v>0.0</v>
      </c>
      <c r="Y137" t="n">
        <v>4.0</v>
      </c>
      <c r="Z137" t="n">
        <v>7.0</v>
      </c>
      <c r="AA137" t="n">
        <v>0.0</v>
      </c>
      <c r="AB137" t="n">
        <v>0.0</v>
      </c>
      <c r="AC137" t="n">
        <v>0.0</v>
      </c>
      <c r="AD137" t="n">
        <v>190.0</v>
      </c>
      <c r="AE137" t="n">
        <v>4.0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16.673684210526314</v>
      </c>
      <c r="AL137" t="inlineStr">
        <is>
          <t/>
        </is>
      </c>
    </row>
    <row r="138">
      <c r="A138" t="inlineStr">
        <is>
          <t>教大家一个订婚前15天瘦骨感巨屌的tips</t>
        </is>
      </c>
      <c r="B138" t="inlineStr">
        <is>
          <t>69c8c5ed000000001a036ea7</t>
        </is>
      </c>
      <c r="C138" s="137" t="n">
        <f>HYPERLINK("https://www.xiaohongshu.com/explore/69c8c5ed000000001a036ea7?xsec_token=TBSs0bsvi6YGXB042lLCz_JAtAdzT2WCUkvkIxLXDLMXY=&amp;xsec_source=pc_trdark","https://www.xiaohongshu.com/explore/69c8c5ed000000001a036ea7?xsec_token=TBSs0bsvi6YGXB042lLCz_JAtAdzT2WCUkvkIxLXDLMXY=&amp;xsec_source=pc_trdark")</f>
        <v>0.0</v>
      </c>
      <c r="D138" t="inlineStr">
        <is>
          <t>菲菲上班吃什么</t>
        </is>
      </c>
      <c r="E138" t="inlineStr">
        <is>
          <t>49936530607</t>
        </is>
      </c>
      <c r="F138" t="inlineStr">
        <is>
          <t>2026-03-29 14:25:49</t>
        </is>
      </c>
      <c r="G138" t="inlineStr">
        <is>
          <t>图文</t>
        </is>
      </c>
      <c r="H138" t="inlineStr">
        <is>
          <t>手剥虾仁 无冰衣无添加 低脂餐一人食 上班带饭 顺丰包邮 5盒装</t>
        </is>
      </c>
      <c r="I138" t="inlineStr">
        <is>
          <t>694baba01d450d00013662f0</t>
        </is>
      </c>
      <c r="J138" t="inlineStr">
        <is>
          <t/>
        </is>
      </c>
      <c r="K138" t="n">
        <v>0.0</v>
      </c>
      <c r="L138" t="n">
        <v>0.0</v>
      </c>
      <c r="M138" t="n">
        <v>8.0</v>
      </c>
      <c r="N138" t="inlineStr">
        <is>
          <t>0.042328042328042326</t>
        </is>
      </c>
      <c r="O138" t="n">
        <v>7.0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inlineStr">
        <is>
          <t/>
        </is>
      </c>
      <c r="X138" t="n">
        <v>0.0</v>
      </c>
      <c r="Y138" t="n">
        <v>1.0</v>
      </c>
      <c r="Z138" t="n">
        <v>1.0</v>
      </c>
      <c r="AA138" t="n">
        <v>0.0</v>
      </c>
      <c r="AB138" t="n">
        <v>0.0</v>
      </c>
      <c r="AC138" t="n">
        <v>0.0</v>
      </c>
      <c r="AD138" t="n">
        <v>189.0</v>
      </c>
      <c r="AE138" t="n">
        <v>2.0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12.592592592592593</v>
      </c>
      <c r="AL138" t="inlineStr">
        <is>
          <t/>
        </is>
      </c>
    </row>
    <row r="139">
      <c r="A139" t="inlineStr">
        <is>
          <t>质疑 理解 成为…懒人带饭党</t>
        </is>
      </c>
      <c r="B139" t="inlineStr">
        <is>
          <t>69be6912000000001f002fb0</t>
        </is>
      </c>
      <c r="C139" s="138" t="n">
        <f>HYPERLINK("https://www.xiaohongshu.com/explore/69be6912000000001f002fb0?xsec_token=TBEV1jCaY14J6usHdX26xRKBFlHHt5vQDCEYPHobXPR-w=&amp;xsec_source=pc_trdark","https://www.xiaohongshu.com/explore/69be6912000000001f002fb0?xsec_token=TBEV1jCaY14J6usHdX26xRKBFlHHt5vQDCEYPHobXPR-w=&amp;xsec_source=pc_trdark")</f>
        <v>0.0</v>
      </c>
      <c r="D139" t="inlineStr">
        <is>
          <t>婉婉上班吃什么</t>
        </is>
      </c>
      <c r="E139" t="inlineStr">
        <is>
          <t>11434449706</t>
        </is>
      </c>
      <c r="F139" t="inlineStr">
        <is>
          <t>2026-03-21 17:46:58</t>
        </is>
      </c>
      <c r="G139" t="inlineStr">
        <is>
          <t>图文</t>
        </is>
      </c>
      <c r="H139" t="inlineStr">
        <is>
          <t>手剥虾仁 无冰衣无添加 低脂餐一人食 上班带饭 顺丰包邮 5盒装</t>
        </is>
      </c>
      <c r="I139" t="inlineStr">
        <is>
          <t>694baba01d450d00013662f0</t>
        </is>
      </c>
      <c r="J139" t="inlineStr">
        <is>
          <t/>
        </is>
      </c>
      <c r="K139" t="n">
        <v>69.0</v>
      </c>
      <c r="L139" t="n">
        <v>1.0</v>
      </c>
      <c r="M139" t="n">
        <v>7.0</v>
      </c>
      <c r="N139" t="inlineStr">
        <is>
          <t>0.037037037037037035</t>
        </is>
      </c>
      <c r="O139" t="n">
        <v>5.0</v>
      </c>
      <c r="P139" t="n">
        <v>1.0</v>
      </c>
      <c r="Q139" t="inlineStr">
        <is>
          <t>0.14285714285714285</t>
        </is>
      </c>
      <c r="R139" t="n">
        <v>0.2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1.0</v>
      </c>
      <c r="Z139" t="n">
        <v>1.0</v>
      </c>
      <c r="AA139" t="n">
        <v>0.0</v>
      </c>
      <c r="AB139" t="n">
        <v>0.0</v>
      </c>
      <c r="AC139" t="n">
        <v>0.0</v>
      </c>
      <c r="AD139" t="n">
        <v>189.0</v>
      </c>
      <c r="AE139" t="n">
        <v>1.0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8.767195767195767</v>
      </c>
      <c r="AL139" t="inlineStr">
        <is>
          <t/>
        </is>
      </c>
    </row>
    <row r="140">
      <c r="A140" t="inlineStr">
        <is>
          <t>区区69元，承包我一周减脂快乐😁</t>
        </is>
      </c>
      <c r="B140" t="inlineStr">
        <is>
          <t>69e83ee9000000001a02f43e</t>
        </is>
      </c>
      <c r="C140" s="139" t="n">
        <f>HYPERLINK("https://www.xiaohongshu.com/explore/69e83ee9000000001a02f43e?xsec_token=TBrsJGfbmdICsvnXoyd4QdRorbHbfUNkuva6hiKm-f3Ro=&amp;xsec_source=pc_trdark","https://www.xiaohongshu.com/explore/69e83ee9000000001a02f43e?xsec_token=TBrsJGfbmdICsvnXoyd4QdRorbHbfUNkuva6hiKm-f3Ro=&amp;xsec_source=pc_trdark")</f>
        <v>0.0</v>
      </c>
      <c r="D140" t="inlineStr">
        <is>
          <t>菲菲上班吃什么</t>
        </is>
      </c>
      <c r="E140" t="inlineStr">
        <is>
          <t>49936530607</t>
        </is>
      </c>
      <c r="F140" t="inlineStr">
        <is>
          <t>2026-04-22 11:40:00</t>
        </is>
      </c>
      <c r="G140" t="inlineStr">
        <is>
          <t>图文</t>
        </is>
      </c>
      <c r="H140" t="inlineStr">
        <is>
          <t>手剥虾仁 无冰衣无添加 低脂餐一人食 上班带饭 顺丰包邮 5盒装</t>
        </is>
      </c>
      <c r="I140" t="inlineStr">
        <is>
          <t>694baba01d450d00013662f0</t>
        </is>
      </c>
      <c r="J140" t="inlineStr">
        <is>
          <t/>
        </is>
      </c>
      <c r="K140" t="n">
        <v>0.0</v>
      </c>
      <c r="L140" t="n">
        <v>0.0</v>
      </c>
      <c r="M140" t="n">
        <v>15.0</v>
      </c>
      <c r="N140" t="inlineStr">
        <is>
          <t>0.08108108108108109</t>
        </is>
      </c>
      <c r="O140" t="n">
        <v>13.0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inlineStr">
        <is>
          <t/>
        </is>
      </c>
      <c r="X140" t="n">
        <v>0.0</v>
      </c>
      <c r="Y140" t="n">
        <v>1.0</v>
      </c>
      <c r="Z140" t="n">
        <v>11.0</v>
      </c>
      <c r="AA140" t="n">
        <v>0.0</v>
      </c>
      <c r="AB140" t="n">
        <v>0.0</v>
      </c>
      <c r="AC140" t="n">
        <v>0.0</v>
      </c>
      <c r="AD140" t="n">
        <v>185.0</v>
      </c>
      <c r="AE140" t="n">
        <v>3.0</v>
      </c>
      <c r="AF140" t="n">
        <v>0.0</v>
      </c>
      <c r="AG140" t="n">
        <v>0.0</v>
      </c>
      <c r="AH140" t="n">
        <v>1.0</v>
      </c>
      <c r="AI140" t="n">
        <v>0.0</v>
      </c>
      <c r="AJ140" t="n">
        <v>0.0</v>
      </c>
      <c r="AK140" t="n">
        <v>14.172972972972973</v>
      </c>
      <c r="AL140" t="inlineStr">
        <is>
          <t/>
        </is>
      </c>
    </row>
    <row r="141">
      <c r="A141" t="inlineStr">
        <is>
          <t>迄今为止 我减肥速度最快的一次</t>
        </is>
      </c>
      <c r="B141" t="inlineStr">
        <is>
          <t>69dcbb5c000000001b020101</t>
        </is>
      </c>
      <c r="C141" s="140" t="n">
        <f>HYPERLINK("https://www.xiaohongshu.com/explore/69dcbb5c000000001b020101?xsec_token=TBe8vKhJyviDCWrA3Jp-irCX87IqgiXDvvvHXYCN7eqqw=&amp;xsec_source=pc_trdark","https://www.xiaohongshu.com/explore/69dcbb5c000000001b020101?xsec_token=TBe8vKhJyviDCWrA3Jp-irCX87IqgiXDvvvHXYCN7eqqw=&amp;xsec_source=pc_trdark")</f>
        <v>0.0</v>
      </c>
      <c r="D141" t="inlineStr">
        <is>
          <t>菲菲上班吃什么</t>
        </is>
      </c>
      <c r="E141" t="inlineStr">
        <is>
          <t>49936530607</t>
        </is>
      </c>
      <c r="F141" t="inlineStr">
        <is>
          <t>2026-04-13 17:46:04</t>
        </is>
      </c>
      <c r="G141" t="inlineStr">
        <is>
          <t>图文</t>
        </is>
      </c>
      <c r="H141" t="inlineStr">
        <is>
          <t>手剥虾仁 无冰衣无添加 低脂餐一人食 上班带饭 顺丰包邮 5盒装</t>
        </is>
      </c>
      <c r="I141" t="inlineStr">
        <is>
          <t>694baba01d450d00013662f0</t>
        </is>
      </c>
      <c r="J141" t="inlineStr">
        <is>
          <t/>
        </is>
      </c>
      <c r="K141" t="n">
        <v>207.0</v>
      </c>
      <c r="L141" t="n">
        <v>2.0</v>
      </c>
      <c r="M141" t="n">
        <v>12.0</v>
      </c>
      <c r="N141" t="inlineStr">
        <is>
          <t>0.06486486486486487</t>
        </is>
      </c>
      <c r="O141" t="n">
        <v>11.0</v>
      </c>
      <c r="P141" t="n">
        <v>2.0</v>
      </c>
      <c r="Q141" t="inlineStr">
        <is>
          <t>0.16666666666666666</t>
        </is>
      </c>
      <c r="R141" t="inlineStr">
        <is>
          <t>0.18181818181818182</t>
        </is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3.0</v>
      </c>
      <c r="Z141" t="n">
        <v>2.0</v>
      </c>
      <c r="AA141" t="n">
        <v>0.0</v>
      </c>
      <c r="AB141" t="n">
        <v>0.0</v>
      </c>
      <c r="AC141" t="n">
        <v>0.0</v>
      </c>
      <c r="AD141" t="n">
        <v>185.0</v>
      </c>
      <c r="AE141" t="n">
        <v>2.0</v>
      </c>
      <c r="AF141" t="n">
        <v>0.0</v>
      </c>
      <c r="AG141" t="n">
        <v>0.0</v>
      </c>
      <c r="AH141" t="n">
        <v>1.0</v>
      </c>
      <c r="AI141" t="n">
        <v>0.0</v>
      </c>
      <c r="AJ141" t="n">
        <v>0.0</v>
      </c>
      <c r="AK141" t="n">
        <v>14.178378378378378</v>
      </c>
      <c r="AL141" t="inlineStr">
        <is>
          <t/>
        </is>
      </c>
    </row>
    <row r="142">
      <c r="A142" t="inlineStr">
        <is>
          <t>100来块囤了半个月减脂餐！</t>
        </is>
      </c>
      <c r="B142" t="inlineStr">
        <is>
          <t>69d1c39f000000002202ac90</t>
        </is>
      </c>
      <c r="C142" s="141" t="n">
        <f>HYPERLINK("https://www.xiaohongshu.com/explore/69d1c39f000000002202ac90?xsec_token=TBT5TAUGV3LcD_GYbSvfENi8M0tzRoJdVo3OUbN5XfQx0=&amp;xsec_source=pc_trdark","https://www.xiaohongshu.com/explore/69d1c39f000000002202ac90?xsec_token=TBT5TAUGV3LcD_GYbSvfENi8M0tzRoJdVo3OUbN5XfQx0=&amp;xsec_source=pc_trdark")</f>
        <v>0.0</v>
      </c>
      <c r="D142" t="inlineStr">
        <is>
          <t>菲菲上班吃什么</t>
        </is>
      </c>
      <c r="E142" t="inlineStr">
        <is>
          <t>49936530607</t>
        </is>
      </c>
      <c r="F142" t="inlineStr">
        <is>
          <t>2026-04-05 10:06:23</t>
        </is>
      </c>
      <c r="G142" t="inlineStr">
        <is>
          <t>图文</t>
        </is>
      </c>
      <c r="H142" t="inlineStr">
        <is>
          <t>手剥虾仁 无冰衣无添加 低脂餐一人食 上班带饭 顺丰包邮 5盒装</t>
        </is>
      </c>
      <c r="I142" t="inlineStr">
        <is>
          <t>694baba01d450d00013662f0</t>
        </is>
      </c>
      <c r="J142" t="inlineStr">
        <is>
          <t/>
        </is>
      </c>
      <c r="K142" t="n">
        <v>266.0</v>
      </c>
      <c r="L142" t="n">
        <v>2.0</v>
      </c>
      <c r="M142" t="n">
        <v>35.0</v>
      </c>
      <c r="N142" t="n">
        <v>0.1891891891891892</v>
      </c>
      <c r="O142" t="n">
        <v>32.0</v>
      </c>
      <c r="P142" t="n">
        <v>2.0</v>
      </c>
      <c r="Q142" t="inlineStr">
        <is>
          <t>0.05714285714285714</t>
        </is>
      </c>
      <c r="R142" t="n">
        <v>0.0625</v>
      </c>
      <c r="S142" t="n">
        <v>131.1</v>
      </c>
      <c r="T142" t="n">
        <v>1.0</v>
      </c>
      <c r="U142" t="n">
        <v>1.0</v>
      </c>
      <c r="V142" t="n">
        <v>131.1</v>
      </c>
      <c r="W142" t="n">
        <v>0.4928571428571428</v>
      </c>
      <c r="X142" t="n">
        <v>1.0</v>
      </c>
      <c r="Y142" t="n">
        <v>9.0</v>
      </c>
      <c r="Z142" t="n">
        <v>5.0</v>
      </c>
      <c r="AA142" t="n">
        <v>0.0</v>
      </c>
      <c r="AB142" t="n">
        <v>0.0</v>
      </c>
      <c r="AC142" t="n">
        <v>0.0</v>
      </c>
      <c r="AD142" t="n">
        <v>185.0</v>
      </c>
      <c r="AE142" t="n">
        <v>2.0</v>
      </c>
      <c r="AF142" t="n">
        <v>2.0</v>
      </c>
      <c r="AG142" t="n">
        <v>0.0</v>
      </c>
      <c r="AH142" t="n">
        <v>2.0</v>
      </c>
      <c r="AI142" t="n">
        <v>0.0</v>
      </c>
      <c r="AJ142" t="n">
        <v>0.0</v>
      </c>
      <c r="AK142" t="n">
        <v>17.124324324324323</v>
      </c>
      <c r="AL142" t="inlineStr">
        <is>
          <t/>
        </is>
      </c>
    </row>
    <row r="143">
      <c r="A143" t="inlineStr">
        <is>
          <t>误以为很贵的整条三文鱼。。。</t>
        </is>
      </c>
      <c r="B143" t="inlineStr">
        <is>
          <t>69e2197f000000001a02e97e</t>
        </is>
      </c>
      <c r="C143" s="142" t="n">
        <f>HYPERLINK("https://www.xiaohongshu.com/explore/69e2197f000000001a02e97e?xsec_token=TBOpzZAuw0pnbuw-toVufuL5EcCcZpn6wOpcmm0Z4AkEo=&amp;xsec_source=pc_trdark","https://www.xiaohongshu.com/explore/69e2197f000000001a02e97e?xsec_token=TBOpzZAuw0pnbuw-toVufuL5EcCcZpn6wOpcmm0Z4AkEo=&amp;xsec_source=pc_trdark")</f>
        <v>0.0</v>
      </c>
      <c r="D143" t="inlineStr">
        <is>
          <t>菲菲上班吃什么</t>
        </is>
      </c>
      <c r="E143" t="inlineStr">
        <is>
          <t>49936530607</t>
        </is>
      </c>
      <c r="F143" t="inlineStr">
        <is>
          <t>2026-04-17 19:29:03</t>
        </is>
      </c>
      <c r="G143" t="inlineStr">
        <is>
          <t>图文</t>
        </is>
      </c>
      <c r="H143" t="inlineStr">
        <is>
          <t>智利三文鱼切块·整条三文鱼·深海鱼一人食健康饮食</t>
        </is>
      </c>
      <c r="I143" t="inlineStr">
        <is>
          <t>691ac562a524ee0001b51d7b</t>
        </is>
      </c>
      <c r="J143" t="inlineStr">
        <is>
          <t/>
        </is>
      </c>
      <c r="K143" t="n">
        <v>0.0</v>
      </c>
      <c r="L143" t="n">
        <v>0.0</v>
      </c>
      <c r="M143" t="n">
        <v>21.0</v>
      </c>
      <c r="N143" t="inlineStr">
        <is>
          <t>0.11475409836065574</t>
        </is>
      </c>
      <c r="O143" t="n">
        <v>19.0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inlineStr">
        <is>
          <t/>
        </is>
      </c>
      <c r="X143" t="n">
        <v>0.0</v>
      </c>
      <c r="Y143" t="n">
        <v>2.0</v>
      </c>
      <c r="Z143" t="n">
        <v>3.0</v>
      </c>
      <c r="AA143" t="n">
        <v>0.0</v>
      </c>
      <c r="AB143" t="n">
        <v>0.0</v>
      </c>
      <c r="AC143" t="n">
        <v>0.0</v>
      </c>
      <c r="AD143" t="n">
        <v>183.0</v>
      </c>
      <c r="AE143" t="n">
        <v>3.0</v>
      </c>
      <c r="AF143" t="n">
        <v>0.0</v>
      </c>
      <c r="AG143" t="n">
        <v>0.0</v>
      </c>
      <c r="AH143" t="n">
        <v>1.0</v>
      </c>
      <c r="AI143" t="n">
        <v>0.0</v>
      </c>
      <c r="AJ143" t="n">
        <v>0.0</v>
      </c>
      <c r="AK143" t="n">
        <v>17.07650273224044</v>
      </c>
      <c r="AL143" t="inlineStr">
        <is>
          <t/>
        </is>
      </c>
    </row>
    <row r="144">
      <c r="A144" t="inlineStr">
        <is>
          <t>又到吃生蚝的季节了！🔥</t>
        </is>
      </c>
      <c r="B144" t="inlineStr">
        <is>
          <t>691090c7000000000503163c</t>
        </is>
      </c>
      <c r="C144" s="143" t="n">
        <f>HYPERLINK("https://www.xiaohongshu.com/explore/691090c7000000000503163c?xsec_token=TBUjpd2w0LBMv9oJsd0xbTvJFCxAqWbZPRJB7jhMDNDKk=&amp;xsec_source=pc_trdark","https://www.xiaohongshu.com/explore/691090c7000000000503163c?xsec_token=TBUjpd2w0LBMv9oJsd0xbTvJFCxAqWbZPRJB7jhMDNDKk=&amp;xsec_source=pc_trdark")</f>
        <v>0.0</v>
      </c>
      <c r="D144" t="inlineStr">
        <is>
          <t>婉婉上班吃什么</t>
        </is>
      </c>
      <c r="E144" t="inlineStr">
        <is>
          <t>11434449706</t>
        </is>
      </c>
      <c r="F144" t="inlineStr">
        <is>
          <t>2025-11-09 21:01:59</t>
        </is>
      </c>
      <c r="G144" t="inlineStr">
        <is>
          <t>视频</t>
        </is>
      </c>
      <c r="H144" t="inlineStr">
        <is>
          <t>生蚝乳山生蚝海蛎子顺丰包邮</t>
        </is>
      </c>
      <c r="I144" t="inlineStr">
        <is>
          <t>690c70971b787900010866cc</t>
        </is>
      </c>
      <c r="J144" t="n">
        <v>95.0</v>
      </c>
      <c r="K144" t="n">
        <v>0.0</v>
      </c>
      <c r="L144" t="n">
        <v>0.0</v>
      </c>
      <c r="M144" t="n">
        <v>2.0</v>
      </c>
      <c r="N144" t="inlineStr">
        <is>
          <t>0.01092896174863388</t>
        </is>
      </c>
      <c r="O144" t="n">
        <v>2.0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inlineStr">
        <is>
          <t/>
        </is>
      </c>
      <c r="X144" t="n">
        <v>0.0</v>
      </c>
      <c r="Y144" t="n">
        <v>0.0</v>
      </c>
      <c r="Z144" t="n">
        <v>1.0</v>
      </c>
      <c r="AA144" t="n">
        <v>0.0</v>
      </c>
      <c r="AB144" t="n">
        <v>0.0</v>
      </c>
      <c r="AC144" t="n">
        <v>0.0</v>
      </c>
      <c r="AD144" t="n">
        <v>183.0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10.956284153005464</v>
      </c>
      <c r="AL144" t="inlineStr">
        <is>
          <t>0.02702702702702703</t>
        </is>
      </c>
    </row>
    <row r="145">
      <c r="A145" t="inlineStr">
        <is>
          <t>抗炎饮食21天！全靠三文鱼救我</t>
        </is>
      </c>
      <c r="B145" t="inlineStr">
        <is>
          <t>69a11f1d000000001a036323</t>
        </is>
      </c>
      <c r="C145" s="144" t="n">
        <f>HYPERLINK("https://www.xiaohongshu.com/explore/69a11f1d000000001a036323?xsec_token=TBk7Tu9foWGIsieMmGc2tlwiI4JtNYKBk0uiNi6UVC5-k=&amp;xsec_source=pc_trdark","https://www.xiaohongshu.com/explore/69a11f1d000000001a036323?xsec_token=TBk7Tu9foWGIsieMmGc2tlwiI4JtNYKBk0uiNi6UVC5-k=&amp;xsec_source=pc_trdark")</f>
        <v>0.0</v>
      </c>
      <c r="D145" t="inlineStr">
        <is>
          <t>鲜水湾</t>
        </is>
      </c>
      <c r="E145" t="inlineStr">
        <is>
          <t>49316638994</t>
        </is>
      </c>
      <c r="F145" t="inlineStr">
        <is>
          <t>2026-02-27 12:35:41</t>
        </is>
      </c>
      <c r="G145" t="inlineStr">
        <is>
          <t>图文</t>
        </is>
      </c>
      <c r="H145" t="inlineStr">
        <is>
          <t>智利三文鱼切块·整条三文鱼·深海鱼一人食健康饮食</t>
        </is>
      </c>
      <c r="I145" t="inlineStr">
        <is>
          <t>691ac562a524ee0001b51d7b</t>
        </is>
      </c>
      <c r="J145" t="inlineStr">
        <is>
          <t/>
        </is>
      </c>
      <c r="K145" t="n">
        <v>0.0</v>
      </c>
      <c r="L145" t="n">
        <v>0.0</v>
      </c>
      <c r="M145" t="n">
        <v>10.0</v>
      </c>
      <c r="N145" t="inlineStr">
        <is>
          <t>0.054945054945054944</t>
        </is>
      </c>
      <c r="O145" t="n">
        <v>10.0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inlineStr">
        <is>
          <t/>
        </is>
      </c>
      <c r="X145" t="n">
        <v>0.0</v>
      </c>
      <c r="Y145" t="n">
        <v>1.0</v>
      </c>
      <c r="Z145" t="n">
        <v>4.0</v>
      </c>
      <c r="AA145" t="n">
        <v>0.0</v>
      </c>
      <c r="AB145" t="n">
        <v>0.0</v>
      </c>
      <c r="AC145" t="n">
        <v>0.0</v>
      </c>
      <c r="AD145" t="n">
        <v>182.0</v>
      </c>
      <c r="AE145" t="n">
        <v>1.0</v>
      </c>
      <c r="AF145" t="n">
        <v>1.0</v>
      </c>
      <c r="AG145" t="n">
        <v>1.0</v>
      </c>
      <c r="AH145" t="n">
        <v>0.0</v>
      </c>
      <c r="AI145" t="n">
        <v>0.0</v>
      </c>
      <c r="AJ145" t="n">
        <v>0.0</v>
      </c>
      <c r="AK145" t="n">
        <v>12.148351648351648</v>
      </c>
      <c r="AL145" t="inlineStr">
        <is>
          <t/>
        </is>
      </c>
    </row>
    <row r="146">
      <c r="A146" t="inlineStr">
        <is>
          <t>这么大的生蚝你能吃几只？</t>
        </is>
      </c>
      <c r="B146" t="inlineStr">
        <is>
          <t>6925cf4b000000001e03bc4d</t>
        </is>
      </c>
      <c r="C146" s="145" t="n">
        <f>HYPERLINK("https://www.xiaohongshu.com/explore/6925cf4b000000001e03bc4d?xsec_token=TBVx22ZAFho_bBgysCIliGP2k3jP77PzJI8Ic3cm6L0jk=&amp;xsec_source=pc_trdark","https://www.xiaohongshu.com/explore/6925cf4b000000001e03bc4d?xsec_token=TBVx22ZAFho_bBgysCIliGP2k3jP77PzJI8Ic3cm6L0jk=&amp;xsec_source=pc_trdark")</f>
        <v>0.0</v>
      </c>
      <c r="D146" t="inlineStr">
        <is>
          <t>婉婉上班吃什么</t>
        </is>
      </c>
      <c r="E146" t="inlineStr">
        <is>
          <t>11434449706</t>
        </is>
      </c>
      <c r="F146" t="inlineStr">
        <is>
          <t>2025-11-25 23:46:19</t>
        </is>
      </c>
      <c r="G146" t="inlineStr">
        <is>
          <t>视频</t>
        </is>
      </c>
      <c r="H146" t="inlineStr">
        <is>
          <t>生蚝乳山生蚝海蛎子顺丰包邮</t>
        </is>
      </c>
      <c r="I146" t="inlineStr">
        <is>
          <t>690c70971b787900010866cc</t>
        </is>
      </c>
      <c r="J146" t="n">
        <v>16.0</v>
      </c>
      <c r="K146" t="n">
        <v>0.0</v>
      </c>
      <c r="L146" t="n">
        <v>0.0</v>
      </c>
      <c r="M146" t="n">
        <v>1.0</v>
      </c>
      <c r="N146" t="inlineStr">
        <is>
          <t>0.0055248618784530384</t>
        </is>
      </c>
      <c r="O146" t="n">
        <v>1.0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inlineStr">
        <is>
          <t/>
        </is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181.0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5.707182320441989</v>
      </c>
      <c r="AL146" t="inlineStr">
        <is>
          <t>0.16744186046511628</t>
        </is>
      </c>
    </row>
    <row r="147">
      <c r="A147" t="inlineStr">
        <is>
          <t>节后控体，都把鸡胸肉换成抗炎减脂的三文鱼</t>
        </is>
      </c>
      <c r="B147" t="inlineStr">
        <is>
          <t>69b14b4f000000000601f212</t>
        </is>
      </c>
      <c r="C147" s="146" t="n">
        <f>HYPERLINK("https://www.xiaohongshu.com/explore/69b14b4f000000000601f212?xsec_token=TBPThwaY7kqe53qUk5J0Oyzr1tds-y3hBLv9mZD2SjD-8=&amp;xsec_source=pc_trdark","https://www.xiaohongshu.com/explore/69b14b4f000000000601f212?xsec_token=TBPThwaY7kqe53qUk5J0Oyzr1tds-y3hBLv9mZD2SjD-8=&amp;xsec_source=pc_trdark")</f>
        <v>0.0</v>
      </c>
      <c r="D147" t="inlineStr">
        <is>
          <t>鲜水湾</t>
        </is>
      </c>
      <c r="E147" t="inlineStr">
        <is>
          <t>49316638994</t>
        </is>
      </c>
      <c r="F147" t="inlineStr">
        <is>
          <t>2026-03-11 19:00:31</t>
        </is>
      </c>
      <c r="G147" t="inlineStr">
        <is>
          <t>图文</t>
        </is>
      </c>
      <c r="H147" t="inlineStr">
        <is>
          <t>智利三文鱼切块·整条三文鱼·深海鱼一人食健康饮食</t>
        </is>
      </c>
      <c r="I147" t="inlineStr">
        <is>
          <t>691ac562a524ee0001b51d7b</t>
        </is>
      </c>
      <c r="J147" t="inlineStr">
        <is>
          <t/>
        </is>
      </c>
      <c r="K147" t="n">
        <v>0.0</v>
      </c>
      <c r="L147" t="n">
        <v>0.0</v>
      </c>
      <c r="M147" t="n">
        <v>22.0</v>
      </c>
      <c r="N147" t="n">
        <v>0.125</v>
      </c>
      <c r="O147" t="n">
        <v>20.0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inlineStr">
        <is>
          <t/>
        </is>
      </c>
      <c r="X147" t="n">
        <v>0.0</v>
      </c>
      <c r="Y147" t="n">
        <v>3.0</v>
      </c>
      <c r="Z147" t="n">
        <v>2.0</v>
      </c>
      <c r="AA147" t="n">
        <v>0.0</v>
      </c>
      <c r="AB147" t="n">
        <v>0.0</v>
      </c>
      <c r="AC147" t="n">
        <v>0.0</v>
      </c>
      <c r="AD147" t="n">
        <v>176.0</v>
      </c>
      <c r="AE147" t="n">
        <v>1.0</v>
      </c>
      <c r="AF147" t="n">
        <v>1.0</v>
      </c>
      <c r="AG147" t="n">
        <v>0.0</v>
      </c>
      <c r="AH147" t="n">
        <v>0.0</v>
      </c>
      <c r="AI147" t="n">
        <v>0.0</v>
      </c>
      <c r="AJ147" t="n">
        <v>0.0</v>
      </c>
      <c r="AK147" t="n">
        <v>10.926136363636363</v>
      </c>
      <c r="AL147" t="inlineStr">
        <is>
          <t/>
        </is>
      </c>
    </row>
    <row r="148">
      <c r="A148" t="inlineStr">
        <is>
          <t>这才是早八人的坠爱，69搞定一周带饭</t>
        </is>
      </c>
      <c r="B148" t="inlineStr">
        <is>
          <t>69e985de000000001d018fdc</t>
        </is>
      </c>
      <c r="C148" s="147" t="n">
        <f>HYPERLINK("https://www.xiaohongshu.com/explore/69e985de000000001d018fdc?xsec_token=TBNkLc7pOHvt_5tNJTpGNllAORkm5Ngo1tiX5ixBEf7kQ=&amp;xsec_source=pc_trdark","https://www.xiaohongshu.com/explore/69e985de000000001d018fdc?xsec_token=TBNkLc7pOHvt_5tNJTpGNllAORkm5Ngo1tiX5ixBEf7kQ=&amp;xsec_source=pc_trdark")</f>
        <v>0.0</v>
      </c>
      <c r="D148" t="inlineStr">
        <is>
          <t>鲜水湾甄选</t>
        </is>
      </c>
      <c r="E148" t="inlineStr">
        <is>
          <t>27401929161</t>
        </is>
      </c>
      <c r="F148" t="inlineStr">
        <is>
          <t>2026-04-23 13:40:00</t>
        </is>
      </c>
      <c r="G148" t="inlineStr">
        <is>
          <t>图文</t>
        </is>
      </c>
      <c r="H148" t="inlineStr">
        <is>
          <t>手剥虾仁 无冰衣无添加 低脂餐一人食 上班带饭 顺丰包邮 5盒装</t>
        </is>
      </c>
      <c r="I148" t="inlineStr">
        <is>
          <t>694baba01d450d00013662f0</t>
        </is>
      </c>
      <c r="J148" t="inlineStr">
        <is>
          <t/>
        </is>
      </c>
      <c r="K148" t="n">
        <v>197.0</v>
      </c>
      <c r="L148" t="n">
        <v>2.0</v>
      </c>
      <c r="M148" t="n">
        <v>18.0</v>
      </c>
      <c r="N148" t="inlineStr">
        <is>
          <t>0.10285714285714286</t>
        </is>
      </c>
      <c r="O148" t="n">
        <v>15.0</v>
      </c>
      <c r="P148" t="n">
        <v>2.0</v>
      </c>
      <c r="Q148" t="n">
        <v>0.1111111111111111</v>
      </c>
      <c r="R148" t="inlineStr">
        <is>
          <t>0.13333333333333333</t>
        </is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9.0</v>
      </c>
      <c r="AA148" t="n">
        <v>0.0</v>
      </c>
      <c r="AB148" t="n">
        <v>0.0</v>
      </c>
      <c r="AC148" t="n">
        <v>0.0</v>
      </c>
      <c r="AD148" t="n">
        <v>175.0</v>
      </c>
      <c r="AE148" t="n">
        <v>1.0</v>
      </c>
      <c r="AF148" t="n">
        <v>0.0</v>
      </c>
      <c r="AG148" t="n">
        <v>0.0</v>
      </c>
      <c r="AH148" t="n">
        <v>1.0</v>
      </c>
      <c r="AI148" t="n">
        <v>0.0</v>
      </c>
      <c r="AJ148" t="n">
        <v>0.0</v>
      </c>
      <c r="AK148" t="n">
        <v>11.977142857142857</v>
      </c>
      <c r="AL148" t="inlineStr">
        <is>
          <t/>
        </is>
      </c>
    </row>
    <row r="149">
      <c r="A149" t="inlineStr">
        <is>
          <t>在小红书买了整条三文鱼</t>
        </is>
      </c>
      <c r="B149" t="inlineStr">
        <is>
          <t>69d2392e00000000220276c0</t>
        </is>
      </c>
      <c r="C149" s="148" t="n">
        <f>HYPERLINK("https://www.xiaohongshu.com/explore/69d2392e00000000220276c0?xsec_token=TBNrOxL8mRPP3W5KJU-iYJryW_DHRw4A7On6qdHUJTwYE=&amp;xsec_source=pc_trdark","https://www.xiaohongshu.com/explore/69d2392e00000000220276c0?xsec_token=TBNrOxL8mRPP3W5KJU-iYJryW_DHRw4A7On6qdHUJTwYE=&amp;xsec_source=pc_trdark")</f>
        <v>0.0</v>
      </c>
      <c r="D149" t="inlineStr">
        <is>
          <t>菲菲上班吃什么</t>
        </is>
      </c>
      <c r="E149" t="inlineStr">
        <is>
          <t>49936530607</t>
        </is>
      </c>
      <c r="F149" t="inlineStr">
        <is>
          <t>2026-04-05 18:27:58</t>
        </is>
      </c>
      <c r="G149" t="inlineStr">
        <is>
          <t>图文</t>
        </is>
      </c>
      <c r="H149" t="inlineStr">
        <is>
          <t>智利三文鱼切块·整条三文鱼·深海鱼一人食健康饮食</t>
        </is>
      </c>
      <c r="I149" t="inlineStr">
        <is>
          <t>691ac562a524ee0001b51d7b</t>
        </is>
      </c>
      <c r="J149" t="inlineStr">
        <is>
          <t/>
        </is>
      </c>
      <c r="K149" t="n">
        <v>0.0</v>
      </c>
      <c r="L149" t="n">
        <v>0.0</v>
      </c>
      <c r="M149" t="n">
        <v>19.0</v>
      </c>
      <c r="N149" t="inlineStr">
        <is>
          <t>0.10857142857142857</t>
        </is>
      </c>
      <c r="O149" t="n">
        <v>16.0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inlineStr">
        <is>
          <t/>
        </is>
      </c>
      <c r="X149" t="n">
        <v>0.0</v>
      </c>
      <c r="Y149" t="n">
        <v>1.0</v>
      </c>
      <c r="Z149" t="n">
        <v>1.0</v>
      </c>
      <c r="AA149" t="n">
        <v>0.0</v>
      </c>
      <c r="AB149" t="n">
        <v>0.0</v>
      </c>
      <c r="AC149" t="n">
        <v>0.0</v>
      </c>
      <c r="AD149" t="n">
        <v>175.0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9.217142857142857</v>
      </c>
      <c r="AL149" t="inlineStr">
        <is>
          <t/>
        </is>
      </c>
    </row>
    <row r="150">
      <c r="A150" t="inlineStr">
        <is>
          <t>五一减脂真不多，69够我吃一周了…</t>
        </is>
      </c>
      <c r="B150" t="inlineStr">
        <is>
          <t>69ef26fe000000003600147f</t>
        </is>
      </c>
      <c r="C150" s="149" t="n">
        <f>HYPERLINK("https://www.xiaohongshu.com/explore/69ef26fe000000003600147f?xsec_token=TB8YlxxIf2o_Xr_LAif13-vPMAft41_ZadSYlI6n-w0qg=&amp;xsec_source=pc_trdark","https://www.xiaohongshu.com/explore/69ef26fe000000003600147f?xsec_token=TB8YlxxIf2o_Xr_LAif13-vPMAft41_ZadSYlI6n-w0qg=&amp;xsec_source=pc_trdark")</f>
        <v>0.0</v>
      </c>
      <c r="D150" t="inlineStr">
        <is>
          <t>鲜水湾甄选</t>
        </is>
      </c>
      <c r="E150" t="inlineStr">
        <is>
          <t>27401929161</t>
        </is>
      </c>
      <c r="F150" t="inlineStr">
        <is>
          <t>2026-04-27 17:06:06</t>
        </is>
      </c>
      <c r="G150" t="inlineStr">
        <is>
          <t>图文</t>
        </is>
      </c>
      <c r="H150" t="inlineStr">
        <is>
          <t>手剥虾仁 无冰衣无添加 低脂餐一人食 上班带饭 顺丰包邮 5盒装</t>
        </is>
      </c>
      <c r="I150" t="inlineStr">
        <is>
          <t>694baba01d450d00013662f0</t>
        </is>
      </c>
      <c r="J150" t="inlineStr">
        <is>
          <t/>
        </is>
      </c>
      <c r="K150" t="n">
        <v>0.0</v>
      </c>
      <c r="L150" t="n">
        <v>0.0</v>
      </c>
      <c r="M150" t="n">
        <v>32.0</v>
      </c>
      <c r="N150" t="n">
        <v>0.1839080459770115</v>
      </c>
      <c r="O150" t="n">
        <v>29.0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inlineStr">
        <is>
          <t/>
        </is>
      </c>
      <c r="X150" t="n">
        <v>0.0</v>
      </c>
      <c r="Y150" t="n">
        <v>6.0</v>
      </c>
      <c r="Z150" t="n">
        <v>6.0</v>
      </c>
      <c r="AA150" t="n">
        <v>0.0</v>
      </c>
      <c r="AB150" t="n">
        <v>0.0</v>
      </c>
      <c r="AC150" t="n">
        <v>0.0</v>
      </c>
      <c r="AD150" t="n">
        <v>174.0</v>
      </c>
      <c r="AE150" t="n">
        <v>0.0</v>
      </c>
      <c r="AF150" t="n">
        <v>1.0</v>
      </c>
      <c r="AG150" t="n">
        <v>0.0</v>
      </c>
      <c r="AH150" t="n">
        <v>1.0</v>
      </c>
      <c r="AI150" t="n">
        <v>0.0</v>
      </c>
      <c r="AJ150" t="n">
        <v>0.0</v>
      </c>
      <c r="AK150" t="n">
        <v>14.258620689655173</v>
      </c>
      <c r="AL150" t="inlineStr">
        <is>
          <t/>
        </is>
      </c>
    </row>
    <row r="151">
      <c r="A151" t="inlineStr">
        <is>
          <t>某姆没有！因为我为早八姐妹定制的小包</t>
        </is>
      </c>
      <c r="B151" t="inlineStr">
        <is>
          <t>69db65bc00000000220254b0</t>
        </is>
      </c>
      <c r="C151" s="150" t="n">
        <f>HYPERLINK("https://www.xiaohongshu.com/explore/69db65bc00000000220254b0?xsec_token=TBv7n0Oy0CPbFvgz473v78kYWBqslnKB-5F9KgXpVASrk=&amp;xsec_source=pc_trdark","https://www.xiaohongshu.com/explore/69db65bc00000000220254b0?xsec_token=TBv7n0Oy0CPbFvgz473v78kYWBqslnKB-5F9KgXpVASrk=&amp;xsec_source=pc_trdark")</f>
        <v>0.0</v>
      </c>
      <c r="D151" t="inlineStr">
        <is>
          <t>鲜水湾</t>
        </is>
      </c>
      <c r="E151" t="inlineStr">
        <is>
          <t>49316638994</t>
        </is>
      </c>
      <c r="F151" t="inlineStr">
        <is>
          <t>2026-04-12 17:28:28</t>
        </is>
      </c>
      <c r="G151" t="inlineStr">
        <is>
          <t>图文</t>
        </is>
      </c>
      <c r="H151" t="inlineStr">
        <is>
          <t>手剥虾仁 无冰衣无添加 低脂餐一人食 上班带饭 顺丰包邮 5盒装</t>
        </is>
      </c>
      <c r="I151" t="inlineStr">
        <is>
          <t>694baba01d450d00013662f0</t>
        </is>
      </c>
      <c r="J151" t="inlineStr">
        <is>
          <t/>
        </is>
      </c>
      <c r="K151" t="n">
        <v>138.0</v>
      </c>
      <c r="L151" t="n">
        <v>2.0</v>
      </c>
      <c r="M151" t="n">
        <v>33.0</v>
      </c>
      <c r="N151" t="n">
        <v>0.1896551724137931</v>
      </c>
      <c r="O151" t="n">
        <v>32.0</v>
      </c>
      <c r="P151" t="n">
        <v>2.0</v>
      </c>
      <c r="Q151" t="inlineStr">
        <is>
          <t>0.06060606060606061</t>
        </is>
      </c>
      <c r="R151" t="n">
        <v>0.0625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5.0</v>
      </c>
      <c r="Z151" t="n">
        <v>12.0</v>
      </c>
      <c r="AA151" t="n">
        <v>0.0</v>
      </c>
      <c r="AB151" t="n">
        <v>0.0</v>
      </c>
      <c r="AC151" t="n">
        <v>0.0</v>
      </c>
      <c r="AD151" t="n">
        <v>174.0</v>
      </c>
      <c r="AE151" t="n">
        <v>2.0</v>
      </c>
      <c r="AF151" t="n">
        <v>1.0</v>
      </c>
      <c r="AG151" t="n">
        <v>0.0</v>
      </c>
      <c r="AH151" t="n">
        <v>1.0</v>
      </c>
      <c r="AI151" t="n">
        <v>1.0</v>
      </c>
      <c r="AJ151" t="n">
        <v>0.0</v>
      </c>
      <c r="AK151" t="n">
        <v>17.028735632183906</v>
      </c>
      <c r="AL151" t="inlineStr">
        <is>
          <t/>
        </is>
      </c>
    </row>
    <row r="152">
      <c r="A152" t="inlineStr">
        <is>
          <t>减脂期外卖 vs 自做虾仁，一个月省了500块</t>
        </is>
      </c>
      <c r="B152" t="inlineStr">
        <is>
          <t>69d477aa000000001e00f276</t>
        </is>
      </c>
      <c r="C152" s="151" t="n">
        <f>HYPERLINK("https://www.xiaohongshu.com/explore/69d477aa000000001e00f276?xsec_token=TBCfzrc-PQxdd2ruCVqHUjYj3OdikillPnkck2YBjFAHo=&amp;xsec_source=pc_trdark","https://www.xiaohongshu.com/explore/69d477aa000000001e00f276?xsec_token=TBCfzrc-PQxdd2ruCVqHUjYj3OdikillPnkck2YBjFAHo=&amp;xsec_source=pc_trdark")</f>
        <v>0.0</v>
      </c>
      <c r="D152" t="inlineStr">
        <is>
          <t>菲菲上班吃什么</t>
        </is>
      </c>
      <c r="E152" t="inlineStr">
        <is>
          <t>49936530607</t>
        </is>
      </c>
      <c r="F152" t="inlineStr">
        <is>
          <t>2026-04-07 11:19:06</t>
        </is>
      </c>
      <c r="G152" t="inlineStr">
        <is>
          <t>图文</t>
        </is>
      </c>
      <c r="H152" t="inlineStr">
        <is>
          <t>手剥虾仁 无冰衣无添加 低脂餐一人食 上班带饭 顺丰包邮 5盒装</t>
        </is>
      </c>
      <c r="I152" t="inlineStr">
        <is>
          <t>694baba01d450d00013662f0</t>
        </is>
      </c>
      <c r="J152" t="inlineStr">
        <is>
          <t/>
        </is>
      </c>
      <c r="K152" t="n">
        <v>0.0</v>
      </c>
      <c r="L152" t="n">
        <v>0.0</v>
      </c>
      <c r="M152" t="n">
        <v>10.0</v>
      </c>
      <c r="N152" t="inlineStr">
        <is>
          <t>0.05813953488372093</t>
        </is>
      </c>
      <c r="O152" t="n">
        <v>9.0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inlineStr">
        <is>
          <t/>
        </is>
      </c>
      <c r="X152" t="n">
        <v>0.0</v>
      </c>
      <c r="Y152" t="n">
        <v>0.0</v>
      </c>
      <c r="Z152" t="n">
        <v>1.0</v>
      </c>
      <c r="AA152" t="n">
        <v>0.0</v>
      </c>
      <c r="AB152" t="n">
        <v>0.0</v>
      </c>
      <c r="AC152" t="n">
        <v>0.0</v>
      </c>
      <c r="AD152" t="n">
        <v>172.0</v>
      </c>
      <c r="AE152" t="n">
        <v>2.0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10.982558139534884</v>
      </c>
      <c r="AL152" t="inlineStr">
        <is>
          <t/>
        </is>
      </c>
    </row>
    <row r="153">
      <c r="A153" t="inlineStr">
        <is>
          <t>凭一己之力带动整个办公室吃虾！</t>
        </is>
      </c>
      <c r="B153" t="inlineStr">
        <is>
          <t>69e77a6b000000001e00f094</t>
        </is>
      </c>
      <c r="C153" s="152" t="n">
        <f>HYPERLINK("https://www.xiaohongshu.com/explore/69e77a6b000000001e00f094?xsec_token=TBxJD1S06w8M0Ib6UdHEwWiNvcp-9unM43scrpwU0KfOs=&amp;xsec_source=pc_trdark","https://www.xiaohongshu.com/explore/69e77a6b000000001e00f094?xsec_token=TBxJD1S06w8M0Ib6UdHEwWiNvcp-9unM43scrpwU0KfOs=&amp;xsec_source=pc_trdark")</f>
        <v>0.0</v>
      </c>
      <c r="D153" t="inlineStr">
        <is>
          <t>菲菲上班吃什么</t>
        </is>
      </c>
      <c r="E153" t="inlineStr">
        <is>
          <t>49936530607</t>
        </is>
      </c>
      <c r="F153" t="inlineStr">
        <is>
          <t>2026-04-21 21:23:55</t>
        </is>
      </c>
      <c r="G153" t="inlineStr">
        <is>
          <t>图文</t>
        </is>
      </c>
      <c r="H153" t="inlineStr">
        <is>
          <t>手剥虾仁 无冰衣无添加 低脂餐一人食 上班带饭 顺丰包邮 5盒装</t>
        </is>
      </c>
      <c r="I153" t="inlineStr">
        <is>
          <t>694baba01d450d00013662f0</t>
        </is>
      </c>
      <c r="J153" t="inlineStr">
        <is>
          <t/>
        </is>
      </c>
      <c r="K153" t="n">
        <v>0.0</v>
      </c>
      <c r="L153" t="n">
        <v>0.0</v>
      </c>
      <c r="M153" t="n">
        <v>13.0</v>
      </c>
      <c r="N153" t="inlineStr">
        <is>
          <t>0.07602339181286549</t>
        </is>
      </c>
      <c r="O153" t="n">
        <v>11.0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inlineStr">
        <is>
          <t/>
        </is>
      </c>
      <c r="X153" t="n">
        <v>0.0</v>
      </c>
      <c r="Y153" t="n">
        <v>4.0</v>
      </c>
      <c r="Z153" t="n">
        <v>2.0</v>
      </c>
      <c r="AA153" t="n">
        <v>0.0</v>
      </c>
      <c r="AB153" t="n">
        <v>0.0</v>
      </c>
      <c r="AC153" t="n">
        <v>0.0</v>
      </c>
      <c r="AD153" t="n">
        <v>171.0</v>
      </c>
      <c r="AE153" t="n">
        <v>3.0</v>
      </c>
      <c r="AF153" t="n">
        <v>0.0</v>
      </c>
      <c r="AG153" t="n">
        <v>0.0</v>
      </c>
      <c r="AH153" t="n">
        <v>2.0</v>
      </c>
      <c r="AI153" t="n">
        <v>0.0</v>
      </c>
      <c r="AJ153" t="n">
        <v>0.0</v>
      </c>
      <c r="AK153" t="n">
        <v>11.292397660818713</v>
      </c>
      <c r="AL153" t="inlineStr">
        <is>
          <t/>
        </is>
      </c>
    </row>
    <row r="154">
      <c r="A154" t="inlineStr">
        <is>
          <t>我妈：你就卖300块一整条，总比卖不出去强</t>
        </is>
      </c>
      <c r="B154" t="inlineStr">
        <is>
          <t>69e71389000000002003aa4c</t>
        </is>
      </c>
      <c r="C154" s="153" t="n">
        <f>HYPERLINK("https://www.xiaohongshu.com/explore/69e71389000000002003aa4c?xsec_token=TBxJD1S06w8M0Ib6UdHEwWiI_sir0lCHof9S62RY2PvW0=&amp;xsec_source=pc_trdark","https://www.xiaohongshu.com/explore/69e71389000000002003aa4c?xsec_token=TBxJD1S06w8M0Ib6UdHEwWiI_sir0lCHof9S62RY2PvW0=&amp;xsec_source=pc_trdark")</f>
        <v>0.0</v>
      </c>
      <c r="D154" t="inlineStr">
        <is>
          <t>鲜水湾</t>
        </is>
      </c>
      <c r="E154" t="inlineStr">
        <is>
          <t>49316638994</t>
        </is>
      </c>
      <c r="F154" t="inlineStr">
        <is>
          <t>2026-04-21 14:04:57</t>
        </is>
      </c>
      <c r="G154" t="inlineStr">
        <is>
          <t>图文</t>
        </is>
      </c>
      <c r="H154" t="inlineStr">
        <is>
          <t>智利三文鱼切块·整条三文鱼·深海鱼一人食健康饮食</t>
        </is>
      </c>
      <c r="I154" t="inlineStr">
        <is>
          <t>691ac562a524ee0001b51d7b</t>
        </is>
      </c>
      <c r="J154" t="inlineStr">
        <is>
          <t/>
        </is>
      </c>
      <c r="K154" t="n">
        <v>0.0</v>
      </c>
      <c r="L154" t="n">
        <v>0.0</v>
      </c>
      <c r="M154" t="n">
        <v>29.0</v>
      </c>
      <c r="N154" t="n">
        <v>0.1695906432748538</v>
      </c>
      <c r="O154" t="n">
        <v>26.0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inlineStr">
        <is>
          <t/>
        </is>
      </c>
      <c r="X154" t="n">
        <v>0.0</v>
      </c>
      <c r="Y154" t="n">
        <v>8.0</v>
      </c>
      <c r="Z154" t="n">
        <v>7.0</v>
      </c>
      <c r="AA154" t="n">
        <v>0.0</v>
      </c>
      <c r="AB154" t="n">
        <v>0.0</v>
      </c>
      <c r="AC154" t="n">
        <v>0.0</v>
      </c>
      <c r="AD154" t="n">
        <v>171.0</v>
      </c>
      <c r="AE154" t="n">
        <v>2.0</v>
      </c>
      <c r="AF154" t="n">
        <v>1.0</v>
      </c>
      <c r="AG154" t="n">
        <v>0.0</v>
      </c>
      <c r="AH154" t="n">
        <v>2.0</v>
      </c>
      <c r="AI154" t="n">
        <v>1.0</v>
      </c>
      <c r="AJ154" t="n">
        <v>0.0</v>
      </c>
      <c r="AK154" t="n">
        <v>20.403508771929825</v>
      </c>
      <c r="AL154" t="inlineStr">
        <is>
          <t/>
        </is>
      </c>
    </row>
    <row r="155">
      <c r="A155" t="inlineStr">
        <is>
          <t>奉劝现在的年轻人不要低估了300块的购买力</t>
        </is>
      </c>
      <c r="B155" t="inlineStr">
        <is>
          <t>69cb66cb000000002301e83e</t>
        </is>
      </c>
      <c r="C155" s="154" t="n">
        <f>HYPERLINK("https://www.xiaohongshu.com/explore/69cb66cb000000002301e83e?xsec_token=TBNvk7eB588c7ey-qUUMF7OcS_34viNJs3ybS2LcMYE_U=&amp;xsec_source=pc_trdark","https://www.xiaohongshu.com/explore/69cb66cb000000002301e83e?xsec_token=TBNvk7eB588c7ey-qUUMF7OcS_34viNJs3ybS2LcMYE_U=&amp;xsec_source=pc_trdark")</f>
        <v>0.0</v>
      </c>
      <c r="D155" t="inlineStr">
        <is>
          <t>婉婉上班吃什么</t>
        </is>
      </c>
      <c r="E155" t="inlineStr">
        <is>
          <t>11434449706</t>
        </is>
      </c>
      <c r="F155" t="inlineStr">
        <is>
          <t>2026-03-31 14:16:43</t>
        </is>
      </c>
      <c r="G155" t="inlineStr">
        <is>
          <t>图文</t>
        </is>
      </c>
      <c r="H155" t="inlineStr">
        <is>
          <t>智利三文鱼切块·整条三文鱼·深海鱼一人食健康饮食</t>
        </is>
      </c>
      <c r="I155" t="inlineStr">
        <is>
          <t>691ac562a524ee0001b51d7b</t>
        </is>
      </c>
      <c r="J155" t="inlineStr">
        <is>
          <t/>
        </is>
      </c>
      <c r="K155" t="n">
        <v>0.0</v>
      </c>
      <c r="L155" t="n">
        <v>0.0</v>
      </c>
      <c r="M155" t="n">
        <v>30.0</v>
      </c>
      <c r="N155" t="inlineStr">
        <is>
          <t>0.17543859649122806</t>
        </is>
      </c>
      <c r="O155" t="n">
        <v>28.0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inlineStr">
        <is>
          <t/>
        </is>
      </c>
      <c r="X155" t="n">
        <v>0.0</v>
      </c>
      <c r="Y155" t="n">
        <v>5.0</v>
      </c>
      <c r="Z155" t="n">
        <v>9.0</v>
      </c>
      <c r="AA155" t="n">
        <v>0.0</v>
      </c>
      <c r="AB155" t="n">
        <v>0.0</v>
      </c>
      <c r="AC155" t="n">
        <v>0.0</v>
      </c>
      <c r="AD155" t="n">
        <v>171.0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18.093567251461987</v>
      </c>
      <c r="AL155" t="inlineStr">
        <is>
          <t/>
        </is>
      </c>
    </row>
    <row r="156">
      <c r="A156" t="inlineStr">
        <is>
          <t>说一个撑死人但热量很低的东西</t>
        </is>
      </c>
      <c r="B156" t="inlineStr">
        <is>
          <t>69d21db6000000001f0028c0</t>
        </is>
      </c>
      <c r="C156" s="155" t="n">
        <f>HYPERLINK("https://www.xiaohongshu.com/explore/69d21db6000000001f0028c0?xsec_token=TBNrOxL8mRPP3W5KJU-iYJr5QJPbVonBFz7e3ktEJNAn4=&amp;xsec_source=pc_trdark","https://www.xiaohongshu.com/explore/69d21db6000000001f0028c0?xsec_token=TBNrOxL8mRPP3W5KJU-iYJr5QJPbVonBFz7e3ktEJNAn4=&amp;xsec_source=pc_trdark")</f>
        <v>0.0</v>
      </c>
      <c r="D156" t="inlineStr">
        <is>
          <t>菲菲上班吃什么</t>
        </is>
      </c>
      <c r="E156" t="inlineStr">
        <is>
          <t>49936530607</t>
        </is>
      </c>
      <c r="F156" t="inlineStr">
        <is>
          <t>2026-04-05 16:30:46</t>
        </is>
      </c>
      <c r="G156" t="inlineStr">
        <is>
          <t>图文</t>
        </is>
      </c>
      <c r="H156" t="inlineStr">
        <is>
          <t>手剥虾仁 无冰衣无添加 低脂餐一人食 上班带饭 顺丰包邮 5盒装</t>
        </is>
      </c>
      <c r="I156" t="inlineStr">
        <is>
          <t>694baba01d450d00013662f0</t>
        </is>
      </c>
      <c r="J156" t="inlineStr">
        <is>
          <t/>
        </is>
      </c>
      <c r="K156" t="n">
        <v>0.0</v>
      </c>
      <c r="L156" t="n">
        <v>0.0</v>
      </c>
      <c r="M156" t="n">
        <v>5.0</v>
      </c>
      <c r="N156" t="inlineStr">
        <is>
          <t>0.029411764705882353</t>
        </is>
      </c>
      <c r="O156" t="n">
        <v>5.0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inlineStr">
        <is>
          <t/>
        </is>
      </c>
      <c r="X156" t="n">
        <v>0.0</v>
      </c>
      <c r="Y156" t="n">
        <v>2.0</v>
      </c>
      <c r="Z156" t="n">
        <v>2.0</v>
      </c>
      <c r="AA156" t="n">
        <v>0.0</v>
      </c>
      <c r="AB156" t="n">
        <v>0.0</v>
      </c>
      <c r="AC156" t="n">
        <v>0.0</v>
      </c>
      <c r="AD156" t="n">
        <v>170.0</v>
      </c>
      <c r="AE156" t="n">
        <v>1.0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9.770588235294118</v>
      </c>
      <c r="AL156" t="inlineStr">
        <is>
          <t/>
        </is>
      </c>
    </row>
    <row r="157">
      <c r="A157" t="inlineStr">
        <is>
          <t>以为300多没多少，结果把整条三文鱼发来了</t>
        </is>
      </c>
      <c r="B157" t="inlineStr">
        <is>
          <t>69ca9180000000001f0062ef</t>
        </is>
      </c>
      <c r="C157" s="156" t="n">
        <f>HYPERLINK("https://www.xiaohongshu.com/explore/69ca9180000000001f0062ef?xsec_token=TBZMwIQ43aS0K0DsaEHGlBqn0EtkL28aeZ5-wVlTeBLbI=&amp;xsec_source=pc_trdark","https://www.xiaohongshu.com/explore/69ca9180000000001f0062ef?xsec_token=TBZMwIQ43aS0K0DsaEHGlBqn0EtkL28aeZ5-wVlTeBLbI=&amp;xsec_source=pc_trdark")</f>
        <v>0.0</v>
      </c>
      <c r="D157" t="inlineStr">
        <is>
          <t>菲菲上班吃什么</t>
        </is>
      </c>
      <c r="E157" t="inlineStr">
        <is>
          <t>49936530607</t>
        </is>
      </c>
      <c r="F157" t="inlineStr">
        <is>
          <t>2026-03-30 23:06:40</t>
        </is>
      </c>
      <c r="G157" t="inlineStr">
        <is>
          <t>图文</t>
        </is>
      </c>
      <c r="H157" t="inlineStr">
        <is>
          <t>智利三文鱼切块·整条三文鱼·深海鱼一人食健康饮食</t>
        </is>
      </c>
      <c r="I157" t="inlineStr">
        <is>
          <t>691ac562a524ee0001b51d7b</t>
        </is>
      </c>
      <c r="J157" t="inlineStr">
        <is>
          <t/>
        </is>
      </c>
      <c r="K157" t="n">
        <v>363.0</v>
      </c>
      <c r="L157" t="n">
        <v>1.0</v>
      </c>
      <c r="M157" t="n">
        <v>41.0</v>
      </c>
      <c r="N157" t="n">
        <v>0.2411764705882353</v>
      </c>
      <c r="O157" t="n">
        <v>37.0</v>
      </c>
      <c r="P157" t="n">
        <v>1.0</v>
      </c>
      <c r="Q157" t="inlineStr">
        <is>
          <t>0.024390243902439025</t>
        </is>
      </c>
      <c r="R157" t="inlineStr">
        <is>
          <t>0.02702702702702703</t>
        </is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8.0</v>
      </c>
      <c r="Z157" t="n">
        <v>8.0</v>
      </c>
      <c r="AA157" t="n">
        <v>0.0</v>
      </c>
      <c r="AB157" t="n">
        <v>0.0</v>
      </c>
      <c r="AC157" t="n">
        <v>0.0</v>
      </c>
      <c r="AD157" t="n">
        <v>170.0</v>
      </c>
      <c r="AE157" t="n">
        <v>1.0</v>
      </c>
      <c r="AF157" t="n">
        <v>2.0</v>
      </c>
      <c r="AG157" t="n">
        <v>1.0</v>
      </c>
      <c r="AH157" t="n">
        <v>1.0</v>
      </c>
      <c r="AI157" t="n">
        <v>0.0</v>
      </c>
      <c r="AJ157" t="n">
        <v>0.0</v>
      </c>
      <c r="AK157" t="n">
        <v>11.647058823529411</v>
      </c>
      <c r="AL157" t="inlineStr">
        <is>
          <t/>
        </is>
      </c>
    </row>
    <row r="158">
      <c r="A158" t="inlineStr">
        <is>
          <t>我宣布！三文鱼就是管理期的神！</t>
        </is>
      </c>
      <c r="B158" t="inlineStr">
        <is>
          <t>69eb0bf2000000002202b6e5</t>
        </is>
      </c>
      <c r="C158" s="157" t="n">
        <f>HYPERLINK("https://www.xiaohongshu.com/explore/69eb0bf2000000002202b6e5?xsec_token=TBKYxphePGFVFgSUNcsuIbTWv9xnQnVUr_kn5_CQp-nVU=&amp;xsec_source=pc_trdark","https://www.xiaohongshu.com/explore/69eb0bf2000000002202b6e5?xsec_token=TBKYxphePGFVFgSUNcsuIbTWv9xnQnVUr_kn5_CQp-nVU=&amp;xsec_source=pc_trdark")</f>
        <v>0.0</v>
      </c>
      <c r="D158" t="inlineStr">
        <is>
          <t>婉婉上班吃什么</t>
        </is>
      </c>
      <c r="E158" t="inlineStr">
        <is>
          <t>11434449706</t>
        </is>
      </c>
      <c r="F158" t="inlineStr">
        <is>
          <t>2026-04-24 14:21:38</t>
        </is>
      </c>
      <c r="G158" t="inlineStr">
        <is>
          <t>图文</t>
        </is>
      </c>
      <c r="H158" t="inlineStr">
        <is>
          <t>智利三文鱼切块·整条三文鱼·深海鱼一人食健康饮食</t>
        </is>
      </c>
      <c r="I158" t="inlineStr">
        <is>
          <t>691ac562a524ee0001b51d7b</t>
        </is>
      </c>
      <c r="J158" t="inlineStr">
        <is>
          <t/>
        </is>
      </c>
      <c r="K158" t="n">
        <v>0.0</v>
      </c>
      <c r="L158" t="n">
        <v>0.0</v>
      </c>
      <c r="M158" t="n">
        <v>11.0</v>
      </c>
      <c r="N158" t="inlineStr">
        <is>
          <t>0.06666666666666667</t>
        </is>
      </c>
      <c r="O158" t="n">
        <v>10.0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inlineStr">
        <is>
          <t/>
        </is>
      </c>
      <c r="X158" t="n">
        <v>0.0</v>
      </c>
      <c r="Y158" t="n">
        <v>1.0</v>
      </c>
      <c r="Z158" t="n">
        <v>2.0</v>
      </c>
      <c r="AA158" t="n">
        <v>0.0</v>
      </c>
      <c r="AB158" t="n">
        <v>0.0</v>
      </c>
      <c r="AC158" t="n">
        <v>0.0</v>
      </c>
      <c r="AD158" t="n">
        <v>165.0</v>
      </c>
      <c r="AE158" t="n">
        <v>1.0</v>
      </c>
      <c r="AF158" t="n">
        <v>1.0</v>
      </c>
      <c r="AG158" t="n">
        <v>0.0</v>
      </c>
      <c r="AH158" t="n">
        <v>1.0</v>
      </c>
      <c r="AI158" t="n">
        <v>0.0</v>
      </c>
      <c r="AJ158" t="n">
        <v>0.0</v>
      </c>
      <c r="AK158" t="n">
        <v>11.006060606060606</v>
      </c>
      <c r="AL158" t="inlineStr">
        <is>
          <t/>
        </is>
      </c>
    </row>
    <row r="159">
      <c r="A159" t="inlineStr">
        <is>
          <t>夏天快来了，我决定花100多吃半个月减脂餐</t>
        </is>
      </c>
      <c r="B159" t="inlineStr">
        <is>
          <t>69f0b1ba0000000035028de2</t>
        </is>
      </c>
      <c r="C159" s="158" t="n">
        <f>HYPERLINK("https://www.xiaohongshu.com/explore/69f0b1ba0000000035028de2?xsec_token=TBvHxiGmj2CedfPdQHdLJBmNjARiisTAol7MJL84moc14=&amp;xsec_source=pc_trdark","https://www.xiaohongshu.com/explore/69f0b1ba0000000035028de2?xsec_token=TBvHxiGmj2CedfPdQHdLJBmNjARiisTAol7MJL84moc14=&amp;xsec_source=pc_trdark")</f>
        <v>0.0</v>
      </c>
      <c r="D159" t="inlineStr">
        <is>
          <t>鲜水湾甄选</t>
        </is>
      </c>
      <c r="E159" t="inlineStr">
        <is>
          <t>27401929161</t>
        </is>
      </c>
      <c r="F159" t="inlineStr">
        <is>
          <t>2026-04-28 21:10:18</t>
        </is>
      </c>
      <c r="G159" t="inlineStr">
        <is>
          <t>图文</t>
        </is>
      </c>
      <c r="H159" t="inlineStr">
        <is>
          <t>手剥虾仁 无冰衣无添加 低脂餐一人食 上班带饭 顺丰包邮 5盒装</t>
        </is>
      </c>
      <c r="I159" t="inlineStr">
        <is>
          <t>694baba01d450d00013662f0</t>
        </is>
      </c>
      <c r="J159" t="inlineStr">
        <is>
          <t/>
        </is>
      </c>
      <c r="K159" t="n">
        <v>0.0</v>
      </c>
      <c r="L159" t="n">
        <v>0.0</v>
      </c>
      <c r="M159" t="n">
        <v>19.0</v>
      </c>
      <c r="N159" t="inlineStr">
        <is>
          <t>0.11585365853658537</t>
        </is>
      </c>
      <c r="O159" t="n">
        <v>17.0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inlineStr">
        <is>
          <t/>
        </is>
      </c>
      <c r="X159" t="n">
        <v>0.0</v>
      </c>
      <c r="Y159" t="n">
        <v>3.0</v>
      </c>
      <c r="Z159" t="n">
        <v>4.0</v>
      </c>
      <c r="AA159" t="n">
        <v>0.0</v>
      </c>
      <c r="AB159" t="n">
        <v>0.0</v>
      </c>
      <c r="AC159" t="n">
        <v>0.0</v>
      </c>
      <c r="AD159" t="n">
        <v>164.0</v>
      </c>
      <c r="AE159" t="n">
        <v>0.0</v>
      </c>
      <c r="AF159" t="n">
        <v>0.0</v>
      </c>
      <c r="AG159" t="n">
        <v>0.0</v>
      </c>
      <c r="AH159" t="n">
        <v>1.0</v>
      </c>
      <c r="AI159" t="n">
        <v>0.0</v>
      </c>
      <c r="AJ159" t="n">
        <v>0.0</v>
      </c>
      <c r="AK159" t="n">
        <v>12.628048780487806</v>
      </c>
      <c r="AL159" t="inlineStr">
        <is>
          <t/>
        </is>
      </c>
    </row>
    <row r="160">
      <c r="A160" t="inlineStr">
        <is>
          <t>上班带饭真的很省钱……</t>
        </is>
      </c>
      <c r="B160" t="inlineStr">
        <is>
          <t>69ef13e0000000002202a49b</t>
        </is>
      </c>
      <c r="C160" s="159" t="n">
        <f>HYPERLINK("https://www.xiaohongshu.com/explore/69ef13e0000000002202a49b?xsec_token=TB8YlxxIf2o_Xr_LAif13-vFHEedhAgopoffHHef_l8bs=&amp;xsec_source=pc_trdark","https://www.xiaohongshu.com/explore/69ef13e0000000002202a49b?xsec_token=TB8YlxxIf2o_Xr_LAif13-vFHEedhAgopoffHHef_l8bs=&amp;xsec_source=pc_trdark")</f>
        <v>0.0</v>
      </c>
      <c r="D160" t="inlineStr">
        <is>
          <t>菲菲上班吃什么</t>
        </is>
      </c>
      <c r="E160" t="inlineStr">
        <is>
          <t>49936530607</t>
        </is>
      </c>
      <c r="F160" t="inlineStr">
        <is>
          <t>2026-04-27 15:44:32</t>
        </is>
      </c>
      <c r="G160" t="inlineStr">
        <is>
          <t>视频</t>
        </is>
      </c>
      <c r="H160" t="inlineStr">
        <is>
          <t>手剥虾仁 无冰衣无添加 低脂餐一人食 上班带饭 顺丰包邮 5盒装</t>
        </is>
      </c>
      <c r="I160" t="inlineStr">
        <is>
          <t>694baba01d450d00013662f0</t>
        </is>
      </c>
      <c r="J160" t="n">
        <v>26.0</v>
      </c>
      <c r="K160" t="n">
        <v>128.0</v>
      </c>
      <c r="L160" t="n">
        <v>1.0</v>
      </c>
      <c r="M160" t="n">
        <v>7.0</v>
      </c>
      <c r="N160" t="inlineStr">
        <is>
          <t>0.043478260869565216</t>
        </is>
      </c>
      <c r="O160" t="n">
        <v>6.0</v>
      </c>
      <c r="P160" t="n">
        <v>1.0</v>
      </c>
      <c r="Q160" t="inlineStr">
        <is>
          <t>0.14285714285714285</t>
        </is>
      </c>
      <c r="R160" t="inlineStr">
        <is>
          <t>0.16666666666666666</t>
        </is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3.0</v>
      </c>
      <c r="AA160" t="n">
        <v>0.0</v>
      </c>
      <c r="AB160" t="n">
        <v>0.0</v>
      </c>
      <c r="AC160" t="n">
        <v>0.0</v>
      </c>
      <c r="AD160" t="n">
        <v>161.0</v>
      </c>
      <c r="AE160" t="n">
        <v>3.0</v>
      </c>
      <c r="AF160" t="n">
        <v>2.0</v>
      </c>
      <c r="AG160" t="n">
        <v>0.0</v>
      </c>
      <c r="AH160" t="n">
        <v>1.0</v>
      </c>
      <c r="AI160" t="n">
        <v>0.0</v>
      </c>
      <c r="AJ160" t="n">
        <v>0.0</v>
      </c>
      <c r="AK160" t="n">
        <v>8.79503105590062</v>
      </c>
      <c r="AL160" t="inlineStr">
        <is>
          <t>0.13793103448275862</t>
        </is>
      </c>
    </row>
    <row r="161">
      <c r="A161" t="inlineStr">
        <is>
          <t>果然，香煎三文鱼只有0次和无数次！</t>
        </is>
      </c>
      <c r="B161" t="inlineStr">
        <is>
          <t>69ccac3b0000000023020b83</t>
        </is>
      </c>
      <c r="C161" s="160" t="n">
        <f>HYPERLINK("https://www.xiaohongshu.com/explore/69ccac3b0000000023020b83?xsec_token=TBmwaR-CbxUmnLfgemf1f-go-qfnUSyEt7j3PVkWbGrTU=&amp;xsec_source=pc_trdark","https://www.xiaohongshu.com/explore/69ccac3b0000000023020b83?xsec_token=TBmwaR-CbxUmnLfgemf1f-go-qfnUSyEt7j3PVkWbGrTU=&amp;xsec_source=pc_trdark")</f>
        <v>0.0</v>
      </c>
      <c r="D161" t="inlineStr">
        <is>
          <t>鲜水湾甄选</t>
        </is>
      </c>
      <c r="E161" t="inlineStr">
        <is>
          <t>27401929161</t>
        </is>
      </c>
      <c r="F161" t="inlineStr">
        <is>
          <t>2026-04-01 13:25:16</t>
        </is>
      </c>
      <c r="G161" t="inlineStr">
        <is>
          <t>图文</t>
        </is>
      </c>
      <c r="H161" t="inlineStr">
        <is>
          <t>智利三文鱼切块·整条三文鱼·深海鱼一人食健康饮食</t>
        </is>
      </c>
      <c r="I161" t="inlineStr">
        <is>
          <t>691ac562a524ee0001b51d7b</t>
        </is>
      </c>
      <c r="J161" t="inlineStr">
        <is>
          <t/>
        </is>
      </c>
      <c r="K161" t="n">
        <v>0.0</v>
      </c>
      <c r="L161" t="n">
        <v>0.0</v>
      </c>
      <c r="M161" t="n">
        <v>38.0</v>
      </c>
      <c r="N161" t="n">
        <v>0.2360248447204969</v>
      </c>
      <c r="O161" t="n">
        <v>33.0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inlineStr">
        <is>
          <t/>
        </is>
      </c>
      <c r="X161" t="n">
        <v>0.0</v>
      </c>
      <c r="Y161" t="n">
        <v>6.0</v>
      </c>
      <c r="Z161" t="n">
        <v>5.0</v>
      </c>
      <c r="AA161" t="n">
        <v>0.0</v>
      </c>
      <c r="AB161" t="n">
        <v>0.0</v>
      </c>
      <c r="AC161" t="n">
        <v>0.0</v>
      </c>
      <c r="AD161" t="n">
        <v>161.0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17.565217391304348</v>
      </c>
      <c r="AL161" t="inlineStr">
        <is>
          <t/>
        </is>
      </c>
    </row>
    <row r="162">
      <c r="A162" t="inlineStr">
        <is>
          <t>不是？昨天吃虾仁今天直接掉了快两斤！</t>
        </is>
      </c>
      <c r="B162" t="inlineStr">
        <is>
          <t>69bdfd49000000001a02f24c</t>
        </is>
      </c>
      <c r="C162" s="161" t="n">
        <f>HYPERLINK("https://www.xiaohongshu.com/explore/69bdfd49000000001a02f24c?xsec_token=TBRwbx0S6Y78qN5wWC1_PyBB0ikpbUAyfh-wmaMJ6rb20=&amp;xsec_source=pc_trdark","https://www.xiaohongshu.com/explore/69bdfd49000000001a02f24c?xsec_token=TBRwbx0S6Y78qN5wWC1_PyBB0ikpbUAyfh-wmaMJ6rb20=&amp;xsec_source=pc_trdark")</f>
        <v>0.0</v>
      </c>
      <c r="D162" t="inlineStr">
        <is>
          <t>菲菲上班吃什么</t>
        </is>
      </c>
      <c r="E162" t="inlineStr">
        <is>
          <t>49936530607</t>
        </is>
      </c>
      <c r="F162" t="inlineStr">
        <is>
          <t>2026-03-21 10:07:05</t>
        </is>
      </c>
      <c r="G162" t="inlineStr">
        <is>
          <t>图文</t>
        </is>
      </c>
      <c r="H162" t="inlineStr">
        <is>
          <t>手剥虾仁 无冰衣无添加 低脂餐一人食 上班带饭 顺丰包邮 5盒装</t>
        </is>
      </c>
      <c r="I162" t="inlineStr">
        <is>
          <t>694baba01d450d00013662f0</t>
        </is>
      </c>
      <c r="J162" t="inlineStr">
        <is>
          <t/>
        </is>
      </c>
      <c r="K162" t="n">
        <v>0.0</v>
      </c>
      <c r="L162" t="n">
        <v>0.0</v>
      </c>
      <c r="M162" t="n">
        <v>3.0</v>
      </c>
      <c r="N162" t="n">
        <v>0.01875</v>
      </c>
      <c r="O162" t="n">
        <v>3.0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inlineStr">
        <is>
          <t/>
        </is>
      </c>
      <c r="X162" t="n">
        <v>0.0</v>
      </c>
      <c r="Y162" t="n">
        <v>3.0</v>
      </c>
      <c r="Z162" t="n">
        <v>2.0</v>
      </c>
      <c r="AA162" t="n">
        <v>0.0</v>
      </c>
      <c r="AB162" t="n">
        <v>0.0</v>
      </c>
      <c r="AC162" t="n">
        <v>0.0</v>
      </c>
      <c r="AD162" t="n">
        <v>160.0</v>
      </c>
      <c r="AE162" t="n">
        <v>2.0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12.3875</v>
      </c>
      <c r="AL162" t="inlineStr">
        <is>
          <t/>
        </is>
      </c>
    </row>
    <row r="163">
      <c r="A163" t="inlineStr">
        <is>
          <t>听劝！不吃晚饭真的会稳稳反弹</t>
        </is>
      </c>
      <c r="B163" t="inlineStr">
        <is>
          <t>69bdf758000000001f004836</t>
        </is>
      </c>
      <c r="C163" s="162" t="n">
        <f>HYPERLINK("https://www.xiaohongshu.com/explore/69bdf758000000001f004836?xsec_token=TBRwbx0S6Y78qN5wWC1_PyBCQJvx4Waifepj2V-Bu94KA=&amp;xsec_source=pc_trdark","https://www.xiaohongshu.com/explore/69bdf758000000001f004836?xsec_token=TBRwbx0S6Y78qN5wWC1_PyBCQJvx4Waifepj2V-Bu94KA=&amp;xsec_source=pc_trdark")</f>
        <v>0.0</v>
      </c>
      <c r="D163" t="inlineStr">
        <is>
          <t>婉婉上班吃什么</t>
        </is>
      </c>
      <c r="E163" t="inlineStr">
        <is>
          <t>11434449706</t>
        </is>
      </c>
      <c r="F163" t="inlineStr">
        <is>
          <t>2026-03-21 09:41:44</t>
        </is>
      </c>
      <c r="G163" t="inlineStr">
        <is>
          <t>图文</t>
        </is>
      </c>
      <c r="H163" t="inlineStr">
        <is>
          <t>手剥虾仁 无冰衣无添加 低脂餐一人食 上班带饭 顺丰包邮 5盒装</t>
        </is>
      </c>
      <c r="I163" t="inlineStr">
        <is>
          <t>694baba01d450d00013662f0</t>
        </is>
      </c>
      <c r="J163" t="inlineStr">
        <is>
          <t/>
        </is>
      </c>
      <c r="K163" t="n">
        <v>0.0</v>
      </c>
      <c r="L163" t="n">
        <v>0.0</v>
      </c>
      <c r="M163" t="n">
        <v>4.0</v>
      </c>
      <c r="N163" t="inlineStr">
        <is>
          <t>0.025974025974025976</t>
        </is>
      </c>
      <c r="O163" t="n">
        <v>3.0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inlineStr">
        <is>
          <t/>
        </is>
      </c>
      <c r="X163" t="n">
        <v>0.0</v>
      </c>
      <c r="Y163" t="n">
        <v>2.0</v>
      </c>
      <c r="Z163" t="n">
        <v>5.0</v>
      </c>
      <c r="AA163" t="n">
        <v>0.0</v>
      </c>
      <c r="AB163" t="n">
        <v>0.0</v>
      </c>
      <c r="AC163" t="n">
        <v>0.0</v>
      </c>
      <c r="AD163" t="n">
        <v>154.0</v>
      </c>
      <c r="AE163" t="n">
        <v>0.0</v>
      </c>
      <c r="AF163" t="n">
        <v>0.0</v>
      </c>
      <c r="AG163" t="n">
        <v>0.0</v>
      </c>
      <c r="AH163" t="n">
        <v>1.0</v>
      </c>
      <c r="AI163" t="n">
        <v>0.0</v>
      </c>
      <c r="AJ163" t="n">
        <v>0.0</v>
      </c>
      <c r="AK163" t="n">
        <v>9.785714285714286</v>
      </c>
      <c r="AL163" t="inlineStr">
        <is>
          <t/>
        </is>
      </c>
    </row>
    <row r="164">
      <c r="A164" t="inlineStr">
        <is>
          <t>3斤虾才能剥1斤虾仁，真别算不过账！</t>
        </is>
      </c>
      <c r="B164" t="inlineStr">
        <is>
          <t>69dbbec00000000023004cf2</t>
        </is>
      </c>
      <c r="C164" s="163" t="n">
        <f>HYPERLINK("https://www.xiaohongshu.com/explore/69dbbec00000000023004cf2?xsec_token=TBv7n0Oy0CPbFvgz473v78kTXc5cO9Pt8WCz12tSnp-LI=&amp;xsec_source=pc_trdark","https://www.xiaohongshu.com/explore/69dbbec00000000023004cf2?xsec_token=TBv7n0Oy0CPbFvgz473v78kTXc5cO9Pt8WCz12tSnp-LI=&amp;xsec_source=pc_trdark")</f>
        <v>0.0</v>
      </c>
      <c r="D164" t="inlineStr">
        <is>
          <t>鲜水湾</t>
        </is>
      </c>
      <c r="E164" t="inlineStr">
        <is>
          <t>49316638994</t>
        </is>
      </c>
      <c r="F164" t="inlineStr">
        <is>
          <t>2026-04-12 23:48:16</t>
        </is>
      </c>
      <c r="G164" t="inlineStr">
        <is>
          <t>图文</t>
        </is>
      </c>
      <c r="H164" t="inlineStr">
        <is>
          <t>手剥虾仁 无冰衣无添加 低脂餐一人食 上班带饭 顺丰包邮 5盒装</t>
        </is>
      </c>
      <c r="I164" t="inlineStr">
        <is>
          <t>694baba01d450d00013662f0</t>
        </is>
      </c>
      <c r="J164" t="inlineStr">
        <is>
          <t/>
        </is>
      </c>
      <c r="K164" t="n">
        <v>0.0</v>
      </c>
      <c r="L164" t="n">
        <v>0.0</v>
      </c>
      <c r="M164" t="n">
        <v>25.0</v>
      </c>
      <c r="N164" t="inlineStr">
        <is>
          <t>0.16447368421052633</t>
        </is>
      </c>
      <c r="O164" t="n">
        <v>21.0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inlineStr">
        <is>
          <t/>
        </is>
      </c>
      <c r="X164" t="n">
        <v>0.0</v>
      </c>
      <c r="Y164" t="n">
        <v>5.0</v>
      </c>
      <c r="Z164" t="n">
        <v>4.0</v>
      </c>
      <c r="AA164" t="n">
        <v>0.0</v>
      </c>
      <c r="AB164" t="n">
        <v>0.0</v>
      </c>
      <c r="AC164" t="n">
        <v>0.0</v>
      </c>
      <c r="AD164" t="n">
        <v>152.0</v>
      </c>
      <c r="AE164" t="n">
        <v>1.0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14.092105263157896</v>
      </c>
      <c r="AL164" t="inlineStr">
        <is>
          <t/>
        </is>
      </c>
    </row>
    <row r="165">
      <c r="A165" t="inlineStr">
        <is>
          <t>直观展示一下100多块钱的购买力！</t>
        </is>
      </c>
      <c r="B165" t="inlineStr">
        <is>
          <t>69e86bd700000000230178ca</t>
        </is>
      </c>
      <c r="C165" s="164" t="n">
        <f>HYPERLINK("https://www.xiaohongshu.com/explore/69e86bd700000000230178ca?xsec_token=TBrsJGfbmdICsvnXoyd4QdRjLrbV8co8irw9YVXtRSaSQ=&amp;xsec_source=pc_trdark","https://www.xiaohongshu.com/explore/69e86bd700000000230178ca?xsec_token=TBrsJGfbmdICsvnXoyd4QdRjLrbV8co8irw9YVXtRSaSQ=&amp;xsec_source=pc_trdark")</f>
        <v>0.0</v>
      </c>
      <c r="D165" t="inlineStr">
        <is>
          <t>菲菲上班吃什么</t>
        </is>
      </c>
      <c r="E165" t="inlineStr">
        <is>
          <t>49936530607</t>
        </is>
      </c>
      <c r="F165" t="inlineStr">
        <is>
          <t>2026-04-22 18:30:00</t>
        </is>
      </c>
      <c r="G165" t="inlineStr">
        <is>
          <t>图文</t>
        </is>
      </c>
      <c r="H165" t="inlineStr">
        <is>
          <t>手剥虾仁 无冰衣无添加 低脂餐一人食 上班带饭 顺丰包邮 5盒装</t>
        </is>
      </c>
      <c r="I165" t="inlineStr">
        <is>
          <t>694baba01d450d00013662f0</t>
        </is>
      </c>
      <c r="J165" t="inlineStr">
        <is>
          <t/>
        </is>
      </c>
      <c r="K165" t="n">
        <v>0.0</v>
      </c>
      <c r="L165" t="n">
        <v>0.0</v>
      </c>
      <c r="M165" t="n">
        <v>25.0</v>
      </c>
      <c r="N165" t="inlineStr">
        <is>
          <t>0.16778523489932887</t>
        </is>
      </c>
      <c r="O165" t="n">
        <v>21.0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inlineStr">
        <is>
          <t/>
        </is>
      </c>
      <c r="X165" t="n">
        <v>0.0</v>
      </c>
      <c r="Y165" t="n">
        <v>9.0</v>
      </c>
      <c r="Z165" t="n">
        <v>4.0</v>
      </c>
      <c r="AA165" t="n">
        <v>0.0</v>
      </c>
      <c r="AB165" t="n">
        <v>0.0</v>
      </c>
      <c r="AC165" t="n">
        <v>0.0</v>
      </c>
      <c r="AD165" t="n">
        <v>149.0</v>
      </c>
      <c r="AE165" t="n">
        <v>3.0</v>
      </c>
      <c r="AF165" t="n">
        <v>0.0</v>
      </c>
      <c r="AG165" t="n">
        <v>0.0</v>
      </c>
      <c r="AH165" t="n">
        <v>1.0</v>
      </c>
      <c r="AI165" t="n">
        <v>0.0</v>
      </c>
      <c r="AJ165" t="n">
        <v>0.0</v>
      </c>
      <c r="AK165" t="n">
        <v>13.275167785234899</v>
      </c>
      <c r="AL165" t="inlineStr">
        <is>
          <t/>
        </is>
      </c>
    </row>
    <row r="166">
      <c r="A166" t="inlineStr">
        <is>
          <t>跟着橙姐做的白汁虾仁意面，香到光盘！</t>
        </is>
      </c>
      <c r="B166" t="inlineStr">
        <is>
          <t>69d61f31000000001e00d3c3</t>
        </is>
      </c>
      <c r="C166" s="165" t="n">
        <f>HYPERLINK("https://www.xiaohongshu.com/explore/69d61f31000000001e00d3c3?xsec_token=TBvBxKrH7kcVQkSA7MMxNJOZXbhNzWUEP_0VfWMLbFLAA=&amp;xsec_source=pc_trdark","https://www.xiaohongshu.com/explore/69d61f31000000001e00d3c3?xsec_token=TBvBxKrH7kcVQkSA7MMxNJOZXbhNzWUEP_0VfWMLbFLAA=&amp;xsec_source=pc_trdark")</f>
        <v>0.0</v>
      </c>
      <c r="D166" t="inlineStr">
        <is>
          <t>菲菲上班吃什么</t>
        </is>
      </c>
      <c r="E166" t="inlineStr">
        <is>
          <t>49936530607</t>
        </is>
      </c>
      <c r="F166" t="inlineStr">
        <is>
          <t>2026-04-08 17:26:09</t>
        </is>
      </c>
      <c r="G166" t="inlineStr">
        <is>
          <t>图文</t>
        </is>
      </c>
      <c r="H166" t="inlineStr">
        <is>
          <t>手剥虾仁 无冰衣无添加 低脂餐一人食 上班带饭 顺丰包邮 5盒装</t>
        </is>
      </c>
      <c r="I166" t="inlineStr">
        <is>
          <t>694baba01d450d00013662f0</t>
        </is>
      </c>
      <c r="J166" t="inlineStr">
        <is>
          <t/>
        </is>
      </c>
      <c r="K166" t="n">
        <v>0.0</v>
      </c>
      <c r="L166" t="n">
        <v>0.0</v>
      </c>
      <c r="M166" t="n">
        <v>10.0</v>
      </c>
      <c r="N166" t="inlineStr">
        <is>
          <t>0.06756756756756757</t>
        </is>
      </c>
      <c r="O166" t="n">
        <v>7.0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inlineStr">
        <is>
          <t/>
        </is>
      </c>
      <c r="X166" t="n">
        <v>0.0</v>
      </c>
      <c r="Y166" t="n">
        <v>1.0</v>
      </c>
      <c r="Z166" t="n">
        <v>6.0</v>
      </c>
      <c r="AA166" t="n">
        <v>0.0</v>
      </c>
      <c r="AB166" t="n">
        <v>0.0</v>
      </c>
      <c r="AC166" t="n">
        <v>0.0</v>
      </c>
      <c r="AD166" t="n">
        <v>148.0</v>
      </c>
      <c r="AE166" t="n">
        <v>1.0</v>
      </c>
      <c r="AF166" t="n">
        <v>1.0</v>
      </c>
      <c r="AG166" t="n">
        <v>0.0</v>
      </c>
      <c r="AH166" t="n">
        <v>2.0</v>
      </c>
      <c r="AI166" t="n">
        <v>0.0</v>
      </c>
      <c r="AJ166" t="n">
        <v>0.0</v>
      </c>
      <c r="AK166" t="n">
        <v>6.72972972972973</v>
      </c>
      <c r="AL166" t="inlineStr">
        <is>
          <t/>
        </is>
      </c>
    </row>
    <row r="167">
      <c r="A167" t="inlineStr">
        <is>
          <t>误以为很贵的整条三文鱼</t>
        </is>
      </c>
      <c r="B167" t="inlineStr">
        <is>
          <t>69ce7bcb000000001f004e08</t>
        </is>
      </c>
      <c r="C167" s="166" t="n">
        <f>HYPERLINK("https://www.xiaohongshu.com/explore/69ce7bcb000000001f004e08?xsec_token=TBclHZuM5_fs2QanfU7vVSEsPY8IW3Qhb_kVJqfS9Ov9s=&amp;xsec_source=pc_trdark","https://www.xiaohongshu.com/explore/69ce7bcb000000001f004e08?xsec_token=TBclHZuM5_fs2QanfU7vVSEsPY8IW3Qhb_kVJqfS9Ov9s=&amp;xsec_source=pc_trdark")</f>
        <v>0.0</v>
      </c>
      <c r="D167" t="inlineStr">
        <is>
          <t>婉婉上班吃什么</t>
        </is>
      </c>
      <c r="E167" t="inlineStr">
        <is>
          <t>11434449706</t>
        </is>
      </c>
      <c r="F167" t="inlineStr">
        <is>
          <t>2026-04-02 22:23:07</t>
        </is>
      </c>
      <c r="G167" t="inlineStr">
        <is>
          <t>图文</t>
        </is>
      </c>
      <c r="H167" t="inlineStr">
        <is>
          <t>智利三文鱼切块·整条三文鱼·深海鱼一人食健康饮食</t>
        </is>
      </c>
      <c r="I167" t="inlineStr">
        <is>
          <t>691ac562a524ee0001b51d7b</t>
        </is>
      </c>
      <c r="J167" t="inlineStr">
        <is>
          <t/>
        </is>
      </c>
      <c r="K167" t="n">
        <v>0.0</v>
      </c>
      <c r="L167" t="n">
        <v>0.0</v>
      </c>
      <c r="M167" t="n">
        <v>16.0</v>
      </c>
      <c r="N167" t="inlineStr">
        <is>
          <t>0.10810810810810811</t>
        </is>
      </c>
      <c r="O167" t="n">
        <v>15.0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inlineStr">
        <is>
          <t/>
        </is>
      </c>
      <c r="X167" t="n">
        <v>0.0</v>
      </c>
      <c r="Y167" t="n">
        <v>2.0</v>
      </c>
      <c r="Z167" t="n">
        <v>1.0</v>
      </c>
      <c r="AA167" t="n">
        <v>0.0</v>
      </c>
      <c r="AB167" t="n">
        <v>0.0</v>
      </c>
      <c r="AC167" t="n">
        <v>0.0</v>
      </c>
      <c r="AD167" t="n">
        <v>148.0</v>
      </c>
      <c r="AE167" t="n">
        <v>1.0</v>
      </c>
      <c r="AF167" t="n">
        <v>0.0</v>
      </c>
      <c r="AG167" t="n">
        <v>0.0</v>
      </c>
      <c r="AH167" t="n">
        <v>1.0</v>
      </c>
      <c r="AI167" t="n">
        <v>0.0</v>
      </c>
      <c r="AJ167" t="n">
        <v>0.0</v>
      </c>
      <c r="AK167" t="n">
        <v>8.695945945945946</v>
      </c>
      <c r="AL167" t="inlineStr">
        <is>
          <t/>
        </is>
      </c>
    </row>
    <row r="168">
      <c r="A168" t="inlineStr">
        <is>
          <t>给公司所有人准备的减脂餐！</t>
        </is>
      </c>
      <c r="B168" t="inlineStr">
        <is>
          <t>69ef0957000000002301777f</t>
        </is>
      </c>
      <c r="C168" s="167" t="n">
        <f>HYPERLINK("https://www.xiaohongshu.com/explore/69ef0957000000002301777f?xsec_token=TB8YlxxIf2o_Xr_LAif13-vANf0BmtqC1xLmrK-56SK9c=&amp;xsec_source=pc_trdark","https://www.xiaohongshu.com/explore/69ef0957000000002301777f?xsec_token=TB8YlxxIf2o_Xr_LAif13-vANf0BmtqC1xLmrK-56SK9c=&amp;xsec_source=pc_trdark")</f>
        <v>0.0</v>
      </c>
      <c r="D168" t="inlineStr">
        <is>
          <t>鲜水湾</t>
        </is>
      </c>
      <c r="E168" t="inlineStr">
        <is>
          <t>49316638994</t>
        </is>
      </c>
      <c r="F168" t="inlineStr">
        <is>
          <t>2026-04-27 14:59:35</t>
        </is>
      </c>
      <c r="G168" t="inlineStr">
        <is>
          <t>图文</t>
        </is>
      </c>
      <c r="H168" t="inlineStr">
        <is>
          <t>手剥虾仁 无冰衣无添加 低脂餐一人食 上班带饭 顺丰包邮 5盒装</t>
        </is>
      </c>
      <c r="I168" t="inlineStr">
        <is>
          <t>694baba01d450d00013662f0</t>
        </is>
      </c>
      <c r="J168" t="inlineStr">
        <is>
          <t/>
        </is>
      </c>
      <c r="K168" t="n">
        <v>0.0</v>
      </c>
      <c r="L168" t="n">
        <v>0.0</v>
      </c>
      <c r="M168" t="n">
        <v>10.0</v>
      </c>
      <c r="N168" t="n">
        <v>0.0684931506849315</v>
      </c>
      <c r="O168" t="n">
        <v>9.0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inlineStr">
        <is>
          <t/>
        </is>
      </c>
      <c r="X168" t="n">
        <v>0.0</v>
      </c>
      <c r="Y168" t="n">
        <v>2.0</v>
      </c>
      <c r="Z168" t="n">
        <v>5.0</v>
      </c>
      <c r="AA168" t="n">
        <v>0.0</v>
      </c>
      <c r="AB168" t="n">
        <v>0.0</v>
      </c>
      <c r="AC168" t="n">
        <v>0.0</v>
      </c>
      <c r="AD168" t="n">
        <v>146.0</v>
      </c>
      <c r="AE168" t="n">
        <v>1.0</v>
      </c>
      <c r="AF168" t="n">
        <v>0.0</v>
      </c>
      <c r="AG168" t="n">
        <v>0.0</v>
      </c>
      <c r="AH168" t="n">
        <v>1.0</v>
      </c>
      <c r="AI168" t="n">
        <v>0.0</v>
      </c>
      <c r="AJ168" t="n">
        <v>0.0</v>
      </c>
      <c r="AK168" t="n">
        <v>8.678082191780822</v>
      </c>
      <c r="AL168" t="inlineStr">
        <is>
          <t/>
        </is>
      </c>
    </row>
    <row r="169">
      <c r="A169" t="inlineStr">
        <is>
          <t>100块吃不了一顿火锅，但承包我一周减脂餐！</t>
        </is>
      </c>
      <c r="B169" t="inlineStr">
        <is>
          <t>69d1b8260000000020038c95</t>
        </is>
      </c>
      <c r="C169" s="168" t="n">
        <f>HYPERLINK("https://www.xiaohongshu.com/explore/69d1b8260000000020038c95?xsec_token=TBT5TAUGV3LcD_GYbSvfENi3aZt3y-wlpNxjD9AzfoxOw=&amp;xsec_source=pc_trdark","https://www.xiaohongshu.com/explore/69d1b8260000000020038c95?xsec_token=TBT5TAUGV3LcD_GYbSvfENi3aZt3y-wlpNxjD9AzfoxOw=&amp;xsec_source=pc_trdark")</f>
        <v>0.0</v>
      </c>
      <c r="D169" t="inlineStr">
        <is>
          <t>鲜水湾</t>
        </is>
      </c>
      <c r="E169" t="inlineStr">
        <is>
          <t>49316638994</t>
        </is>
      </c>
      <c r="F169" t="inlineStr">
        <is>
          <t>2026-04-05 09:17:26</t>
        </is>
      </c>
      <c r="G169" t="inlineStr">
        <is>
          <t>图文</t>
        </is>
      </c>
      <c r="H169" t="inlineStr">
        <is>
          <t>手剥虾仁 无冰衣无添加 低脂餐一人食 上班带饭 顺丰包邮 5盒装</t>
        </is>
      </c>
      <c r="I169" t="inlineStr">
        <is>
          <t>694baba01d450d00013662f0</t>
        </is>
      </c>
      <c r="J169" t="inlineStr">
        <is>
          <t/>
        </is>
      </c>
      <c r="K169" t="n">
        <v>306.0</v>
      </c>
      <c r="L169" t="n">
        <v>2.0</v>
      </c>
      <c r="M169" t="n">
        <v>34.0</v>
      </c>
      <c r="N169" t="n">
        <v>0.2328767123287671</v>
      </c>
      <c r="O169" t="n">
        <v>31.0</v>
      </c>
      <c r="P169" t="n">
        <v>2.0</v>
      </c>
      <c r="Q169" t="inlineStr">
        <is>
          <t>0.058823529411764705</t>
        </is>
      </c>
      <c r="R169" t="inlineStr">
        <is>
          <t>0.06451612903225806</t>
        </is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5.0</v>
      </c>
      <c r="Z169" t="n">
        <v>4.0</v>
      </c>
      <c r="AA169" t="n">
        <v>0.0</v>
      </c>
      <c r="AB169" t="n">
        <v>0.0</v>
      </c>
      <c r="AC169" t="n">
        <v>0.0</v>
      </c>
      <c r="AD169" t="n">
        <v>146.0</v>
      </c>
      <c r="AE169" t="n">
        <v>2.0</v>
      </c>
      <c r="AF169" t="n">
        <v>0.0</v>
      </c>
      <c r="AG169" t="n">
        <v>1.0</v>
      </c>
      <c r="AH169" t="n">
        <v>1.0</v>
      </c>
      <c r="AI169" t="n">
        <v>0.0</v>
      </c>
      <c r="AJ169" t="n">
        <v>0.0</v>
      </c>
      <c r="AK169" t="n">
        <v>16.958904109589042</v>
      </c>
      <c r="AL169" t="inlineStr">
        <is>
          <t/>
        </is>
      </c>
    </row>
    <row r="170">
      <c r="A170" t="inlineStr">
        <is>
          <t>300块承包了我一个月的减脂餐！</t>
        </is>
      </c>
      <c r="B170" t="inlineStr">
        <is>
          <t>69d22234000000001a037803</t>
        </is>
      </c>
      <c r="C170" s="169" t="n">
        <f>HYPERLINK("https://www.xiaohongshu.com/explore/69d22234000000001a037803?xsec_token=TBNrOxL8mRPP3W5KJU-iYJr-TgGTZlQigO7qSqmqzRLOA=&amp;xsec_source=pc_trdark","https://www.xiaohongshu.com/explore/69d22234000000001a037803?xsec_token=TBNrOxL8mRPP3W5KJU-iYJr-TgGTZlQigO7qSqmqzRLOA=&amp;xsec_source=pc_trdark")</f>
        <v>0.0</v>
      </c>
      <c r="D170" t="inlineStr">
        <is>
          <t>婉婉上班吃什么</t>
        </is>
      </c>
      <c r="E170" t="inlineStr">
        <is>
          <t>11434449706</t>
        </is>
      </c>
      <c r="F170" t="inlineStr">
        <is>
          <t>2026-04-05 16:49:56</t>
        </is>
      </c>
      <c r="G170" t="inlineStr">
        <is>
          <t>图文</t>
        </is>
      </c>
      <c r="H170" t="inlineStr">
        <is>
          <t>智利三文鱼切块·整条三文鱼·深海鱼一人食健康饮食</t>
        </is>
      </c>
      <c r="I170" t="inlineStr">
        <is>
          <t>691ac562a524ee0001b51d7b</t>
        </is>
      </c>
      <c r="J170" t="inlineStr">
        <is>
          <t/>
        </is>
      </c>
      <c r="K170" t="n">
        <v>0.0</v>
      </c>
      <c r="L170" t="n">
        <v>0.0</v>
      </c>
      <c r="M170" t="n">
        <v>17.0</v>
      </c>
      <c r="N170" t="inlineStr">
        <is>
          <t>0.11724137931034483</t>
        </is>
      </c>
      <c r="O170" t="n">
        <v>16.0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inlineStr">
        <is>
          <t/>
        </is>
      </c>
      <c r="X170" t="n">
        <v>0.0</v>
      </c>
      <c r="Y170" t="n">
        <v>2.0</v>
      </c>
      <c r="Z170" t="n">
        <v>5.0</v>
      </c>
      <c r="AA170" t="n">
        <v>0.0</v>
      </c>
      <c r="AB170" t="n">
        <v>0.0</v>
      </c>
      <c r="AC170" t="n">
        <v>0.0</v>
      </c>
      <c r="AD170" t="n">
        <v>145.0</v>
      </c>
      <c r="AE170" t="n">
        <v>3.0</v>
      </c>
      <c r="AF170" t="n">
        <v>1.0</v>
      </c>
      <c r="AG170" t="n">
        <v>0.0</v>
      </c>
      <c r="AH170" t="n">
        <v>1.0</v>
      </c>
      <c r="AI170" t="n">
        <v>0.0</v>
      </c>
      <c r="AJ170" t="n">
        <v>0.0</v>
      </c>
      <c r="AK170" t="n">
        <v>10.710344827586207</v>
      </c>
      <c r="AL170" t="inlineStr">
        <is>
          <t/>
        </is>
      </c>
    </row>
    <row r="171">
      <c r="A171" t="inlineStr">
        <is>
          <t>带饭的尽头是摆烂！！！</t>
        </is>
      </c>
      <c r="B171" t="inlineStr">
        <is>
          <t>69ec6399000000001e00c9c6</t>
        </is>
      </c>
      <c r="C171" s="170" t="n">
        <f>HYPERLINK("https://www.xiaohongshu.com/explore/69ec6399000000001e00c9c6?xsec_token=TBnoSF_--XRDuLtfF77lVqP0mBLl1bUTageywfYvyUXEM=&amp;xsec_source=pc_trdark","https://www.xiaohongshu.com/explore/69ec6399000000001e00c9c6?xsec_token=TBnoSF_--XRDuLtfF77lVqP0mBLl1bUTageywfYvyUXEM=&amp;xsec_source=pc_trdark")</f>
        <v>0.0</v>
      </c>
      <c r="D171" t="inlineStr">
        <is>
          <t>菲菲上班吃什么</t>
        </is>
      </c>
      <c r="E171" t="inlineStr">
        <is>
          <t>49936530607</t>
        </is>
      </c>
      <c r="F171" t="inlineStr">
        <is>
          <t>2026-04-25 14:47:53</t>
        </is>
      </c>
      <c r="G171" t="inlineStr">
        <is>
          <t>图文</t>
        </is>
      </c>
      <c r="H171" t="inlineStr">
        <is>
          <t>手剥虾仁 无冰衣无添加 低脂餐一人食 上班带饭 顺丰包邮 5盒装</t>
        </is>
      </c>
      <c r="I171" t="inlineStr">
        <is>
          <t>694baba01d450d00013662f0</t>
        </is>
      </c>
      <c r="J171" t="inlineStr">
        <is>
          <t/>
        </is>
      </c>
      <c r="K171" t="n">
        <v>0.0</v>
      </c>
      <c r="L171" t="n">
        <v>0.0</v>
      </c>
      <c r="M171" t="n">
        <v>3.0</v>
      </c>
      <c r="N171" t="inlineStr">
        <is>
          <t>0.020833333333333332</t>
        </is>
      </c>
      <c r="O171" t="n">
        <v>3.0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inlineStr">
        <is>
          <t/>
        </is>
      </c>
      <c r="X171" t="n">
        <v>0.0</v>
      </c>
      <c r="Y171" t="n">
        <v>0.0</v>
      </c>
      <c r="Z171" t="n">
        <v>6.0</v>
      </c>
      <c r="AA171" t="n">
        <v>0.0</v>
      </c>
      <c r="AB171" t="n">
        <v>0.0</v>
      </c>
      <c r="AC171" t="n">
        <v>0.0</v>
      </c>
      <c r="AD171" t="n">
        <v>144.0</v>
      </c>
      <c r="AE171" t="n">
        <v>1.0</v>
      </c>
      <c r="AF171" t="n">
        <v>0.0</v>
      </c>
      <c r="AG171" t="n">
        <v>0.0</v>
      </c>
      <c r="AH171" t="n">
        <v>1.0</v>
      </c>
      <c r="AI171" t="n">
        <v>0.0</v>
      </c>
      <c r="AJ171" t="n">
        <v>0.0</v>
      </c>
      <c r="AK171" t="n">
        <v>9.729166666666666</v>
      </c>
      <c r="AL171" t="inlineStr">
        <is>
          <t/>
        </is>
      </c>
    </row>
    <row r="172">
      <c r="A172" t="inlineStr">
        <is>
          <t>真的低估了100块购买力！承包了一周减脂餐！</t>
        </is>
      </c>
      <c r="B172" t="inlineStr">
        <is>
          <t>69ce1bb2000000002800b1b2</t>
        </is>
      </c>
      <c r="C172" s="171" t="n">
        <f>HYPERLINK("https://www.xiaohongshu.com/explore/69ce1bb2000000002800b1b2?xsec_token=TBclHZuM5_fs2QanfU7vVSEmDYMFNh-FXRNp5-Y7OUwDw=&amp;xsec_source=pc_trdark","https://www.xiaohongshu.com/explore/69ce1bb2000000002800b1b2?xsec_token=TBclHZuM5_fs2QanfU7vVSEmDYMFNh-FXRNp5-Y7OUwDw=&amp;xsec_source=pc_trdark")</f>
        <v>0.0</v>
      </c>
      <c r="D172" t="inlineStr">
        <is>
          <t>菲菲上班吃什么</t>
        </is>
      </c>
      <c r="E172" t="inlineStr">
        <is>
          <t>49936530607</t>
        </is>
      </c>
      <c r="F172" t="inlineStr">
        <is>
          <t>2026-04-02 15:33:06</t>
        </is>
      </c>
      <c r="G172" t="inlineStr">
        <is>
          <t>图文</t>
        </is>
      </c>
      <c r="H172" t="inlineStr">
        <is>
          <t>手剥虾仁 无冰衣无添加 低脂餐一人食 上班带饭 顺丰包邮 5盒装</t>
        </is>
      </c>
      <c r="I172" t="inlineStr">
        <is>
          <t>694baba01d450d00013662f0</t>
        </is>
      </c>
      <c r="J172" t="inlineStr">
        <is>
          <t/>
        </is>
      </c>
      <c r="K172" t="n">
        <v>69.0</v>
      </c>
      <c r="L172" t="n">
        <v>1.0</v>
      </c>
      <c r="M172" t="n">
        <v>21.0</v>
      </c>
      <c r="N172" t="inlineStr">
        <is>
          <t>0.14583333333333334</t>
        </is>
      </c>
      <c r="O172" t="n">
        <v>21.0</v>
      </c>
      <c r="P172" t="n">
        <v>1.0</v>
      </c>
      <c r="Q172" t="inlineStr">
        <is>
          <t>0.047619047619047616</t>
        </is>
      </c>
      <c r="R172" t="inlineStr">
        <is>
          <t>0.047619047619047616</t>
        </is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3.0</v>
      </c>
      <c r="Z172" t="n">
        <v>4.0</v>
      </c>
      <c r="AA172" t="n">
        <v>0.0</v>
      </c>
      <c r="AB172" t="n">
        <v>0.0</v>
      </c>
      <c r="AC172" t="n">
        <v>0.0</v>
      </c>
      <c r="AD172" t="n">
        <v>144.0</v>
      </c>
      <c r="AE172" t="n">
        <v>2.0</v>
      </c>
      <c r="AF172" t="n">
        <v>0.0</v>
      </c>
      <c r="AG172" t="n">
        <v>0.0</v>
      </c>
      <c r="AH172" t="n">
        <v>1.0</v>
      </c>
      <c r="AI172" t="n">
        <v>0.0</v>
      </c>
      <c r="AJ172" t="n">
        <v>0.0</v>
      </c>
      <c r="AK172" t="n">
        <v>8.5</v>
      </c>
      <c r="AL172" t="inlineStr">
        <is>
          <t/>
        </is>
      </c>
    </row>
    <row r="173">
      <c r="A173" t="inlineStr">
        <is>
          <t>同事对于我每天吃一盒虾仁，表示很奢侈…</t>
        </is>
      </c>
      <c r="B173" t="inlineStr">
        <is>
          <t>69c2602b000000002202bed3</t>
        </is>
      </c>
      <c r="C173" s="172" t="n">
        <f>HYPERLINK("https://www.xiaohongshu.com/explore/69c2602b000000002202bed3?xsec_token=TBUqBR5MVQnv6JPS0VJV95uOtzklcGqQyiaG_SgKe2Z1w=&amp;xsec_source=pc_trdark","https://www.xiaohongshu.com/explore/69c2602b000000002202bed3?xsec_token=TBUqBR5MVQnv6JPS0VJV95uOtzklcGqQyiaG_SgKe2Z1w=&amp;xsec_source=pc_trdark")</f>
        <v>0.0</v>
      </c>
      <c r="D173" t="inlineStr">
        <is>
          <t>婉婉上班吃什么</t>
        </is>
      </c>
      <c r="E173" t="inlineStr">
        <is>
          <t>11434449706</t>
        </is>
      </c>
      <c r="F173" t="inlineStr">
        <is>
          <t>2026-03-24 17:58:03</t>
        </is>
      </c>
      <c r="G173" t="inlineStr">
        <is>
          <t>图文</t>
        </is>
      </c>
      <c r="H173" t="inlineStr">
        <is>
          <t>手剥虾仁 无冰衣无添加 低脂餐一人食 上班带饭 顺丰包邮 5盒装</t>
        </is>
      </c>
      <c r="I173" t="inlineStr">
        <is>
          <t>694baba01d450d00013662f0</t>
        </is>
      </c>
      <c r="J173" t="inlineStr">
        <is>
          <t/>
        </is>
      </c>
      <c r="K173" t="n">
        <v>0.0</v>
      </c>
      <c r="L173" t="n">
        <v>0.0</v>
      </c>
      <c r="M173" t="n">
        <v>35.0</v>
      </c>
      <c r="N173" t="inlineStr">
        <is>
          <t>0.24305555555555555</t>
        </is>
      </c>
      <c r="O173" t="n">
        <v>31.0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inlineStr">
        <is>
          <t/>
        </is>
      </c>
      <c r="X173" t="n">
        <v>0.0</v>
      </c>
      <c r="Y173" t="n">
        <v>6.0</v>
      </c>
      <c r="Z173" t="n">
        <v>8.0</v>
      </c>
      <c r="AA173" t="n">
        <v>0.0</v>
      </c>
      <c r="AB173" t="n">
        <v>0.0</v>
      </c>
      <c r="AC173" t="n">
        <v>0.0</v>
      </c>
      <c r="AD173" t="n">
        <v>144.0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22.70138888888889</v>
      </c>
      <c r="AL173" t="inlineStr">
        <is>
          <t/>
        </is>
      </c>
    </row>
    <row r="174">
      <c r="A174" t="inlineStr">
        <is>
          <t>脱脂牛马带饭的尽头……</t>
        </is>
      </c>
      <c r="B174" t="inlineStr">
        <is>
          <t>69cf5e43000000002301e6e7</t>
        </is>
      </c>
      <c r="C174" s="173" t="n">
        <f>HYPERLINK("https://www.xiaohongshu.com/explore/69cf5e43000000002301e6e7?xsec_token=TBoE-rkVRcyUvvjX4oFaj2HbNgEJqPnJ-R7OzKa1uvcFw=&amp;xsec_source=pc_trdark","https://www.xiaohongshu.com/explore/69cf5e43000000002301e6e7?xsec_token=TBoE-rkVRcyUvvjX4oFaj2HbNgEJqPnJ-R7OzKa1uvcFw=&amp;xsec_source=pc_trdark")</f>
        <v>0.0</v>
      </c>
      <c r="D174" t="inlineStr">
        <is>
          <t>菲菲上班吃什么</t>
        </is>
      </c>
      <c r="E174" t="inlineStr">
        <is>
          <t>49936530607</t>
        </is>
      </c>
      <c r="F174" t="inlineStr">
        <is>
          <t>2026-04-03 14:29:24</t>
        </is>
      </c>
      <c r="G174" t="inlineStr">
        <is>
          <t>图文</t>
        </is>
      </c>
      <c r="H174" t="inlineStr">
        <is>
          <t>手剥虾仁 无冰衣无添加 低脂餐一人食 上班带饭 顺丰包邮 5盒装</t>
        </is>
      </c>
      <c r="I174" t="inlineStr">
        <is>
          <t>694baba01d450d00013662f0</t>
        </is>
      </c>
      <c r="J174" t="inlineStr">
        <is>
          <t/>
        </is>
      </c>
      <c r="K174" t="n">
        <v>0.0</v>
      </c>
      <c r="L174" t="n">
        <v>0.0</v>
      </c>
      <c r="M174" t="n">
        <v>8.0</v>
      </c>
      <c r="N174" t="inlineStr">
        <is>
          <t>0.055944055944055944</t>
        </is>
      </c>
      <c r="O174" t="n">
        <v>8.0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inlineStr">
        <is>
          <t/>
        </is>
      </c>
      <c r="X174" t="n">
        <v>0.0</v>
      </c>
      <c r="Y174" t="n">
        <v>4.0</v>
      </c>
      <c r="Z174" t="n">
        <v>7.0</v>
      </c>
      <c r="AA174" t="n">
        <v>0.0</v>
      </c>
      <c r="AB174" t="n">
        <v>0.0</v>
      </c>
      <c r="AC174" t="n">
        <v>0.0</v>
      </c>
      <c r="AD174" t="n">
        <v>143.0</v>
      </c>
      <c r="AE174" t="n">
        <v>1.0</v>
      </c>
      <c r="AF174" t="n">
        <v>0.0</v>
      </c>
      <c r="AG174" t="n">
        <v>0.0</v>
      </c>
      <c r="AH174" t="n">
        <v>1.0</v>
      </c>
      <c r="AI174" t="n">
        <v>0.0</v>
      </c>
      <c r="AJ174" t="n">
        <v>0.0</v>
      </c>
      <c r="AK174" t="n">
        <v>14.363636363636363</v>
      </c>
      <c r="AL174" t="inlineStr">
        <is>
          <t/>
        </is>
      </c>
    </row>
    <row r="175">
      <c r="A175" t="inlineStr">
        <is>
          <t>我发现能控制住血糖的人都有一个饮食特点</t>
        </is>
      </c>
      <c r="B175" t="inlineStr">
        <is>
          <t>69e5905f000000001f007150</t>
        </is>
      </c>
      <c r="C175" s="174" t="n">
        <f>HYPERLINK("https://www.xiaohongshu.com/explore/69e5905f000000001f007150?xsec_token=TBRM_4pSbJalcnymykJyoKXWvkT-9IkSRh6z2weKwOlWg=&amp;xsec_source=pc_trdark","https://www.xiaohongshu.com/explore/69e5905f000000001f007150?xsec_token=TBRM_4pSbJalcnymykJyoKXWvkT-9IkSRh6z2weKwOlWg=&amp;xsec_source=pc_trdark")</f>
        <v>0.0</v>
      </c>
      <c r="D175" t="inlineStr">
        <is>
          <t>婉婉上班吃什么</t>
        </is>
      </c>
      <c r="E175" t="inlineStr">
        <is>
          <t>11434449706</t>
        </is>
      </c>
      <c r="F175" t="inlineStr">
        <is>
          <t>2026-04-20 10:33:03</t>
        </is>
      </c>
      <c r="G175" t="inlineStr">
        <is>
          <t>图文</t>
        </is>
      </c>
      <c r="H175" t="inlineStr">
        <is>
          <t>手剥虾仁 无冰衣无添加 低脂餐一人食 上班带饭 顺丰包邮 5盒装</t>
        </is>
      </c>
      <c r="I175" t="inlineStr">
        <is>
          <t>694baba01d450d00013662f0</t>
        </is>
      </c>
      <c r="J175" t="inlineStr">
        <is>
          <t/>
        </is>
      </c>
      <c r="K175" t="n">
        <v>0.0</v>
      </c>
      <c r="L175" t="n">
        <v>0.0</v>
      </c>
      <c r="M175" t="n">
        <v>9.0</v>
      </c>
      <c r="N175" t="inlineStr">
        <is>
          <t>0.06338028169014084</t>
        </is>
      </c>
      <c r="O175" t="n">
        <v>8.0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inlineStr">
        <is>
          <t/>
        </is>
      </c>
      <c r="X175" t="n">
        <v>0.0</v>
      </c>
      <c r="Y175" t="n">
        <v>2.0</v>
      </c>
      <c r="Z175" t="n">
        <v>2.0</v>
      </c>
      <c r="AA175" t="n">
        <v>0.0</v>
      </c>
      <c r="AB175" t="n">
        <v>0.0</v>
      </c>
      <c r="AC175" t="n">
        <v>0.0</v>
      </c>
      <c r="AD175" t="n">
        <v>142.0</v>
      </c>
      <c r="AE175" t="n">
        <v>3.0</v>
      </c>
      <c r="AF175" t="n">
        <v>0.0</v>
      </c>
      <c r="AG175" t="n">
        <v>0.0</v>
      </c>
      <c r="AH175" t="n">
        <v>1.0</v>
      </c>
      <c r="AI175" t="n">
        <v>1.0</v>
      </c>
      <c r="AJ175" t="n">
        <v>0.0</v>
      </c>
      <c r="AK175" t="n">
        <v>14.0</v>
      </c>
      <c r="AL175" t="inlineStr">
        <is>
          <t/>
        </is>
      </c>
    </row>
    <row r="176">
      <c r="A176" t="inlineStr">
        <is>
          <t>闺蜜问我:你天天吃虾仁，月薪多少啊.....</t>
        </is>
      </c>
      <c r="B176" t="inlineStr">
        <is>
          <t>69d4c62b000000001a036290</t>
        </is>
      </c>
      <c r="C176" s="175" t="n">
        <f>HYPERLINK("https://www.xiaohongshu.com/explore/69d4c62b000000001a036290?xsec_token=TBCfzrc-PQxdd2ruCVqHUjYu0RZmUmWbZz0vM125bHu-8=&amp;xsec_source=pc_trdark","https://www.xiaohongshu.com/explore/69d4c62b000000001a036290?xsec_token=TBCfzrc-PQxdd2ruCVqHUjYu0RZmUmWbZz0vM125bHu-8=&amp;xsec_source=pc_trdark")</f>
        <v>0.0</v>
      </c>
      <c r="D176" t="inlineStr">
        <is>
          <t>菲菲上班吃什么</t>
        </is>
      </c>
      <c r="E176" t="inlineStr">
        <is>
          <t>49936530607</t>
        </is>
      </c>
      <c r="F176" t="inlineStr">
        <is>
          <t>2026-04-07 16:54:03</t>
        </is>
      </c>
      <c r="G176" t="inlineStr">
        <is>
          <t>图文</t>
        </is>
      </c>
      <c r="H176" t="inlineStr">
        <is>
          <t>手剥虾仁 无冰衣无添加 低脂餐一人食 上班带饭 顺丰包邮 5盒装</t>
        </is>
      </c>
      <c r="I176" t="inlineStr">
        <is>
          <t>694baba01d450d00013662f0</t>
        </is>
      </c>
      <c r="J176" t="inlineStr">
        <is>
          <t/>
        </is>
      </c>
      <c r="K176" t="n">
        <v>0.0</v>
      </c>
      <c r="L176" t="n">
        <v>0.0</v>
      </c>
      <c r="M176" t="n">
        <v>9.0</v>
      </c>
      <c r="N176" t="inlineStr">
        <is>
          <t>0.06338028169014084</t>
        </is>
      </c>
      <c r="O176" t="n">
        <v>8.0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inlineStr">
        <is>
          <t/>
        </is>
      </c>
      <c r="X176" t="n">
        <v>0.0</v>
      </c>
      <c r="Y176" t="n">
        <v>1.0</v>
      </c>
      <c r="Z176" t="n">
        <v>0.0</v>
      </c>
      <c r="AA176" t="n">
        <v>0.0</v>
      </c>
      <c r="AB176" t="n">
        <v>0.0</v>
      </c>
      <c r="AC176" t="n">
        <v>0.0</v>
      </c>
      <c r="AD176" t="n">
        <v>142.0</v>
      </c>
      <c r="AE176" t="n">
        <v>3.0</v>
      </c>
      <c r="AF176" t="n">
        <v>0.0</v>
      </c>
      <c r="AG176" t="n">
        <v>2.0</v>
      </c>
      <c r="AH176" t="n">
        <v>0.0</v>
      </c>
      <c r="AI176" t="n">
        <v>0.0</v>
      </c>
      <c r="AJ176" t="n">
        <v>0.0</v>
      </c>
      <c r="AK176" t="n">
        <v>9.535211267605634</v>
      </c>
      <c r="AL176" t="inlineStr">
        <is>
          <t/>
        </is>
      </c>
    </row>
    <row r="177">
      <c r="A177" t="inlineStr">
        <is>
          <t>以为300没多少，结果把整条鱼发来了</t>
        </is>
      </c>
      <c r="B177" t="inlineStr">
        <is>
          <t>69d26192000000001e00db36</t>
        </is>
      </c>
      <c r="C177" s="176" t="n">
        <f>HYPERLINK("https://www.xiaohongshu.com/explore/69d26192000000001e00db36?xsec_token=TBNrOxL8mRPP3W5KJU-iYJrxqhPVOxvlmFv0jJg7Dtks8=&amp;xsec_source=pc_trdark","https://www.xiaohongshu.com/explore/69d26192000000001e00db36?xsec_token=TBNrOxL8mRPP3W5KJU-iYJrxqhPVOxvlmFv0jJg7Dtks8=&amp;xsec_source=pc_trdark")</f>
        <v>0.0</v>
      </c>
      <c r="D177" t="inlineStr">
        <is>
          <t>婉婉上班吃什么</t>
        </is>
      </c>
      <c r="E177" t="inlineStr">
        <is>
          <t>11434449706</t>
        </is>
      </c>
      <c r="F177" t="inlineStr">
        <is>
          <t>2026-04-05 21:20:18</t>
        </is>
      </c>
      <c r="G177" t="inlineStr">
        <is>
          <t>图文</t>
        </is>
      </c>
      <c r="H177" t="inlineStr">
        <is>
          <t>智利三文鱼切块·整条三文鱼·深海鱼一人食健康饮食</t>
        </is>
      </c>
      <c r="I177" t="inlineStr">
        <is>
          <t>691ac562a524ee0001b51d7b</t>
        </is>
      </c>
      <c r="J177" t="inlineStr">
        <is>
          <t/>
        </is>
      </c>
      <c r="K177" t="n">
        <v>0.0</v>
      </c>
      <c r="L177" t="n">
        <v>0.0</v>
      </c>
      <c r="M177" t="n">
        <v>24.0</v>
      </c>
      <c r="N177" t="inlineStr">
        <is>
          <t>0.16901408450704225</t>
        </is>
      </c>
      <c r="O177" t="n">
        <v>22.0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inlineStr">
        <is>
          <t/>
        </is>
      </c>
      <c r="X177" t="n">
        <v>0.0</v>
      </c>
      <c r="Y177" t="n">
        <v>6.0</v>
      </c>
      <c r="Z177" t="n">
        <v>2.0</v>
      </c>
      <c r="AA177" t="n">
        <v>0.0</v>
      </c>
      <c r="AB177" t="n">
        <v>0.0</v>
      </c>
      <c r="AC177" t="n">
        <v>0.0</v>
      </c>
      <c r="AD177" t="n">
        <v>142.0</v>
      </c>
      <c r="AE177" t="n">
        <v>2.0</v>
      </c>
      <c r="AF177" t="n">
        <v>0.0</v>
      </c>
      <c r="AG177" t="n">
        <v>0.0</v>
      </c>
      <c r="AH177" t="n">
        <v>1.0</v>
      </c>
      <c r="AI177" t="n">
        <v>0.0</v>
      </c>
      <c r="AJ177" t="n">
        <v>0.0</v>
      </c>
      <c r="AK177" t="n">
        <v>14.190140845070422</v>
      </c>
      <c r="AL177" t="inlineStr">
        <is>
          <t/>
        </is>
      </c>
    </row>
    <row r="178">
      <c r="A178" t="inlineStr">
        <is>
          <t>春日减脂真不贵，69块够吃一周…</t>
        </is>
      </c>
      <c r="B178" t="inlineStr">
        <is>
          <t>69d34db500000000230142b2</t>
        </is>
      </c>
      <c r="C178" s="177" t="n">
        <f>HYPERLINK("https://www.xiaohongshu.com/explore/69d34db500000000230142b2?xsec_token=TBhEDzysvLbwbBD8CIa_-jsWKgi9jOd5zpIdutw8rLIrw=&amp;xsec_source=pc_trdark","https://www.xiaohongshu.com/explore/69d34db500000000230142b2?xsec_token=TBhEDzysvLbwbBD8CIa_-jsWKgi9jOd5zpIdutw8rLIrw=&amp;xsec_source=pc_trdark")</f>
        <v>0.0</v>
      </c>
      <c r="D178" t="inlineStr">
        <is>
          <t>鲜水湾</t>
        </is>
      </c>
      <c r="E178" t="inlineStr">
        <is>
          <t>49316638994</t>
        </is>
      </c>
      <c r="F178" t="inlineStr">
        <is>
          <t>2026-04-06 14:07:49</t>
        </is>
      </c>
      <c r="G178" t="inlineStr">
        <is>
          <t>图文</t>
        </is>
      </c>
      <c r="H178" t="inlineStr">
        <is>
          <t>手剥虾仁 无冰衣无添加 低脂餐一人食 上班带饭 顺丰包邮 5盒装</t>
        </is>
      </c>
      <c r="I178" t="inlineStr">
        <is>
          <t>694baba01d450d00013662f0</t>
        </is>
      </c>
      <c r="J178" t="inlineStr">
        <is>
          <t/>
        </is>
      </c>
      <c r="K178" t="n">
        <v>69.0</v>
      </c>
      <c r="L178" t="n">
        <v>1.0</v>
      </c>
      <c r="M178" t="n">
        <v>14.0</v>
      </c>
      <c r="N178" t="n">
        <v>0.1</v>
      </c>
      <c r="O178" t="n">
        <v>11.0</v>
      </c>
      <c r="P178" t="n">
        <v>1.0</v>
      </c>
      <c r="Q178" t="inlineStr">
        <is>
          <t>0.07142857142857142</t>
        </is>
      </c>
      <c r="R178" t="inlineStr">
        <is>
          <t>0.09090909090909091</t>
        </is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5.0</v>
      </c>
      <c r="AA178" t="n">
        <v>0.0</v>
      </c>
      <c r="AB178" t="n">
        <v>0.0</v>
      </c>
      <c r="AC178" t="n">
        <v>0.0</v>
      </c>
      <c r="AD178" t="n">
        <v>140.0</v>
      </c>
      <c r="AE178" t="n">
        <v>3.0</v>
      </c>
      <c r="AF178" t="n">
        <v>1.0</v>
      </c>
      <c r="AG178" t="n">
        <v>0.0</v>
      </c>
      <c r="AH178" t="n">
        <v>0.0</v>
      </c>
      <c r="AI178" t="n">
        <v>0.0</v>
      </c>
      <c r="AJ178" t="n">
        <v>0.0</v>
      </c>
      <c r="AK178" t="n">
        <v>13.792857142857143</v>
      </c>
      <c r="AL178" t="inlineStr">
        <is>
          <t/>
        </is>
      </c>
    </row>
    <row r="179">
      <c r="A179" t="inlineStr">
        <is>
          <t>听劝…给孩子吃就买这种配料表干净的虾仁</t>
        </is>
      </c>
      <c r="B179" t="inlineStr">
        <is>
          <t>69dcb1e6000000001f002f0f</t>
        </is>
      </c>
      <c r="C179" s="178" t="n">
        <f>HYPERLINK("https://www.xiaohongshu.com/explore/69dcb1e6000000001f002f0f?xsec_token=TBe8vKhJyviDCWrA3Jp-irCWD95AR0Rdoykf5sYcdAhU4=&amp;xsec_source=pc_trdark","https://www.xiaohongshu.com/explore/69dcb1e6000000001f002f0f?xsec_token=TBe8vKhJyviDCWrA3Jp-irCWD95AR0Rdoykf5sYcdAhU4=&amp;xsec_source=pc_trdark")</f>
        <v>0.0</v>
      </c>
      <c r="D179" t="inlineStr">
        <is>
          <t>婉婉上班吃什么</t>
        </is>
      </c>
      <c r="E179" t="inlineStr">
        <is>
          <t>11434449706</t>
        </is>
      </c>
      <c r="F179" t="inlineStr">
        <is>
          <t>2026-04-13 17:05:42</t>
        </is>
      </c>
      <c r="G179" t="inlineStr">
        <is>
          <t>图文</t>
        </is>
      </c>
      <c r="H179" t="inlineStr">
        <is>
          <t>手剥虾仁 无冰衣无添加 低脂餐一人食 上班带饭 顺丰包邮 5盒装</t>
        </is>
      </c>
      <c r="I179" t="inlineStr">
        <is>
          <t>694baba01d450d00013662f0</t>
        </is>
      </c>
      <c r="J179" t="inlineStr">
        <is>
          <t/>
        </is>
      </c>
      <c r="K179" t="n">
        <v>69.0</v>
      </c>
      <c r="L179" t="n">
        <v>1.0</v>
      </c>
      <c r="M179" t="n">
        <v>8.0</v>
      </c>
      <c r="N179" t="inlineStr">
        <is>
          <t>0.05755395683453238</t>
        </is>
      </c>
      <c r="O179" t="n">
        <v>8.0</v>
      </c>
      <c r="P179" t="n">
        <v>1.0</v>
      </c>
      <c r="Q179" t="n">
        <v>0.125</v>
      </c>
      <c r="R179" t="n">
        <v>0.125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1.0</v>
      </c>
      <c r="AA179" t="n">
        <v>0.0</v>
      </c>
      <c r="AB179" t="n">
        <v>0.0</v>
      </c>
      <c r="AC179" t="n">
        <v>0.0</v>
      </c>
      <c r="AD179" t="n">
        <v>139.0</v>
      </c>
      <c r="AE179" t="n">
        <v>2.0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9.928057553956835</v>
      </c>
      <c r="AL179" t="inlineStr">
        <is>
          <t/>
        </is>
      </c>
    </row>
    <row r="180">
      <c r="A180" t="inlineStr">
        <is>
          <t>每天这样吃，瘦，都是我应得的！</t>
        </is>
      </c>
      <c r="B180" t="inlineStr">
        <is>
          <t>69ec8f55000000001f007480</t>
        </is>
      </c>
      <c r="C180" s="179" t="n">
        <f>HYPERLINK("https://www.xiaohongshu.com/explore/69ec8f55000000001f007480?xsec_token=TBnoSF_--XRDuLtfF77lVqP6a8uGhFAAb9_OVCU-8WEfs=&amp;xsec_source=pc_trdark","https://www.xiaohongshu.com/explore/69ec8f55000000001f007480?xsec_token=TBnoSF_--XRDuLtfF77lVqP6a8uGhFAAb9_OVCU-8WEfs=&amp;xsec_source=pc_trdark")</f>
        <v>0.0</v>
      </c>
      <c r="D180" t="inlineStr">
        <is>
          <t>婉婉上班吃什么</t>
        </is>
      </c>
      <c r="E180" t="inlineStr">
        <is>
          <t>11434449706</t>
        </is>
      </c>
      <c r="F180" t="inlineStr">
        <is>
          <t>2026-04-25 17:54:29</t>
        </is>
      </c>
      <c r="G180" t="inlineStr">
        <is>
          <t>图文</t>
        </is>
      </c>
      <c r="H180" t="inlineStr">
        <is>
          <t>智利三文鱼切块·整条三文鱼·深海鱼一人食健康饮食</t>
        </is>
      </c>
      <c r="I180" t="inlineStr">
        <is>
          <t>691ac562a524ee0001b51d7b</t>
        </is>
      </c>
      <c r="J180" t="inlineStr">
        <is>
          <t/>
        </is>
      </c>
      <c r="K180" t="n">
        <v>0.0</v>
      </c>
      <c r="L180" t="n">
        <v>0.0</v>
      </c>
      <c r="M180" t="n">
        <v>10.0</v>
      </c>
      <c r="N180" t="inlineStr">
        <is>
          <t>0.07246376811594203</t>
        </is>
      </c>
      <c r="O180" t="n">
        <v>10.0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inlineStr">
        <is>
          <t/>
        </is>
      </c>
      <c r="X180" t="n">
        <v>0.0</v>
      </c>
      <c r="Y180" t="n">
        <v>3.0</v>
      </c>
      <c r="Z180" t="n">
        <v>1.0</v>
      </c>
      <c r="AA180" t="n">
        <v>0.0</v>
      </c>
      <c r="AB180" t="n">
        <v>0.0</v>
      </c>
      <c r="AC180" t="n">
        <v>0.0</v>
      </c>
      <c r="AD180" t="n">
        <v>138.0</v>
      </c>
      <c r="AE180" t="n">
        <v>1.0</v>
      </c>
      <c r="AF180" t="n">
        <v>0.0</v>
      </c>
      <c r="AG180" t="n">
        <v>0.0</v>
      </c>
      <c r="AH180" t="n">
        <v>2.0</v>
      </c>
      <c r="AI180" t="n">
        <v>0.0</v>
      </c>
      <c r="AJ180" t="n">
        <v>0.0</v>
      </c>
      <c r="AK180" t="n">
        <v>15.710144927536232</v>
      </c>
      <c r="AL180" t="inlineStr">
        <is>
          <t/>
        </is>
      </c>
    </row>
    <row r="181">
      <c r="A181" t="inlineStr">
        <is>
          <t>315过后终于不用卷了，都卖点好货吧</t>
        </is>
      </c>
      <c r="B181" t="inlineStr">
        <is>
          <t>69db1c110000000022028a67</t>
        </is>
      </c>
      <c r="C181" s="180" t="n">
        <f>HYPERLINK("https://www.xiaohongshu.com/explore/69db1c110000000022028a67?xsec_token=TBv7n0Oy0CPbFvgz473v78kRJUX8B701CeQl6wQQ4KoJ4=&amp;xsec_source=pc_trdark","https://www.xiaohongshu.com/explore/69db1c110000000022028a67?xsec_token=TBv7n0Oy0CPbFvgz473v78kRJUX8B701CeQl6wQQ4KoJ4=&amp;xsec_source=pc_trdark")</f>
        <v>0.0</v>
      </c>
      <c r="D181" t="inlineStr">
        <is>
          <t>鲜水湾</t>
        </is>
      </c>
      <c r="E181" t="inlineStr">
        <is>
          <t>49316638994</t>
        </is>
      </c>
      <c r="F181" t="inlineStr">
        <is>
          <t>2026-04-12 12:14:09</t>
        </is>
      </c>
      <c r="G181" t="inlineStr">
        <is>
          <t>图文</t>
        </is>
      </c>
      <c r="H181" t="inlineStr">
        <is>
          <t>手剥虾仁 无冰衣无添加 低脂餐一人食 上班带饭 顺丰包邮 5盒装</t>
        </is>
      </c>
      <c r="I181" t="inlineStr">
        <is>
          <t>694baba01d450d00013662f0</t>
        </is>
      </c>
      <c r="J181" t="inlineStr">
        <is>
          <t/>
        </is>
      </c>
      <c r="K181" t="n">
        <v>138.0</v>
      </c>
      <c r="L181" t="n">
        <v>2.0</v>
      </c>
      <c r="M181" t="n">
        <v>35.0</v>
      </c>
      <c r="N181" t="n">
        <v>0.2536231884057971</v>
      </c>
      <c r="O181" t="n">
        <v>31.0</v>
      </c>
      <c r="P181" t="n">
        <v>2.0</v>
      </c>
      <c r="Q181" t="inlineStr">
        <is>
          <t>0.05714285714285714</t>
        </is>
      </c>
      <c r="R181" t="inlineStr">
        <is>
          <t>0.06451612903225806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11.0</v>
      </c>
      <c r="Z181" t="n">
        <v>11.0</v>
      </c>
      <c r="AA181" t="n">
        <v>0.0</v>
      </c>
      <c r="AB181" t="n">
        <v>0.0</v>
      </c>
      <c r="AC181" t="n">
        <v>0.0</v>
      </c>
      <c r="AD181" t="n">
        <v>138.0</v>
      </c>
      <c r="AE181" t="n">
        <v>1.0</v>
      </c>
      <c r="AF181" t="n">
        <v>0.0</v>
      </c>
      <c r="AG181" t="n">
        <v>0.0</v>
      </c>
      <c r="AH181" t="n">
        <v>2.0</v>
      </c>
      <c r="AI181" t="n">
        <v>0.0</v>
      </c>
      <c r="AJ181" t="n">
        <v>0.0</v>
      </c>
      <c r="AK181" t="n">
        <v>14.094202898550725</v>
      </c>
      <c r="AL181" t="inlineStr">
        <is>
          <t/>
        </is>
      </c>
    </row>
    <row r="182">
      <c r="A182" t="inlineStr">
        <is>
          <t>一口沦陷，我的本命低卡主食</t>
        </is>
      </c>
      <c r="B182" t="inlineStr">
        <is>
          <t>69d345da000000001f00581a</t>
        </is>
      </c>
      <c r="C182" s="181" t="n">
        <f>HYPERLINK("https://www.xiaohongshu.com/explore/69d345da000000001f00581a?xsec_token=TBhEDzysvLbwbBD8CIa_-jsaRhUZZqmCkd0gfoiEgTiqQ=&amp;xsec_source=pc_trdark","https://www.xiaohongshu.com/explore/69d345da000000001f00581a?xsec_token=TBhEDzysvLbwbBD8CIa_-jsaRhUZZqmCkd0gfoiEgTiqQ=&amp;xsec_source=pc_trdark")</f>
        <v>0.0</v>
      </c>
      <c r="D182" t="inlineStr">
        <is>
          <t>菲菲上班吃什么</t>
        </is>
      </c>
      <c r="E182" t="inlineStr">
        <is>
          <t>49936530607</t>
        </is>
      </c>
      <c r="F182" t="inlineStr">
        <is>
          <t>2026-04-06 13:34:18</t>
        </is>
      </c>
      <c r="G182" t="inlineStr">
        <is>
          <t>图文</t>
        </is>
      </c>
      <c r="H182" t="inlineStr">
        <is>
          <t>手剥虾仁 无冰衣无添加 低脂餐一人食 上班带饭 顺丰包邮 5盒装</t>
        </is>
      </c>
      <c r="I182" t="inlineStr">
        <is>
          <t>694baba01d450d00013662f0</t>
        </is>
      </c>
      <c r="J182" t="inlineStr">
        <is>
          <t/>
        </is>
      </c>
      <c r="K182" t="n">
        <v>99.0</v>
      </c>
      <c r="L182" t="n">
        <v>1.0</v>
      </c>
      <c r="M182" t="n">
        <v>14.0</v>
      </c>
      <c r="N182" t="inlineStr">
        <is>
          <t>0.10294117647058823</t>
        </is>
      </c>
      <c r="O182" t="n">
        <v>12.0</v>
      </c>
      <c r="P182" t="n">
        <v>1.0</v>
      </c>
      <c r="Q182" t="inlineStr">
        <is>
          <t>0.07142857142857142</t>
        </is>
      </c>
      <c r="R182" t="inlineStr">
        <is>
          <t>0.08333333333333333</t>
        </is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4.0</v>
      </c>
      <c r="Z182" t="n">
        <v>1.0</v>
      </c>
      <c r="AA182" t="n">
        <v>0.0</v>
      </c>
      <c r="AB182" t="n">
        <v>0.0</v>
      </c>
      <c r="AC182" t="n">
        <v>0.0</v>
      </c>
      <c r="AD182" t="n">
        <v>136.0</v>
      </c>
      <c r="AE182" t="n">
        <v>2.0</v>
      </c>
      <c r="AF182" t="n">
        <v>0.0</v>
      </c>
      <c r="AG182" t="n">
        <v>0.0</v>
      </c>
      <c r="AH182" t="n">
        <v>1.0</v>
      </c>
      <c r="AI182" t="n">
        <v>0.0</v>
      </c>
      <c r="AJ182" t="n">
        <v>0.0</v>
      </c>
      <c r="AK182" t="n">
        <v>10.941176470588236</v>
      </c>
      <c r="AL182" t="inlineStr">
        <is>
          <t/>
        </is>
      </c>
    </row>
    <row r="183">
      <c r="A183" t="inlineStr">
        <is>
          <t>这个三文鱼，太适合上班带饭了</t>
        </is>
      </c>
      <c r="B183" t="inlineStr">
        <is>
          <t>69eb1a37000000001b022551</t>
        </is>
      </c>
      <c r="C183" s="182" t="n">
        <f>HYPERLINK("https://www.xiaohongshu.com/explore/69eb1a37000000001b022551?xsec_token=TBKYxphePGFVFgSUNcsuIbTR4L-E0LfvIzR5PTqd2jR_Q=&amp;xsec_source=pc_trdark","https://www.xiaohongshu.com/explore/69eb1a37000000001b022551?xsec_token=TBKYxphePGFVFgSUNcsuIbTR4L-E0LfvIzR5PTqd2jR_Q=&amp;xsec_source=pc_trdark")</f>
        <v>0.0</v>
      </c>
      <c r="D183" t="inlineStr">
        <is>
          <t>婉婉上班吃什么</t>
        </is>
      </c>
      <c r="E183" t="inlineStr">
        <is>
          <t>11434449706</t>
        </is>
      </c>
      <c r="F183" t="inlineStr">
        <is>
          <t>2026-04-24 15:22:31</t>
        </is>
      </c>
      <c r="G183" t="inlineStr">
        <is>
          <t>图文</t>
        </is>
      </c>
      <c r="H183" t="inlineStr">
        <is>
          <t>智利三文鱼切块·整条三文鱼·深海鱼一人食健康饮食</t>
        </is>
      </c>
      <c r="I183" t="inlineStr">
        <is>
          <t>691ac562a524ee0001b51d7b</t>
        </is>
      </c>
      <c r="J183" t="inlineStr">
        <is>
          <t/>
        </is>
      </c>
      <c r="K183" t="n">
        <v>68.0</v>
      </c>
      <c r="L183" t="n">
        <v>1.0</v>
      </c>
      <c r="M183" t="n">
        <v>13.0</v>
      </c>
      <c r="N183" t="n">
        <v>0.0962962962962963</v>
      </c>
      <c r="O183" t="n">
        <v>13.0</v>
      </c>
      <c r="P183" t="n">
        <v>1.0</v>
      </c>
      <c r="Q183" t="inlineStr">
        <is>
          <t>0.07692307692307693</t>
        </is>
      </c>
      <c r="R183" t="inlineStr">
        <is>
          <t>0.07692307692307693</t>
        </is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5.0</v>
      </c>
      <c r="Z183" t="n">
        <v>0.0</v>
      </c>
      <c r="AA183" t="n">
        <v>0.0</v>
      </c>
      <c r="AB183" t="n">
        <v>0.0</v>
      </c>
      <c r="AC183" t="n">
        <v>0.0</v>
      </c>
      <c r="AD183" t="n">
        <v>135.0</v>
      </c>
      <c r="AE183" t="n">
        <v>0.0</v>
      </c>
      <c r="AF183" t="n">
        <v>1.0</v>
      </c>
      <c r="AG183" t="n">
        <v>0.0</v>
      </c>
      <c r="AH183" t="n">
        <v>0.0</v>
      </c>
      <c r="AI183" t="n">
        <v>0.0</v>
      </c>
      <c r="AJ183" t="n">
        <v>0.0</v>
      </c>
      <c r="AK183" t="n">
        <v>9.77037037037037</v>
      </c>
      <c r="AL183" t="inlineStr">
        <is>
          <t/>
        </is>
      </c>
    </row>
    <row r="184">
      <c r="A184" t="inlineStr">
        <is>
          <t>我宣布，三文鱼就是管理期的神！</t>
        </is>
      </c>
      <c r="B184" t="inlineStr">
        <is>
          <t>69eeca9a00000000220286a8</t>
        </is>
      </c>
      <c r="C184" s="183" t="n">
        <f>HYPERLINK("https://www.xiaohongshu.com/explore/69eeca9a00000000220286a8?xsec_token=TB3JCI8OO3ItJ5gw9_OIE0bHPjOSWuiepy70YEjK9DQrU=&amp;xsec_source=pc_trdark","https://www.xiaohongshu.com/explore/69eeca9a00000000220286a8?xsec_token=TB3JCI8OO3ItJ5gw9_OIE0bHPjOSWuiepy70YEjK9DQrU=&amp;xsec_source=pc_trdark")</f>
        <v>0.0</v>
      </c>
      <c r="D184" t="inlineStr">
        <is>
          <t>婉婉上班吃什么</t>
        </is>
      </c>
      <c r="E184" t="inlineStr">
        <is>
          <t>11434449706</t>
        </is>
      </c>
      <c r="F184" t="inlineStr">
        <is>
          <t>2026-04-27 10:31:54</t>
        </is>
      </c>
      <c r="G184" t="inlineStr">
        <is>
          <t>图文</t>
        </is>
      </c>
      <c r="H184" t="inlineStr">
        <is>
          <t>智利三文鱼切块·整条三文鱼·深海鱼一人食健康饮食</t>
        </is>
      </c>
      <c r="I184" t="inlineStr">
        <is>
          <t>691ac562a524ee0001b51d7b</t>
        </is>
      </c>
      <c r="J184" t="inlineStr">
        <is>
          <t/>
        </is>
      </c>
      <c r="K184" t="n">
        <v>0.0</v>
      </c>
      <c r="L184" t="n">
        <v>0.0</v>
      </c>
      <c r="M184" t="n">
        <v>13.0</v>
      </c>
      <c r="N184" t="inlineStr">
        <is>
          <t>0.09701492537313433</t>
        </is>
      </c>
      <c r="O184" t="n">
        <v>10.0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inlineStr">
        <is>
          <t/>
        </is>
      </c>
      <c r="X184" t="n">
        <v>0.0</v>
      </c>
      <c r="Y184" t="n">
        <v>3.0</v>
      </c>
      <c r="Z184" t="n">
        <v>3.0</v>
      </c>
      <c r="AA184" t="n">
        <v>0.0</v>
      </c>
      <c r="AB184" t="n">
        <v>0.0</v>
      </c>
      <c r="AC184" t="n">
        <v>0.0</v>
      </c>
      <c r="AD184" t="n">
        <v>134.0</v>
      </c>
      <c r="AE184" t="n">
        <v>2.0</v>
      </c>
      <c r="AF184" t="n">
        <v>3.0</v>
      </c>
      <c r="AG184" t="n">
        <v>0.0</v>
      </c>
      <c r="AH184" t="n">
        <v>3.0</v>
      </c>
      <c r="AI184" t="n">
        <v>1.0</v>
      </c>
      <c r="AJ184" t="n">
        <v>0.0</v>
      </c>
      <c r="AK184" t="n">
        <v>16.30597014925373</v>
      </c>
      <c r="AL184" t="inlineStr">
        <is>
          <t/>
        </is>
      </c>
    </row>
    <row r="185">
      <c r="A185" t="inlineStr">
        <is>
          <t>七天逼自己So了好多</t>
        </is>
      </c>
      <c r="B185" t="inlineStr">
        <is>
          <t>69e71bd6000000001b002acd</t>
        </is>
      </c>
      <c r="C185" s="184" t="n">
        <f>HYPERLINK("https://www.xiaohongshu.com/explore/69e71bd6000000001b002acd?xsec_token=TBxJD1S06w8M0Ib6UdHEwWiMipvkF3VA8FVS6SV7Y0Cig=&amp;xsec_source=pc_trdark","https://www.xiaohongshu.com/explore/69e71bd6000000001b002acd?xsec_token=TBxJD1S06w8M0Ib6UdHEwWiMipvkF3VA8FVS6SV7Y0Cig=&amp;xsec_source=pc_trdark")</f>
        <v>0.0</v>
      </c>
      <c r="D185" t="inlineStr">
        <is>
          <t>鲜水湾甄选</t>
        </is>
      </c>
      <c r="E185" t="inlineStr">
        <is>
          <t>27401929161</t>
        </is>
      </c>
      <c r="F185" t="inlineStr">
        <is>
          <t>2026-04-21 16:30:00</t>
        </is>
      </c>
      <c r="G185" t="inlineStr">
        <is>
          <t>图文</t>
        </is>
      </c>
      <c r="H185" t="inlineStr">
        <is>
          <t>手剥虾仁 无冰衣无添加 低脂餐一人食 上班带饭 顺丰包邮 5盒装</t>
        </is>
      </c>
      <c r="I185" t="inlineStr">
        <is>
          <t>694baba01d450d00013662f0</t>
        </is>
      </c>
      <c r="J185" t="inlineStr">
        <is>
          <t/>
        </is>
      </c>
      <c r="K185" t="n">
        <v>0.0</v>
      </c>
      <c r="L185" t="n">
        <v>0.0</v>
      </c>
      <c r="M185" t="n">
        <v>8.0</v>
      </c>
      <c r="N185" t="inlineStr">
        <is>
          <t>0.05970149253731343</t>
        </is>
      </c>
      <c r="O185" t="n">
        <v>8.0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inlineStr">
        <is>
          <t/>
        </is>
      </c>
      <c r="X185" t="n">
        <v>0.0</v>
      </c>
      <c r="Y185" t="n">
        <v>2.0</v>
      </c>
      <c r="Z185" t="n">
        <v>6.0</v>
      </c>
      <c r="AA185" t="n">
        <v>0.0</v>
      </c>
      <c r="AB185" t="n">
        <v>0.0</v>
      </c>
      <c r="AC185" t="n">
        <v>0.0</v>
      </c>
      <c r="AD185" t="n">
        <v>134.0</v>
      </c>
      <c r="AE185" t="n">
        <v>4.0</v>
      </c>
      <c r="AF185" t="n">
        <v>0.0</v>
      </c>
      <c r="AG185" t="n">
        <v>0.0</v>
      </c>
      <c r="AH185" t="n">
        <v>1.0</v>
      </c>
      <c r="AI185" t="n">
        <v>0.0</v>
      </c>
      <c r="AJ185" t="n">
        <v>0.0</v>
      </c>
      <c r="AK185" t="n">
        <v>18.723880597014926</v>
      </c>
      <c r="AL185" t="inlineStr">
        <is>
          <t/>
        </is>
      </c>
    </row>
    <row r="186">
      <c r="A186" t="inlineStr">
        <is>
          <t>带饭的尽头…真是懒人饭</t>
        </is>
      </c>
      <c r="B186" t="inlineStr">
        <is>
          <t>69e6e2220000000022026017</t>
        </is>
      </c>
      <c r="C186" s="185" t="n">
        <f>HYPERLINK("https://www.xiaohongshu.com/explore/69e6e2220000000022026017?xsec_token=TBXs2O6r9V_Qdtui9pffX9XSK-m7rCWslFJwWurj5O9FM=&amp;xsec_source=pc_trdark","https://www.xiaohongshu.com/explore/69e6e2220000000022026017?xsec_token=TBXs2O6r9V_Qdtui9pffX9XSK-m7rCWslFJwWurj5O9FM=&amp;xsec_source=pc_trdark")</f>
        <v>0.0</v>
      </c>
      <c r="D186" t="inlineStr">
        <is>
          <t>婉婉上班吃什么</t>
        </is>
      </c>
      <c r="E186" t="inlineStr">
        <is>
          <t>11434449706</t>
        </is>
      </c>
      <c r="F186" t="inlineStr">
        <is>
          <t>2026-04-21 10:34:10</t>
        </is>
      </c>
      <c r="G186" t="inlineStr">
        <is>
          <t>图文</t>
        </is>
      </c>
      <c r="H186" t="inlineStr">
        <is>
          <t>手剥虾仁 无冰衣无添加 低脂餐一人食 上班带饭 顺丰包邮 5盒装</t>
        </is>
      </c>
      <c r="I186" t="inlineStr">
        <is>
          <t>694baba01d450d00013662f0</t>
        </is>
      </c>
      <c r="J186" t="inlineStr">
        <is>
          <t/>
        </is>
      </c>
      <c r="K186" t="n">
        <v>0.0</v>
      </c>
      <c r="L186" t="n">
        <v>0.0</v>
      </c>
      <c r="M186" t="n">
        <v>19.0</v>
      </c>
      <c r="N186" t="inlineStr">
        <is>
          <t>0.14285714285714285</t>
        </is>
      </c>
      <c r="O186" t="n">
        <v>13.0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inlineStr">
        <is>
          <t/>
        </is>
      </c>
      <c r="X186" t="n">
        <v>0.0</v>
      </c>
      <c r="Y186" t="n">
        <v>3.0</v>
      </c>
      <c r="Z186" t="n">
        <v>4.0</v>
      </c>
      <c r="AA186" t="n">
        <v>0.0</v>
      </c>
      <c r="AB186" t="n">
        <v>0.0</v>
      </c>
      <c r="AC186" t="n">
        <v>0.0</v>
      </c>
      <c r="AD186" t="n">
        <v>133.0</v>
      </c>
      <c r="AE186" t="n">
        <v>2.0</v>
      </c>
      <c r="AF186" t="n">
        <v>1.0</v>
      </c>
      <c r="AG186" t="n">
        <v>0.0</v>
      </c>
      <c r="AH186" t="n">
        <v>2.0</v>
      </c>
      <c r="AI186" t="n">
        <v>0.0</v>
      </c>
      <c r="AJ186" t="n">
        <v>0.0</v>
      </c>
      <c r="AK186" t="n">
        <v>17.345864661654137</v>
      </c>
      <c r="AL186" t="inlineStr">
        <is>
          <t/>
        </is>
      </c>
    </row>
    <row r="187">
      <c r="A187" t="inlineStr">
        <is>
          <t>给同事带的饭，收她们一人 18 贵吗</t>
        </is>
      </c>
      <c r="B187" t="inlineStr">
        <is>
          <t>69e0aef4000000002202529e</t>
        </is>
      </c>
      <c r="C187" s="186" t="n">
        <f>HYPERLINK("https://www.xiaohongshu.com/explore/69e0aef4000000002202529e?xsec_token=TB4w-SzmaCvFu1U8FhRGBUu07Zdbb6i3TIz77V7a7JUxc=&amp;xsec_source=pc_trdark","https://www.xiaohongshu.com/explore/69e0aef4000000002202529e?xsec_token=TB4w-SzmaCvFu1U8FhRGBUu07Zdbb6i3TIz77V7a7JUxc=&amp;xsec_source=pc_trdark")</f>
        <v>0.0</v>
      </c>
      <c r="D187" t="inlineStr">
        <is>
          <t>婉婉上班吃什么</t>
        </is>
      </c>
      <c r="E187" t="inlineStr">
        <is>
          <t>11434449706</t>
        </is>
      </c>
      <c r="F187" t="inlineStr">
        <is>
          <t>2026-04-16 17:42:12</t>
        </is>
      </c>
      <c r="G187" t="inlineStr">
        <is>
          <t>图文</t>
        </is>
      </c>
      <c r="H187" t="inlineStr">
        <is>
          <t>手剥虾仁 无冰衣无添加 低脂餐一人食 上班带饭 顺丰包邮 5盒装</t>
        </is>
      </c>
      <c r="I187" t="inlineStr">
        <is>
          <t>694baba01d450d00013662f0</t>
        </is>
      </c>
      <c r="J187" t="inlineStr">
        <is>
          <t/>
        </is>
      </c>
      <c r="K187" t="n">
        <v>69.0</v>
      </c>
      <c r="L187" t="n">
        <v>1.0</v>
      </c>
      <c r="M187" t="n">
        <v>14.0</v>
      </c>
      <c r="N187" t="inlineStr">
        <is>
          <t>0.10526315789473684</t>
        </is>
      </c>
      <c r="O187" t="n">
        <v>13.0</v>
      </c>
      <c r="P187" t="n">
        <v>1.0</v>
      </c>
      <c r="Q187" t="inlineStr">
        <is>
          <t>0.07142857142857142</t>
        </is>
      </c>
      <c r="R187" t="inlineStr">
        <is>
          <t>0.07692307692307693</t>
        </is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4.0</v>
      </c>
      <c r="Z187" t="n">
        <v>2.0</v>
      </c>
      <c r="AA187" t="n">
        <v>0.0</v>
      </c>
      <c r="AB187" t="n">
        <v>0.0</v>
      </c>
      <c r="AC187" t="n">
        <v>0.0</v>
      </c>
      <c r="AD187" t="n">
        <v>133.0</v>
      </c>
      <c r="AE187" t="n">
        <v>2.0</v>
      </c>
      <c r="AF187" t="n">
        <v>0.0</v>
      </c>
      <c r="AG187" t="n">
        <v>0.0</v>
      </c>
      <c r="AH187" t="n">
        <v>1.0</v>
      </c>
      <c r="AI187" t="n">
        <v>0.0</v>
      </c>
      <c r="AJ187" t="n">
        <v>0.0</v>
      </c>
      <c r="AK187" t="n">
        <v>20.60902255639098</v>
      </c>
      <c r="AL187" t="inlineStr">
        <is>
          <t/>
        </is>
      </c>
    </row>
    <row r="188">
      <c r="A188" t="inlineStr">
        <is>
          <t>奉劝各位上班带饭的姐妹…</t>
        </is>
      </c>
      <c r="B188" t="inlineStr">
        <is>
          <t>69db57ba000000002003bbe4</t>
        </is>
      </c>
      <c r="C188" s="187" t="n">
        <f>HYPERLINK("https://www.xiaohongshu.com/explore/69db57ba000000002003bbe4?xsec_token=TBv7n0Oy0CPbFvgz473v78kQVvZd-hMG-vWIfSA6rgC1M=&amp;xsec_source=pc_trdark","https://www.xiaohongshu.com/explore/69db57ba000000002003bbe4?xsec_token=TBv7n0Oy0CPbFvgz473v78kQVvZd-hMG-vWIfSA6rgC1M=&amp;xsec_source=pc_trdark")</f>
        <v>0.0</v>
      </c>
      <c r="D188" t="inlineStr">
        <is>
          <t>菲菲上班吃什么</t>
        </is>
      </c>
      <c r="E188" t="inlineStr">
        <is>
          <t>49936530607</t>
        </is>
      </c>
      <c r="F188" t="inlineStr">
        <is>
          <t>2026-04-12 16:28:42</t>
        </is>
      </c>
      <c r="G188" t="inlineStr">
        <is>
          <t>图文</t>
        </is>
      </c>
      <c r="H188" t="inlineStr">
        <is>
          <t>手剥虾仁 无冰衣无添加 低脂餐一人食 上班带饭 顺丰包邮 5盒装</t>
        </is>
      </c>
      <c r="I188" t="inlineStr">
        <is>
          <t>694baba01d450d00013662f0</t>
        </is>
      </c>
      <c r="J188" t="inlineStr">
        <is>
          <t/>
        </is>
      </c>
      <c r="K188" t="n">
        <v>0.0</v>
      </c>
      <c r="L188" t="n">
        <v>0.0</v>
      </c>
      <c r="M188" t="n">
        <v>13.0</v>
      </c>
      <c r="N188" t="inlineStr">
        <is>
          <t>0.09774436090225563</t>
        </is>
      </c>
      <c r="O188" t="n">
        <v>13.0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inlineStr">
        <is>
          <t/>
        </is>
      </c>
      <c r="X188" t="n">
        <v>0.0</v>
      </c>
      <c r="Y188" t="n">
        <v>3.0</v>
      </c>
      <c r="Z188" t="n">
        <v>6.0</v>
      </c>
      <c r="AA188" t="n">
        <v>0.0</v>
      </c>
      <c r="AB188" t="n">
        <v>0.0</v>
      </c>
      <c r="AC188" t="n">
        <v>0.0</v>
      </c>
      <c r="AD188" t="n">
        <v>133.0</v>
      </c>
      <c r="AE188" t="n">
        <v>3.0</v>
      </c>
      <c r="AF188" t="n">
        <v>0.0</v>
      </c>
      <c r="AG188" t="n">
        <v>0.0</v>
      </c>
      <c r="AH188" t="n">
        <v>1.0</v>
      </c>
      <c r="AI188" t="n">
        <v>0.0</v>
      </c>
      <c r="AJ188" t="n">
        <v>0.0</v>
      </c>
      <c r="AK188" t="n">
        <v>12.165413533834586</v>
      </c>
      <c r="AL188" t="inlineStr">
        <is>
          <t/>
        </is>
      </c>
    </row>
    <row r="189">
      <c r="A189" t="inlineStr">
        <is>
          <t>小月龄宝宝也可以放心吃的甜虾</t>
        </is>
      </c>
      <c r="B189" t="inlineStr">
        <is>
          <t>696d934e000000000c03739d</t>
        </is>
      </c>
      <c r="C189" s="188" t="n">
        <f>HYPERLINK("https://www.xiaohongshu.com/explore/696d934e000000000c03739d?xsec_token=TBhBdCGGh1NnVPomuS6-J4HwnPfzoQjjmMIF8f8-czTKA=&amp;xsec_source=pc_trdark","https://www.xiaohongshu.com/explore/696d934e000000000c03739d?xsec_token=TBhBdCGGh1NnVPomuS6-J4HwnPfzoQjjmMIF8f8-czTKA=&amp;xsec_source=pc_trdark")</f>
        <v>0.0</v>
      </c>
      <c r="D189" t="inlineStr">
        <is>
          <t>鲜水湾甄选</t>
        </is>
      </c>
      <c r="E189" t="inlineStr">
        <is>
          <t>27401929161</t>
        </is>
      </c>
      <c r="F189" t="inlineStr">
        <is>
          <t>2026-01-19 15:23:00</t>
        </is>
      </c>
      <c r="G189" t="inlineStr">
        <is>
          <t>视频</t>
        </is>
      </c>
      <c r="H189" t="inlineStr">
        <is>
          <t>北极甜虾头籽甜虾元宝虾北极熊冰虾孕妈妈宝宝辅食顺丰</t>
        </is>
      </c>
      <c r="I189" t="inlineStr">
        <is>
          <t>6953717eb8f0bb000115158d</t>
        </is>
      </c>
      <c r="J189" t="n">
        <v>35.0</v>
      </c>
      <c r="K189" t="n">
        <v>0.0</v>
      </c>
      <c r="L189" t="n">
        <v>0.0</v>
      </c>
      <c r="M189" t="n">
        <v>2.0</v>
      </c>
      <c r="N189" t="inlineStr">
        <is>
          <t>0.015037593984962405</t>
        </is>
      </c>
      <c r="O189" t="n">
        <v>2.0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inlineStr">
        <is>
          <t/>
        </is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133.0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11.759398496240602</v>
      </c>
      <c r="AL189" t="n">
        <v>0.1568627450980392</v>
      </c>
    </row>
    <row r="190">
      <c r="A190" t="inlineStr">
        <is>
          <t>给宝宝做辅食，我终于不用自己剥虾仁了……</t>
        </is>
      </c>
      <c r="B190" t="inlineStr">
        <is>
          <t>69d50692000000001f00490a</t>
        </is>
      </c>
      <c r="C190" s="189" t="n">
        <f>HYPERLINK("https://www.xiaohongshu.com/explore/69d50692000000001f00490a?xsec_token=TB8iwnyw3eAUAW6IHOsxIm-ktNz7tiAanUIjNe1_zphw4=&amp;xsec_source=pc_trdark","https://www.xiaohongshu.com/explore/69d50692000000001f00490a?xsec_token=TB8iwnyw3eAUAW6IHOsxIm-ktNz7tiAanUIjNe1_zphw4=&amp;xsec_source=pc_trdark")</f>
        <v>0.0</v>
      </c>
      <c r="D190" t="inlineStr">
        <is>
          <t>婉婉上班吃什么</t>
        </is>
      </c>
      <c r="E190" t="inlineStr">
        <is>
          <t>11434449706</t>
        </is>
      </c>
      <c r="F190" t="inlineStr">
        <is>
          <t>2026-04-07 21:28:50</t>
        </is>
      </c>
      <c r="G190" t="inlineStr">
        <is>
          <t>图文</t>
        </is>
      </c>
      <c r="H190" t="inlineStr">
        <is>
          <t>手剥虾仁 无冰衣无添加 低脂餐一人食 上班带饭 顺丰包邮 5盒装</t>
        </is>
      </c>
      <c r="I190" t="inlineStr">
        <is>
          <t>694baba01d450d00013662f0</t>
        </is>
      </c>
      <c r="J190" t="inlineStr">
        <is>
          <t/>
        </is>
      </c>
      <c r="K190" t="n">
        <v>0.0</v>
      </c>
      <c r="L190" t="n">
        <v>0.0</v>
      </c>
      <c r="M190" t="n">
        <v>11.0</v>
      </c>
      <c r="N190" t="inlineStr">
        <is>
          <t>0.08396946564885496</t>
        </is>
      </c>
      <c r="O190" t="n">
        <v>9.0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inlineStr">
        <is>
          <t/>
        </is>
      </c>
      <c r="X190" t="n">
        <v>0.0</v>
      </c>
      <c r="Y190" t="n">
        <v>4.0</v>
      </c>
      <c r="Z190" t="n">
        <v>2.0</v>
      </c>
      <c r="AA190" t="n">
        <v>0.0</v>
      </c>
      <c r="AB190" t="n">
        <v>0.0</v>
      </c>
      <c r="AC190" t="n">
        <v>0.0</v>
      </c>
      <c r="AD190" t="n">
        <v>131.0</v>
      </c>
      <c r="AE190" t="n">
        <v>1.0</v>
      </c>
      <c r="AF190" t="n">
        <v>1.0</v>
      </c>
      <c r="AG190" t="n">
        <v>0.0</v>
      </c>
      <c r="AH190" t="n">
        <v>1.0</v>
      </c>
      <c r="AI190" t="n">
        <v>0.0</v>
      </c>
      <c r="AJ190" t="n">
        <v>0.0</v>
      </c>
      <c r="AK190" t="n">
        <v>10.297709923664122</v>
      </c>
      <c r="AL190" t="inlineStr">
        <is>
          <t/>
        </is>
      </c>
    </row>
    <row r="191">
      <c r="A191" t="inlineStr">
        <is>
          <t>不夸张，我在Xhs买的虾仁从未失手过</t>
        </is>
      </c>
      <c r="B191" t="inlineStr">
        <is>
          <t>69e4f85b000000002301cff7</t>
        </is>
      </c>
      <c r="C191" s="190" t="n">
        <f>HYPERLINK("https://www.xiaohongshu.com/explore/69e4f85b000000002301cff7?xsec_token=TBI6zUu_7YWKPdAT4Ivp_K15L1h7vv7hicxRAYLXzISG8=&amp;xsec_source=pc_trdark","https://www.xiaohongshu.com/explore/69e4f85b000000002301cff7?xsec_token=TBI6zUu_7YWKPdAT4Ivp_K15L1h7vv7hicxRAYLXzISG8=&amp;xsec_source=pc_trdark")</f>
        <v>0.0</v>
      </c>
      <c r="D191" t="inlineStr">
        <is>
          <t>婉婉上班吃什么</t>
        </is>
      </c>
      <c r="E191" t="inlineStr">
        <is>
          <t>11434449706</t>
        </is>
      </c>
      <c r="F191" t="inlineStr">
        <is>
          <t>2026-04-19 23:44:28</t>
        </is>
      </c>
      <c r="G191" t="inlineStr">
        <is>
          <t>图文</t>
        </is>
      </c>
      <c r="H191" t="inlineStr">
        <is>
          <t>手剥虾仁 无冰衣无添加 低脂餐一人食 上班带饭 顺丰包邮 5盒装</t>
        </is>
      </c>
      <c r="I191" t="inlineStr">
        <is>
          <t>694baba01d450d00013662f0</t>
        </is>
      </c>
      <c r="J191" t="inlineStr">
        <is>
          <t/>
        </is>
      </c>
      <c r="K191" t="n">
        <v>138.0</v>
      </c>
      <c r="L191" t="n">
        <v>2.0</v>
      </c>
      <c r="M191" t="n">
        <v>31.0</v>
      </c>
      <c r="N191" t="inlineStr">
        <is>
          <t>0.23846153846153847</t>
        </is>
      </c>
      <c r="O191" t="n">
        <v>28.0</v>
      </c>
      <c r="P191" t="n">
        <v>2.0</v>
      </c>
      <c r="Q191" t="inlineStr">
        <is>
          <t>0.06451612903225806</t>
        </is>
      </c>
      <c r="R191" t="inlineStr">
        <is>
          <t>0.07142857142857142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7.0</v>
      </c>
      <c r="Z191" t="n">
        <v>4.0</v>
      </c>
      <c r="AA191" t="n">
        <v>0.0</v>
      </c>
      <c r="AB191" t="n">
        <v>0.0</v>
      </c>
      <c r="AC191" t="n">
        <v>0.0</v>
      </c>
      <c r="AD191" t="n">
        <v>130.0</v>
      </c>
      <c r="AE191" t="n">
        <v>3.0</v>
      </c>
      <c r="AF191" t="n">
        <v>1.0</v>
      </c>
      <c r="AG191" t="n">
        <v>0.0</v>
      </c>
      <c r="AH191" t="n">
        <v>2.0</v>
      </c>
      <c r="AI191" t="n">
        <v>1.0</v>
      </c>
      <c r="AJ191" t="n">
        <v>0.0</v>
      </c>
      <c r="AK191" t="n">
        <v>10.792307692307693</v>
      </c>
      <c r="AL191" t="inlineStr">
        <is>
          <t/>
        </is>
      </c>
    </row>
    <row r="192">
      <c r="A192" t="inlineStr">
        <is>
          <t>话不多说，五一前必须瘦到100斤</t>
        </is>
      </c>
      <c r="B192" t="inlineStr">
        <is>
          <t>69e312b4000000001e00ee23</t>
        </is>
      </c>
      <c r="C192" s="191" t="n">
        <f>HYPERLINK("https://www.xiaohongshu.com/explore/69e312b4000000001e00ee23?xsec_token=TBdjj7K6Nlm9yT2LpYB6PpNgT0xnHB6UdAQ1-lq7iey8Y=&amp;xsec_source=pc_trdark","https://www.xiaohongshu.com/explore/69e312b4000000001e00ee23?xsec_token=TBdjj7K6Nlm9yT2LpYB6PpNgT0xnHB6UdAQ1-lq7iey8Y=&amp;xsec_source=pc_trdark")</f>
        <v>0.0</v>
      </c>
      <c r="D192" t="inlineStr">
        <is>
          <t>婉婉上班吃什么</t>
        </is>
      </c>
      <c r="E192" t="inlineStr">
        <is>
          <t>11434449706</t>
        </is>
      </c>
      <c r="F192" t="inlineStr">
        <is>
          <t>2026-04-18 13:12:20</t>
        </is>
      </c>
      <c r="G192" t="inlineStr">
        <is>
          <t>图文</t>
        </is>
      </c>
      <c r="H192" t="inlineStr">
        <is>
          <t>手剥虾仁 无冰衣无添加 低脂餐一人食 上班带饭 顺丰包邮 5盒装</t>
        </is>
      </c>
      <c r="I192" t="inlineStr">
        <is>
          <t>694baba01d450d00013662f0</t>
        </is>
      </c>
      <c r="J192" t="inlineStr">
        <is>
          <t/>
        </is>
      </c>
      <c r="K192" t="n">
        <v>0.0</v>
      </c>
      <c r="L192" t="n">
        <v>0.0</v>
      </c>
      <c r="M192" t="n">
        <v>9.0</v>
      </c>
      <c r="N192" t="inlineStr">
        <is>
          <t>0.06923076923076923</t>
        </is>
      </c>
      <c r="O192" t="n">
        <v>8.0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inlineStr">
        <is>
          <t/>
        </is>
      </c>
      <c r="X192" t="n">
        <v>0.0</v>
      </c>
      <c r="Y192" t="n">
        <v>1.0</v>
      </c>
      <c r="Z192" t="n">
        <v>4.0</v>
      </c>
      <c r="AA192" t="n">
        <v>0.0</v>
      </c>
      <c r="AB192" t="n">
        <v>0.0</v>
      </c>
      <c r="AC192" t="n">
        <v>0.0</v>
      </c>
      <c r="AD192" t="n">
        <v>130.0</v>
      </c>
      <c r="AE192" t="n">
        <v>1.0</v>
      </c>
      <c r="AF192" t="n">
        <v>0.0</v>
      </c>
      <c r="AG192" t="n">
        <v>0.0</v>
      </c>
      <c r="AH192" t="n">
        <v>1.0</v>
      </c>
      <c r="AI192" t="n">
        <v>0.0</v>
      </c>
      <c r="AJ192" t="n">
        <v>0.0</v>
      </c>
      <c r="AK192" t="n">
        <v>9.553846153846154</v>
      </c>
      <c r="AL192" t="inlineStr">
        <is>
          <t/>
        </is>
      </c>
    </row>
    <row r="193">
      <c r="A193" t="inlineStr">
        <is>
          <t>同事以为我每天吃轻食店，其实一周才花69……</t>
        </is>
      </c>
      <c r="B193" t="inlineStr">
        <is>
          <t>69d45fd0000000001f003f75</t>
        </is>
      </c>
      <c r="C193" s="192" t="n">
        <f>HYPERLINK("https://www.xiaohongshu.com/explore/69d45fd0000000001f003f75?xsec_token=TBCfzrc-PQxdd2ruCVqHUjYia33EoocmvV4fRHx7XCYzg=&amp;xsec_source=pc_trdark","https://www.xiaohongshu.com/explore/69d45fd0000000001f003f75?xsec_token=TBCfzrc-PQxdd2ruCVqHUjYia33EoocmvV4fRHx7XCYzg=&amp;xsec_source=pc_trdark")</f>
        <v>0.0</v>
      </c>
      <c r="D193" t="inlineStr">
        <is>
          <t>菲菲上班吃什么</t>
        </is>
      </c>
      <c r="E193" t="inlineStr">
        <is>
          <t>49936530607</t>
        </is>
      </c>
      <c r="F193" t="inlineStr">
        <is>
          <t>2026-04-07 09:37:20</t>
        </is>
      </c>
      <c r="G193" t="inlineStr">
        <is>
          <t>图文</t>
        </is>
      </c>
      <c r="H193" t="inlineStr">
        <is>
          <t>手剥虾仁 无冰衣无添加 低脂餐一人食 上班带饭 顺丰包邮 5盒装</t>
        </is>
      </c>
      <c r="I193" t="inlineStr">
        <is>
          <t>694baba01d450d00013662f0</t>
        </is>
      </c>
      <c r="J193" t="inlineStr">
        <is>
          <t/>
        </is>
      </c>
      <c r="K193" t="n">
        <v>0.0</v>
      </c>
      <c r="L193" t="n">
        <v>0.0</v>
      </c>
      <c r="M193" t="n">
        <v>8.0</v>
      </c>
      <c r="N193" t="inlineStr">
        <is>
          <t>0.06153846153846154</t>
        </is>
      </c>
      <c r="O193" t="n">
        <v>7.0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inlineStr">
        <is>
          <t/>
        </is>
      </c>
      <c r="X193" t="n">
        <v>0.0</v>
      </c>
      <c r="Y193" t="n">
        <v>1.0</v>
      </c>
      <c r="Z193" t="n">
        <v>5.0</v>
      </c>
      <c r="AA193" t="n">
        <v>0.0</v>
      </c>
      <c r="AB193" t="n">
        <v>0.0</v>
      </c>
      <c r="AC193" t="n">
        <v>0.0</v>
      </c>
      <c r="AD193" t="n">
        <v>130.0</v>
      </c>
      <c r="AE193" t="n">
        <v>3.0</v>
      </c>
      <c r="AF193" t="n">
        <v>0.0</v>
      </c>
      <c r="AG193" t="n">
        <v>0.0</v>
      </c>
      <c r="AH193" t="n">
        <v>1.0</v>
      </c>
      <c r="AI193" t="n">
        <v>1.0</v>
      </c>
      <c r="AJ193" t="n">
        <v>0.0</v>
      </c>
      <c r="AK193" t="n">
        <v>12.36923076923077</v>
      </c>
      <c r="AL193" t="inlineStr">
        <is>
          <t/>
        </is>
      </c>
    </row>
    <row r="194">
      <c r="A194" t="inlineStr">
        <is>
          <t>爸妈还是低估了100多块的购买力，够吃一周</t>
        </is>
      </c>
      <c r="B194" t="inlineStr">
        <is>
          <t>69d367310000000023025410</t>
        </is>
      </c>
      <c r="C194" s="193" t="n">
        <f>HYPERLINK("https://www.xiaohongshu.com/explore/69d367310000000023025410?xsec_token=TBhEDzysvLbwbBD8CIa_-jseWCRTcwsOpQiEjsSx69kQ4=&amp;xsec_source=pc_trdark","https://www.xiaohongshu.com/explore/69d367310000000023025410?xsec_token=TBhEDzysvLbwbBD8CIa_-jseWCRTcwsOpQiEjsSx69kQ4=&amp;xsec_source=pc_trdark")</f>
        <v>0.0</v>
      </c>
      <c r="D194" t="inlineStr">
        <is>
          <t>鲜水湾甄选</t>
        </is>
      </c>
      <c r="E194" t="inlineStr">
        <is>
          <t>27401929161</t>
        </is>
      </c>
      <c r="F194" t="inlineStr">
        <is>
          <t>2026-04-06 15:56:33</t>
        </is>
      </c>
      <c r="G194" t="inlineStr">
        <is>
          <t>图文</t>
        </is>
      </c>
      <c r="H194" t="inlineStr">
        <is>
          <t>手剥虾仁 无冰衣无添加 低脂餐一人食 上班带饭 顺丰包邮 5盒装</t>
        </is>
      </c>
      <c r="I194" t="inlineStr">
        <is>
          <t>694baba01d450d00013662f0</t>
        </is>
      </c>
      <c r="J194" t="inlineStr">
        <is>
          <t/>
        </is>
      </c>
      <c r="K194" t="n">
        <v>0.0</v>
      </c>
      <c r="L194" t="n">
        <v>0.0</v>
      </c>
      <c r="M194" t="n">
        <v>17.0</v>
      </c>
      <c r="N194" t="inlineStr">
        <is>
          <t>0.13076923076923078</t>
        </is>
      </c>
      <c r="O194" t="n">
        <v>16.0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inlineStr">
        <is>
          <t/>
        </is>
      </c>
      <c r="X194" t="n">
        <v>0.0</v>
      </c>
      <c r="Y194" t="n">
        <v>4.0</v>
      </c>
      <c r="Z194" t="n">
        <v>3.0</v>
      </c>
      <c r="AA194" t="n">
        <v>0.0</v>
      </c>
      <c r="AB194" t="n">
        <v>0.0</v>
      </c>
      <c r="AC194" t="n">
        <v>0.0</v>
      </c>
      <c r="AD194" t="n">
        <v>130.0</v>
      </c>
      <c r="AE194" t="n">
        <v>4.0</v>
      </c>
      <c r="AF194" t="n">
        <v>2.0</v>
      </c>
      <c r="AG194" t="n">
        <v>0.0</v>
      </c>
      <c r="AH194" t="n">
        <v>1.0</v>
      </c>
      <c r="AI194" t="n">
        <v>0.0</v>
      </c>
      <c r="AJ194" t="n">
        <v>0.0</v>
      </c>
      <c r="AK194" t="n">
        <v>17.146153846153847</v>
      </c>
      <c r="AL194" t="inlineStr">
        <is>
          <t/>
        </is>
      </c>
    </row>
    <row r="195">
      <c r="A195" t="inlineStr">
        <is>
          <t>带饭的尽头…真的是懒人饭</t>
        </is>
      </c>
      <c r="B195" t="inlineStr">
        <is>
          <t>69ccaa3f000000002301cdb3</t>
        </is>
      </c>
      <c r="C195" s="194" t="n">
        <f>HYPERLINK("https://www.xiaohongshu.com/explore/69ccaa3f000000002301cdb3?xsec_token=TBmwaR-CbxUmnLfgemf1f-ghEB0Zsy-YE3k4ZP4fJLfHI=&amp;xsec_source=pc_trdark","https://www.xiaohongshu.com/explore/69ccaa3f000000002301cdb3?xsec_token=TBmwaR-CbxUmnLfgemf1f-ghEB0Zsy-YE3k4ZP4fJLfHI=&amp;xsec_source=pc_trdark")</f>
        <v>0.0</v>
      </c>
      <c r="D195" t="inlineStr">
        <is>
          <t>菲菲上班吃什么</t>
        </is>
      </c>
      <c r="E195" t="inlineStr">
        <is>
          <t>49936530607</t>
        </is>
      </c>
      <c r="F195" t="inlineStr">
        <is>
          <t>2026-04-01 13:16:48</t>
        </is>
      </c>
      <c r="G195" t="inlineStr">
        <is>
          <t>图文</t>
        </is>
      </c>
      <c r="H195" t="inlineStr">
        <is>
          <t>手剥虾仁 无冰衣无添加 低脂餐一人食 上班带饭 顺丰包邮 5盒装</t>
        </is>
      </c>
      <c r="I195" t="inlineStr">
        <is>
          <t>694baba01d450d00013662f0</t>
        </is>
      </c>
      <c r="J195" t="inlineStr">
        <is>
          <t/>
        </is>
      </c>
      <c r="K195" t="n">
        <v>138.0</v>
      </c>
      <c r="L195" t="n">
        <v>2.0</v>
      </c>
      <c r="M195" t="n">
        <v>18.0</v>
      </c>
      <c r="N195" t="inlineStr">
        <is>
          <t>0.13846153846153847</t>
        </is>
      </c>
      <c r="O195" t="n">
        <v>17.0</v>
      </c>
      <c r="P195" t="n">
        <v>2.0</v>
      </c>
      <c r="Q195" t="n">
        <v>0.1111111111111111</v>
      </c>
      <c r="R195" t="inlineStr">
        <is>
          <t>0.11764705882352941</t>
        </is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5.0</v>
      </c>
      <c r="Z195" t="n">
        <v>3.0</v>
      </c>
      <c r="AA195" t="n">
        <v>0.0</v>
      </c>
      <c r="AB195" t="n">
        <v>0.0</v>
      </c>
      <c r="AC195" t="n">
        <v>0.0</v>
      </c>
      <c r="AD195" t="n">
        <v>130.0</v>
      </c>
      <c r="AE195" t="n">
        <v>1.0</v>
      </c>
      <c r="AF195" t="n">
        <v>1.0</v>
      </c>
      <c r="AG195" t="n">
        <v>0.0</v>
      </c>
      <c r="AH195" t="n">
        <v>1.0</v>
      </c>
      <c r="AI195" t="n">
        <v>0.0</v>
      </c>
      <c r="AJ195" t="n">
        <v>0.0</v>
      </c>
      <c r="AK195" t="n">
        <v>11.376923076923077</v>
      </c>
      <c r="AL195" t="inlineStr">
        <is>
          <t/>
        </is>
      </c>
    </row>
    <row r="196">
      <c r="A196" t="inlineStr">
        <is>
          <t>说一个撑死人但热量很低的东西</t>
        </is>
      </c>
      <c r="B196" t="inlineStr">
        <is>
          <t>69b52200000000001f004cb6</t>
        </is>
      </c>
      <c r="C196" s="195" t="n">
        <f>HYPERLINK("https://www.xiaohongshu.com/explore/69b52200000000001f004cb6?xsec_token=TBYgTJ9EzKmyKny4Vfc-tHE_34MvcIgicVzQ80fbRormE=&amp;xsec_source=pc_trdark","https://www.xiaohongshu.com/explore/69b52200000000001f004cb6?xsec_token=TBYgTJ9EzKmyKny4Vfc-tHE_34MvcIgicVzQ80fbRormE=&amp;xsec_source=pc_trdark")</f>
        <v>0.0</v>
      </c>
      <c r="D196" t="inlineStr">
        <is>
          <t>婉婉上班吃什么</t>
        </is>
      </c>
      <c r="E196" t="inlineStr">
        <is>
          <t>11434449706</t>
        </is>
      </c>
      <c r="F196" t="inlineStr">
        <is>
          <t>2026-03-14 16:53:20</t>
        </is>
      </c>
      <c r="G196" t="inlineStr">
        <is>
          <t>图文</t>
        </is>
      </c>
      <c r="H196" t="inlineStr">
        <is>
          <t>手剥虾仁 无冰衣无添加 低脂餐一人食 上班带饭 顺丰包邮 5盒装</t>
        </is>
      </c>
      <c r="I196" t="inlineStr">
        <is>
          <t>694baba01d450d00013662f0</t>
        </is>
      </c>
      <c r="J196" t="inlineStr">
        <is>
          <t/>
        </is>
      </c>
      <c r="K196" t="n">
        <v>0.0</v>
      </c>
      <c r="L196" t="n">
        <v>0.0</v>
      </c>
      <c r="M196" t="n">
        <v>5.0</v>
      </c>
      <c r="N196" t="inlineStr">
        <is>
          <t>0.03875968992248062</t>
        </is>
      </c>
      <c r="O196" t="n">
        <v>5.0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inlineStr">
        <is>
          <t/>
        </is>
      </c>
      <c r="X196" t="n">
        <v>0.0</v>
      </c>
      <c r="Y196" t="n">
        <v>1.0</v>
      </c>
      <c r="Z196" t="n">
        <v>1.0</v>
      </c>
      <c r="AA196" t="n">
        <v>0.0</v>
      </c>
      <c r="AB196" t="n">
        <v>0.0</v>
      </c>
      <c r="AC196" t="n">
        <v>0.0</v>
      </c>
      <c r="AD196" t="n">
        <v>129.0</v>
      </c>
      <c r="AE196" t="n">
        <v>2.0</v>
      </c>
      <c r="AF196" t="n">
        <v>1.0</v>
      </c>
      <c r="AG196" t="n">
        <v>0.0</v>
      </c>
      <c r="AH196" t="n">
        <v>0.0</v>
      </c>
      <c r="AI196" t="n">
        <v>0.0</v>
      </c>
      <c r="AJ196" t="n">
        <v>0.0</v>
      </c>
      <c r="AK196" t="n">
        <v>6.604651162790698</v>
      </c>
      <c r="AL196" t="inlineStr">
        <is>
          <t/>
        </is>
      </c>
    </row>
    <row r="197">
      <c r="A197" t="inlineStr">
        <is>
          <t>128块的购买力具象化了，轻松搞定一周轻食</t>
        </is>
      </c>
      <c r="B197" t="inlineStr">
        <is>
          <t>69ecaafd0000000020038518</t>
        </is>
      </c>
      <c r="C197" s="196" t="n">
        <f>HYPERLINK("https://www.xiaohongshu.com/explore/69ecaafd0000000020038518?xsec_token=TBnoSF_--XRDuLtfF77lVqPzsbBXfpMszp9WKAAdkjpcg=&amp;xsec_source=pc_trdark","https://www.xiaohongshu.com/explore/69ecaafd0000000020038518?xsec_token=TBnoSF_--XRDuLtfF77lVqPzsbBXfpMszp9WKAAdkjpcg=&amp;xsec_source=pc_trdark")</f>
        <v>0.0</v>
      </c>
      <c r="D197" t="inlineStr">
        <is>
          <t>菲菲上班吃什么</t>
        </is>
      </c>
      <c r="E197" t="inlineStr">
        <is>
          <t>49936530607</t>
        </is>
      </c>
      <c r="F197" t="inlineStr">
        <is>
          <t>2026-04-25 19:52:29</t>
        </is>
      </c>
      <c r="G197" t="inlineStr">
        <is>
          <t>图文</t>
        </is>
      </c>
      <c r="H197" t="inlineStr">
        <is>
          <t>手剥虾仁 无冰衣无添加 低脂餐一人食 上班带饭 顺丰包邮 5盒装</t>
        </is>
      </c>
      <c r="I197" t="inlineStr">
        <is>
          <t>694baba01d450d00013662f0</t>
        </is>
      </c>
      <c r="J197" t="inlineStr">
        <is>
          <t/>
        </is>
      </c>
      <c r="K197" t="n">
        <v>0.0</v>
      </c>
      <c r="L197" t="n">
        <v>0.0</v>
      </c>
      <c r="M197" t="n">
        <v>11.0</v>
      </c>
      <c r="N197" t="n">
        <v>0.0873015873015873</v>
      </c>
      <c r="O197" t="n">
        <v>11.0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inlineStr">
        <is>
          <t/>
        </is>
      </c>
      <c r="X197" t="n">
        <v>0.0</v>
      </c>
      <c r="Y197" t="n">
        <v>1.0</v>
      </c>
      <c r="Z197" t="n">
        <v>3.0</v>
      </c>
      <c r="AA197" t="n">
        <v>0.0</v>
      </c>
      <c r="AB197" t="n">
        <v>0.0</v>
      </c>
      <c r="AC197" t="n">
        <v>0.0</v>
      </c>
      <c r="AD197" t="n">
        <v>126.0</v>
      </c>
      <c r="AE197" t="n">
        <v>3.0</v>
      </c>
      <c r="AF197" t="n">
        <v>2.0</v>
      </c>
      <c r="AG197" t="n">
        <v>0.0</v>
      </c>
      <c r="AH197" t="n">
        <v>1.0</v>
      </c>
      <c r="AI197" t="n">
        <v>1.0</v>
      </c>
      <c r="AJ197" t="n">
        <v>0.0</v>
      </c>
      <c r="AK197" t="n">
        <v>16.61111111111111</v>
      </c>
      <c r="AL197" t="inlineStr">
        <is>
          <t/>
        </is>
      </c>
    </row>
    <row r="198">
      <c r="A198" t="inlineStr">
        <is>
          <t>我也不想买啊，可它69够我吃一周的哎</t>
        </is>
      </c>
      <c r="B198" t="inlineStr">
        <is>
          <t>69e5e7250000000023010100</t>
        </is>
      </c>
      <c r="C198" s="197" t="n">
        <f>HYPERLINK("https://www.xiaohongshu.com/explore/69e5e7250000000023010100?xsec_token=TBRM_4pSbJalcnymykJyoKXe3BT-J23nKspLPmy-h-Zgw=&amp;xsec_source=pc_trdark","https://www.xiaohongshu.com/explore/69e5e7250000000023010100?xsec_token=TBRM_4pSbJalcnymykJyoKXe3BT-J23nKspLPmy-h-Zgw=&amp;xsec_source=pc_trdark")</f>
        <v>0.0</v>
      </c>
      <c r="D198" t="inlineStr">
        <is>
          <t>鲜水湾甄选</t>
        </is>
      </c>
      <c r="E198" t="inlineStr">
        <is>
          <t>27401929161</t>
        </is>
      </c>
      <c r="F198" t="inlineStr">
        <is>
          <t>2026-04-20 17:30:00</t>
        </is>
      </c>
      <c r="G198" t="inlineStr">
        <is>
          <t>图文</t>
        </is>
      </c>
      <c r="H198" t="inlineStr">
        <is>
          <t>手剥虾仁 无冰衣无添加 低脂餐一人食 上班带饭 顺丰包邮 5盒装</t>
        </is>
      </c>
      <c r="I198" t="inlineStr">
        <is>
          <t>694baba01d450d00013662f0</t>
        </is>
      </c>
      <c r="J198" t="inlineStr">
        <is>
          <t/>
        </is>
      </c>
      <c r="K198" t="n">
        <v>128.0</v>
      </c>
      <c r="L198" t="n">
        <v>1.0</v>
      </c>
      <c r="M198" t="n">
        <v>17.0</v>
      </c>
      <c r="N198" t="n">
        <v>0.136</v>
      </c>
      <c r="O198" t="n">
        <v>16.0</v>
      </c>
      <c r="P198" t="n">
        <v>1.0</v>
      </c>
      <c r="Q198" t="inlineStr">
        <is>
          <t>0.058823529411764705</t>
        </is>
      </c>
      <c r="R198" t="n">
        <v>0.0625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1.0</v>
      </c>
      <c r="Z198" t="n">
        <v>4.0</v>
      </c>
      <c r="AA198" t="n">
        <v>0.0</v>
      </c>
      <c r="AB198" t="n">
        <v>0.0</v>
      </c>
      <c r="AC198" t="n">
        <v>0.0</v>
      </c>
      <c r="AD198" t="n">
        <v>125.0</v>
      </c>
      <c r="AE198" t="n">
        <v>4.0</v>
      </c>
      <c r="AF198" t="n">
        <v>1.0</v>
      </c>
      <c r="AG198" t="n">
        <v>0.0</v>
      </c>
      <c r="AH198" t="n">
        <v>1.0</v>
      </c>
      <c r="AI198" t="n">
        <v>0.0</v>
      </c>
      <c r="AJ198" t="n">
        <v>0.0</v>
      </c>
      <c r="AK198" t="n">
        <v>8.408</v>
      </c>
      <c r="AL198" t="inlineStr">
        <is>
          <t/>
        </is>
      </c>
    </row>
    <row r="199">
      <c r="A199" t="inlineStr">
        <is>
          <t>同事问我怎么每天带饭都是虾仁……</t>
        </is>
      </c>
      <c r="B199" t="inlineStr">
        <is>
          <t>69c4f367000000001f00102e</t>
        </is>
      </c>
      <c r="C199" s="198" t="n">
        <f>HYPERLINK("https://www.xiaohongshu.com/explore/69c4f367000000001f00102e?xsec_token=TBIVv4KG_Is8XT8uyOgDE1Rx9jc3uVRVNnU2AS_ccjcSg=&amp;xsec_source=pc_trdark","https://www.xiaohongshu.com/explore/69c4f367000000001f00102e?xsec_token=TBIVv4KG_Is8XT8uyOgDE1Rx9jc3uVRVNnU2AS_ccjcSg=&amp;xsec_source=pc_trdark")</f>
        <v>0.0</v>
      </c>
      <c r="D199" t="inlineStr">
        <is>
          <t>婉婉上班吃什么</t>
        </is>
      </c>
      <c r="E199" t="inlineStr">
        <is>
          <t>11434449706</t>
        </is>
      </c>
      <c r="F199" t="inlineStr">
        <is>
          <t>2026-03-26 16:50:47</t>
        </is>
      </c>
      <c r="G199" t="inlineStr">
        <is>
          <t>图文</t>
        </is>
      </c>
      <c r="H199" t="inlineStr">
        <is>
          <t>手剥虾仁 无冰衣无添加 低脂餐一人食 上班带饭 顺丰包邮 5盒装</t>
        </is>
      </c>
      <c r="I199" t="inlineStr">
        <is>
          <t>694baba01d450d00013662f0</t>
        </is>
      </c>
      <c r="J199" t="inlineStr">
        <is>
          <t/>
        </is>
      </c>
      <c r="K199" t="n">
        <v>0.0</v>
      </c>
      <c r="L199" t="n">
        <v>0.0</v>
      </c>
      <c r="M199" t="n">
        <v>8.0</v>
      </c>
      <c r="N199" t="inlineStr">
        <is>
          <t>0.06451612903225806</t>
        </is>
      </c>
      <c r="O199" t="n">
        <v>8.0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inlineStr">
        <is>
          <t/>
        </is>
      </c>
      <c r="X199" t="n">
        <v>0.0</v>
      </c>
      <c r="Y199" t="n">
        <v>1.0</v>
      </c>
      <c r="Z199" t="n">
        <v>2.0</v>
      </c>
      <c r="AA199" t="n">
        <v>0.0</v>
      </c>
      <c r="AB199" t="n">
        <v>0.0</v>
      </c>
      <c r="AC199" t="n">
        <v>0.0</v>
      </c>
      <c r="AD199" t="n">
        <v>124.0</v>
      </c>
      <c r="AE199" t="n">
        <v>0.0</v>
      </c>
      <c r="AF199" t="n">
        <v>1.0</v>
      </c>
      <c r="AG199" t="n">
        <v>0.0</v>
      </c>
      <c r="AH199" t="n">
        <v>0.0</v>
      </c>
      <c r="AI199" t="n">
        <v>0.0</v>
      </c>
      <c r="AJ199" t="n">
        <v>0.0</v>
      </c>
      <c r="AK199" t="n">
        <v>11.314516129032258</v>
      </c>
      <c r="AL199" t="inlineStr">
        <is>
          <t/>
        </is>
      </c>
    </row>
    <row r="200">
      <c r="A200" t="inlineStr">
        <is>
          <t>爆浆的生蚝能吃吗？</t>
        </is>
      </c>
      <c r="B200" t="inlineStr">
        <is>
          <t>691ed184000000001f008fde</t>
        </is>
      </c>
      <c r="C200" s="199" t="n">
        <f>HYPERLINK("https://www.xiaohongshu.com/explore/691ed184000000001f008fde?xsec_token=TBP5gqTrG7DCZJhae0kWWz8FB-IXxbZH93VjaVQAM6cMc=&amp;xsec_source=pc_trdark","https://www.xiaohongshu.com/explore/691ed184000000001f008fde?xsec_token=TBP5gqTrG7DCZJhae0kWWz8FB-IXxbZH93VjaVQAM6cMc=&amp;xsec_source=pc_trdark")</f>
        <v>0.0</v>
      </c>
      <c r="D200" t="inlineStr">
        <is>
          <t>婉婉上班吃什么</t>
        </is>
      </c>
      <c r="E200" t="inlineStr">
        <is>
          <t>11434449706</t>
        </is>
      </c>
      <c r="F200" t="inlineStr">
        <is>
          <t>2025-11-20 17:29:55</t>
        </is>
      </c>
      <c r="G200" t="inlineStr">
        <is>
          <t>视频</t>
        </is>
      </c>
      <c r="H200" t="inlineStr">
        <is>
          <t>生蚝乳山生蚝海蛎子顺丰包邮</t>
        </is>
      </c>
      <c r="I200" t="inlineStr">
        <is>
          <t>690c70971b787900010866cc</t>
        </is>
      </c>
      <c r="J200" t="n">
        <v>33.0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inlineStr">
        <is>
          <t/>
        </is>
      </c>
      <c r="R200" t="inlineStr">
        <is>
          <t/>
        </is>
      </c>
      <c r="S200" t="n">
        <v>0.0</v>
      </c>
      <c r="T200" t="n">
        <v>0.0</v>
      </c>
      <c r="U200" t="n">
        <v>0.0</v>
      </c>
      <c r="V200" t="n">
        <v>0.0</v>
      </c>
      <c r="W200" t="inlineStr">
        <is>
          <t/>
        </is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124.0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16.991935483870968</v>
      </c>
      <c r="AL200" t="inlineStr">
        <is>
          <t>0.27380952380952384</t>
        </is>
      </c>
    </row>
    <row r="201">
      <c r="A201" t="inlineStr">
        <is>
          <t>被同事说“天天吃虾好奢侈”，我笑了🤭</t>
        </is>
      </c>
      <c r="B201" t="inlineStr">
        <is>
          <t>69edbd5f000000002301c40b</t>
        </is>
      </c>
      <c r="C201" s="200" t="n">
        <f>HYPERLINK("https://www.xiaohongshu.com/explore/69edbd5f000000002301c40b?xsec_token=TB3T22OHPTz18Ew6RRyYsIrLD_MrOoc6CHzjCz510iDts=&amp;xsec_source=pc_trdark","https://www.xiaohongshu.com/explore/69edbd5f000000002301c40b?xsec_token=TB3T22OHPTz18Ew6RRyYsIrLD_MrOoc6CHzjCz510iDts=&amp;xsec_source=pc_trdark")</f>
        <v>0.0</v>
      </c>
      <c r="D201" t="inlineStr">
        <is>
          <t>菲菲上班吃什么</t>
        </is>
      </c>
      <c r="E201" t="inlineStr">
        <is>
          <t>49936530607</t>
        </is>
      </c>
      <c r="F201" t="inlineStr">
        <is>
          <t>2026-04-26 15:23:11</t>
        </is>
      </c>
      <c r="G201" t="inlineStr">
        <is>
          <t>图文</t>
        </is>
      </c>
      <c r="H201" t="inlineStr">
        <is>
          <t>手剥虾仁 无冰衣无添加 低脂餐一人食 上班带饭 顺丰包邮 5盒装</t>
        </is>
      </c>
      <c r="I201" t="inlineStr">
        <is>
          <t>694baba01d450d00013662f0</t>
        </is>
      </c>
      <c r="J201" t="inlineStr">
        <is>
          <t/>
        </is>
      </c>
      <c r="K201" t="n">
        <v>0.0</v>
      </c>
      <c r="L201" t="n">
        <v>0.0</v>
      </c>
      <c r="M201" t="n">
        <v>10.0</v>
      </c>
      <c r="N201" t="inlineStr">
        <is>
          <t>0.08130081300813008</t>
        </is>
      </c>
      <c r="O201" t="n">
        <v>9.0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inlineStr">
        <is>
          <t/>
        </is>
      </c>
      <c r="X201" t="n">
        <v>0.0</v>
      </c>
      <c r="Y201" t="n">
        <v>2.0</v>
      </c>
      <c r="Z201" t="n">
        <v>2.0</v>
      </c>
      <c r="AA201" t="n">
        <v>0.0</v>
      </c>
      <c r="AB201" t="n">
        <v>0.0</v>
      </c>
      <c r="AC201" t="n">
        <v>0.0</v>
      </c>
      <c r="AD201" t="n">
        <v>123.0</v>
      </c>
      <c r="AE201" t="n">
        <v>3.0</v>
      </c>
      <c r="AF201" t="n">
        <v>0.0</v>
      </c>
      <c r="AG201" t="n">
        <v>0.0</v>
      </c>
      <c r="AH201" t="n">
        <v>1.0</v>
      </c>
      <c r="AI201" t="n">
        <v>0.0</v>
      </c>
      <c r="AJ201" t="n">
        <v>0.0</v>
      </c>
      <c r="AK201" t="n">
        <v>12.235772357723578</v>
      </c>
      <c r="AL201" t="inlineStr">
        <is>
          <t/>
        </is>
      </c>
    </row>
    <row r="202">
      <c r="A202" t="inlineStr">
        <is>
          <t>第一次对爬坡后吃快碳起了敬意…</t>
        </is>
      </c>
      <c r="B202" t="inlineStr">
        <is>
          <t>69e70f13000000002302708a</t>
        </is>
      </c>
      <c r="C202" s="201" t="n">
        <f>HYPERLINK("https://www.xiaohongshu.com/explore/69e70f13000000002302708a?xsec_token=TBxJD1S06w8M0Ib6UdHEwWiLZMKGgrz0wZOGSXxfAMzP4=&amp;xsec_source=pc_trdark","https://www.xiaohongshu.com/explore/69e70f13000000002302708a?xsec_token=TBxJD1S06w8M0Ib6UdHEwWiLZMKGgrz0wZOGSXxfAMzP4=&amp;xsec_source=pc_trdark")</f>
        <v>0.0</v>
      </c>
      <c r="D202" t="inlineStr">
        <is>
          <t>鲜水湾甄选</t>
        </is>
      </c>
      <c r="E202" t="inlineStr">
        <is>
          <t>27401929161</t>
        </is>
      </c>
      <c r="F202" t="inlineStr">
        <is>
          <t>2026-04-21 15:30:00</t>
        </is>
      </c>
      <c r="G202" t="inlineStr">
        <is>
          <t>图文</t>
        </is>
      </c>
      <c r="H202" t="inlineStr">
        <is>
          <t>手剥虾仁 无冰衣无添加 低脂餐一人食 上班带饭 顺丰包邮 5盒装</t>
        </is>
      </c>
      <c r="I202" t="inlineStr">
        <is>
          <t>694baba01d450d00013662f0</t>
        </is>
      </c>
      <c r="J202" t="inlineStr">
        <is>
          <t/>
        </is>
      </c>
      <c r="K202" t="n">
        <v>128.0</v>
      </c>
      <c r="L202" t="n">
        <v>1.0</v>
      </c>
      <c r="M202" t="n">
        <v>3.0</v>
      </c>
      <c r="N202" t="inlineStr">
        <is>
          <t>0.024390243902439025</t>
        </is>
      </c>
      <c r="O202" t="n">
        <v>3.0</v>
      </c>
      <c r="P202" t="n">
        <v>1.0</v>
      </c>
      <c r="Q202" t="n">
        <v>0.3333333333333333</v>
      </c>
      <c r="R202" t="n">
        <v>0.3333333333333333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1.0</v>
      </c>
      <c r="AA202" t="n">
        <v>0.0</v>
      </c>
      <c r="AB202" t="n">
        <v>0.0</v>
      </c>
      <c r="AC202" t="n">
        <v>0.0</v>
      </c>
      <c r="AD202" t="n">
        <v>123.0</v>
      </c>
      <c r="AE202" t="n">
        <v>2.0</v>
      </c>
      <c r="AF202" t="n">
        <v>0.0</v>
      </c>
      <c r="AG202" t="n">
        <v>0.0</v>
      </c>
      <c r="AH202" t="n">
        <v>1.0</v>
      </c>
      <c r="AI202" t="n">
        <v>0.0</v>
      </c>
      <c r="AJ202" t="n">
        <v>0.0</v>
      </c>
      <c r="AK202" t="n">
        <v>20.764227642276424</v>
      </c>
      <c r="AL202" t="inlineStr">
        <is>
          <t/>
        </is>
      </c>
    </row>
    <row r="203">
      <c r="A203" t="inlineStr">
        <is>
          <t>公司微波炉坏了第三天，我反而吃得更健康了</t>
        </is>
      </c>
      <c r="B203" t="inlineStr">
        <is>
          <t>69d72a0a000000001a035441</t>
        </is>
      </c>
      <c r="C203" s="202" t="n">
        <f>HYPERLINK("https://www.xiaohongshu.com/explore/69d72a0a000000001a035441?xsec_token=TBabSJw1DqF320Z_FWL3yrQ4FNW-A6uz3hRCcckrS4NpQ=&amp;xsec_source=pc_trdark","https://www.xiaohongshu.com/explore/69d72a0a000000001a035441?xsec_token=TBabSJw1DqF320Z_FWL3yrQ4FNW-A6uz3hRCcckrS4NpQ=&amp;xsec_source=pc_trdark")</f>
        <v>0.0</v>
      </c>
      <c r="D203" t="inlineStr">
        <is>
          <t>菲菲上班吃什么</t>
        </is>
      </c>
      <c r="E203" t="inlineStr">
        <is>
          <t>49936530607</t>
        </is>
      </c>
      <c r="F203" t="inlineStr">
        <is>
          <t>2026-04-09 12:24:42</t>
        </is>
      </c>
      <c r="G203" t="inlineStr">
        <is>
          <t>图文</t>
        </is>
      </c>
      <c r="H203" t="inlineStr">
        <is>
          <t>手剥虾仁 无冰衣无添加 低脂餐一人食 上班带饭 顺丰包邮 5盒装</t>
        </is>
      </c>
      <c r="I203" t="inlineStr">
        <is>
          <t>694baba01d450d00013662f0</t>
        </is>
      </c>
      <c r="J203" t="inlineStr">
        <is>
          <t/>
        </is>
      </c>
      <c r="K203" t="n">
        <v>0.0</v>
      </c>
      <c r="L203" t="n">
        <v>0.0</v>
      </c>
      <c r="M203" t="n">
        <v>5.0</v>
      </c>
      <c r="N203" t="inlineStr">
        <is>
          <t>0.040983606557377046</t>
        </is>
      </c>
      <c r="O203" t="n">
        <v>4.0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inlineStr">
        <is>
          <t/>
        </is>
      </c>
      <c r="X203" t="n">
        <v>0.0</v>
      </c>
      <c r="Y203" t="n">
        <v>0.0</v>
      </c>
      <c r="Z203" t="n">
        <v>9.0</v>
      </c>
      <c r="AA203" t="n">
        <v>0.0</v>
      </c>
      <c r="AB203" t="n">
        <v>0.0</v>
      </c>
      <c r="AC203" t="n">
        <v>0.0</v>
      </c>
      <c r="AD203" t="n">
        <v>122.0</v>
      </c>
      <c r="AE203" t="n">
        <v>2.0</v>
      </c>
      <c r="AF203" t="n">
        <v>0.0</v>
      </c>
      <c r="AG203" t="n">
        <v>0.0</v>
      </c>
      <c r="AH203" t="n">
        <v>1.0</v>
      </c>
      <c r="AI203" t="n">
        <v>0.0</v>
      </c>
      <c r="AJ203" t="n">
        <v>0.0</v>
      </c>
      <c r="AK203" t="n">
        <v>11.081967213114755</v>
      </c>
      <c r="AL203" t="inlineStr">
        <is>
          <t/>
        </is>
      </c>
    </row>
    <row r="204">
      <c r="A204" t="inlineStr">
        <is>
          <t>区区300块｜承包我一个月的优质蛋白🐟</t>
        </is>
      </c>
      <c r="B204" t="inlineStr">
        <is>
          <t>69d4ab830000000023015a49</t>
        </is>
      </c>
      <c r="C204" s="203" t="n">
        <f>HYPERLINK("https://www.xiaohongshu.com/explore/69d4ab830000000023015a49?xsec_token=TBCfzrc-PQxdd2ruCVqHUjYorhfXfLenVJRQONPDoAx7g=&amp;xsec_source=pc_trdark","https://www.xiaohongshu.com/explore/69d4ab830000000023015a49?xsec_token=TBCfzrc-PQxdd2ruCVqHUjYorhfXfLenVJRQONPDoAx7g=&amp;xsec_source=pc_trdark")</f>
        <v>0.0</v>
      </c>
      <c r="D204" t="inlineStr">
        <is>
          <t>菲菲上班吃什么</t>
        </is>
      </c>
      <c r="E204" t="inlineStr">
        <is>
          <t>49936530607</t>
        </is>
      </c>
      <c r="F204" t="inlineStr">
        <is>
          <t>2026-04-07 15:00:19</t>
        </is>
      </c>
      <c r="G204" t="inlineStr">
        <is>
          <t>图文</t>
        </is>
      </c>
      <c r="H204" t="inlineStr">
        <is>
          <t>智利三文鱼切块·整条三文鱼·深海鱼一人食健康饮食</t>
        </is>
      </c>
      <c r="I204" t="inlineStr">
        <is>
          <t>691ac562a524ee0001b51d7b</t>
        </is>
      </c>
      <c r="J204" t="inlineStr">
        <is>
          <t/>
        </is>
      </c>
      <c r="K204" t="n">
        <v>68.0</v>
      </c>
      <c r="L204" t="n">
        <v>1.0</v>
      </c>
      <c r="M204" t="n">
        <v>17.0</v>
      </c>
      <c r="N204" t="inlineStr">
        <is>
          <t>0.13934426229508196</t>
        </is>
      </c>
      <c r="O204" t="n">
        <v>13.0</v>
      </c>
      <c r="P204" t="n">
        <v>1.0</v>
      </c>
      <c r="Q204" t="inlineStr">
        <is>
          <t>0.058823529411764705</t>
        </is>
      </c>
      <c r="R204" t="inlineStr">
        <is>
          <t>0.07692307692307693</t>
        </is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1.0</v>
      </c>
      <c r="Z204" t="n">
        <v>2.0</v>
      </c>
      <c r="AA204" t="n">
        <v>0.0</v>
      </c>
      <c r="AB204" t="n">
        <v>0.0</v>
      </c>
      <c r="AC204" t="n">
        <v>0.0</v>
      </c>
      <c r="AD204" t="n">
        <v>122.0</v>
      </c>
      <c r="AE204" t="n">
        <v>2.0</v>
      </c>
      <c r="AF204" t="n">
        <v>0.0</v>
      </c>
      <c r="AG204" t="n">
        <v>0.0</v>
      </c>
      <c r="AH204" t="n">
        <v>1.0</v>
      </c>
      <c r="AI204" t="n">
        <v>0.0</v>
      </c>
      <c r="AJ204" t="n">
        <v>0.0</v>
      </c>
      <c r="AK204" t="n">
        <v>7.770491803278689</v>
      </c>
      <c r="AL204" t="inlineStr">
        <is>
          <t/>
        </is>
      </c>
    </row>
    <row r="205">
      <c r="A205" t="inlineStr">
        <is>
          <t>爸妈对于我每天吃一盒虾表示很奢侈</t>
        </is>
      </c>
      <c r="B205" t="inlineStr">
        <is>
          <t>69e38fde000000001f006526</t>
        </is>
      </c>
      <c r="C205" s="204" t="n">
        <f>HYPERLINK("https://www.xiaohongshu.com/explore/69e38fde000000001f006526?xsec_token=TBdjj7K6Nlm9yT2LpYB6PpNp2WFriUTvUt49zCcxrU3C8=&amp;xsec_source=pc_trdark","https://www.xiaohongshu.com/explore/69e38fde000000001f006526?xsec_token=TBdjj7K6Nlm9yT2LpYB6PpNp2WFriUTvUt49zCcxrU3C8=&amp;xsec_source=pc_trdark")</f>
        <v>0.0</v>
      </c>
      <c r="D205" t="inlineStr">
        <is>
          <t>婉婉上班吃什么</t>
        </is>
      </c>
      <c r="E205" t="inlineStr">
        <is>
          <t>11434449706</t>
        </is>
      </c>
      <c r="F205" t="inlineStr">
        <is>
          <t>2026-04-18 22:06:22</t>
        </is>
      </c>
      <c r="G205" t="inlineStr">
        <is>
          <t>图文</t>
        </is>
      </c>
      <c r="H205" t="inlineStr">
        <is>
          <t>手剥虾仁 无冰衣无添加 低脂餐一人食 上班带饭 顺丰包邮 5盒装</t>
        </is>
      </c>
      <c r="I205" t="inlineStr">
        <is>
          <t>694baba01d450d00013662f0</t>
        </is>
      </c>
      <c r="J205" t="inlineStr">
        <is>
          <t/>
        </is>
      </c>
      <c r="K205" t="n">
        <v>128.0</v>
      </c>
      <c r="L205" t="n">
        <v>1.0</v>
      </c>
      <c r="M205" t="n">
        <v>22.0</v>
      </c>
      <c r="N205" t="inlineStr">
        <is>
          <t>0.18181818181818182</t>
        </is>
      </c>
      <c r="O205" t="n">
        <v>20.0</v>
      </c>
      <c r="P205" t="n">
        <v>1.0</v>
      </c>
      <c r="Q205" t="inlineStr">
        <is>
          <t>0.045454545454545456</t>
        </is>
      </c>
      <c r="R205" t="n">
        <v>0.05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4.0</v>
      </c>
      <c r="Z205" t="n">
        <v>0.0</v>
      </c>
      <c r="AA205" t="n">
        <v>0.0</v>
      </c>
      <c r="AB205" t="n">
        <v>0.0</v>
      </c>
      <c r="AC205" t="n">
        <v>0.0</v>
      </c>
      <c r="AD205" t="n">
        <v>121.0</v>
      </c>
      <c r="AE205" t="n">
        <v>1.0</v>
      </c>
      <c r="AF205" t="n">
        <v>0.0</v>
      </c>
      <c r="AG205" t="n">
        <v>0.0</v>
      </c>
      <c r="AH205" t="n">
        <v>1.0</v>
      </c>
      <c r="AI205" t="n">
        <v>0.0</v>
      </c>
      <c r="AJ205" t="n">
        <v>0.0</v>
      </c>
      <c r="AK205" t="n">
        <v>18.115702479338843</v>
      </c>
      <c r="AL205" t="inlineStr">
        <is>
          <t/>
        </is>
      </c>
    </row>
    <row r="206">
      <c r="A206" t="inlineStr">
        <is>
          <t>连续带饭第7天，同事问我怎么坚持的</t>
        </is>
      </c>
      <c r="B206" t="inlineStr">
        <is>
          <t>69df4f50000000001e00dd41</t>
        </is>
      </c>
      <c r="C206" s="205" t="n">
        <f>HYPERLINK("https://www.xiaohongshu.com/explore/69df4f50000000001e00dd41?xsec_token=TBbELi6fdmnK2TYKEzYY0fWn7XA2WZVn9TAboL--azgXE=&amp;xsec_source=pc_trdark","https://www.xiaohongshu.com/explore/69df4f50000000001e00dd41?xsec_token=TBbELi6fdmnK2TYKEzYY0fWn7XA2WZVn9TAboL--azgXE=&amp;xsec_source=pc_trdark")</f>
        <v>0.0</v>
      </c>
      <c r="D206" t="inlineStr">
        <is>
          <t>菲菲上班吃什么</t>
        </is>
      </c>
      <c r="E206" t="inlineStr">
        <is>
          <t>49936530607</t>
        </is>
      </c>
      <c r="F206" t="inlineStr">
        <is>
          <t>2026-04-15 16:41:52</t>
        </is>
      </c>
      <c r="G206" t="inlineStr">
        <is>
          <t>图文</t>
        </is>
      </c>
      <c r="H206" t="inlineStr">
        <is>
          <t>手剥虾仁 无冰衣无添加 低脂餐一人食 上班带饭 顺丰包邮 5盒装</t>
        </is>
      </c>
      <c r="I206" t="inlineStr">
        <is>
          <t>694baba01d450d00013662f0</t>
        </is>
      </c>
      <c r="J206" t="inlineStr">
        <is>
          <t/>
        </is>
      </c>
      <c r="K206" t="n">
        <v>0.0</v>
      </c>
      <c r="L206" t="n">
        <v>0.0</v>
      </c>
      <c r="M206" t="n">
        <v>7.0</v>
      </c>
      <c r="N206" t="inlineStr">
        <is>
          <t>0.059322033898305086</t>
        </is>
      </c>
      <c r="O206" t="n">
        <v>7.0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inlineStr">
        <is>
          <t/>
        </is>
      </c>
      <c r="X206" t="n">
        <v>0.0</v>
      </c>
      <c r="Y206" t="n">
        <v>1.0</v>
      </c>
      <c r="Z206" t="n">
        <v>5.0</v>
      </c>
      <c r="AA206" t="n">
        <v>0.0</v>
      </c>
      <c r="AB206" t="n">
        <v>0.0</v>
      </c>
      <c r="AC206" t="n">
        <v>0.0</v>
      </c>
      <c r="AD206" t="n">
        <v>118.0</v>
      </c>
      <c r="AE206" t="n">
        <v>3.0</v>
      </c>
      <c r="AF206" t="n">
        <v>0.0</v>
      </c>
      <c r="AG206" t="n">
        <v>0.0</v>
      </c>
      <c r="AH206" t="n">
        <v>1.0</v>
      </c>
      <c r="AI206" t="n">
        <v>0.0</v>
      </c>
      <c r="AJ206" t="n">
        <v>0.0</v>
      </c>
      <c r="AK206" t="n">
        <v>9.830508474576272</v>
      </c>
      <c r="AL206" t="inlineStr">
        <is>
          <t/>
        </is>
      </c>
    </row>
    <row r="207">
      <c r="A207" t="inlineStr">
        <is>
          <t>瘦子同事带的饭一天比一天离谱</t>
        </is>
      </c>
      <c r="B207" t="inlineStr">
        <is>
          <t>69ddf81e0000000023006bb2</t>
        </is>
      </c>
      <c r="C207" s="206" t="n">
        <f>HYPERLINK("https://www.xiaohongshu.com/explore/69ddf81e0000000023006bb2?xsec_token=TB8r3ufLA5jFsQMlCYrT2kPqarlg9gPIwaZSICoqeCr2I=&amp;xsec_source=pc_trdark","https://www.xiaohongshu.com/explore/69ddf81e0000000023006bb2?xsec_token=TB8r3ufLA5jFsQMlCYrT2kPqarlg9gPIwaZSICoqeCr2I=&amp;xsec_source=pc_trdark")</f>
        <v>0.0</v>
      </c>
      <c r="D207" t="inlineStr">
        <is>
          <t>菲菲上班吃什么</t>
        </is>
      </c>
      <c r="E207" t="inlineStr">
        <is>
          <t>49936530607</t>
        </is>
      </c>
      <c r="F207" t="inlineStr">
        <is>
          <t>2026-04-14 16:17:34</t>
        </is>
      </c>
      <c r="G207" t="inlineStr">
        <is>
          <t>图文</t>
        </is>
      </c>
      <c r="H207" t="inlineStr">
        <is>
          <t>手剥虾仁 无冰衣无添加 低脂餐一人食 上班带饭 顺丰包邮 5盒装</t>
        </is>
      </c>
      <c r="I207" t="inlineStr">
        <is>
          <t>694baba01d450d00013662f0</t>
        </is>
      </c>
      <c r="J207" t="inlineStr">
        <is>
          <t/>
        </is>
      </c>
      <c r="K207" t="n">
        <v>0.0</v>
      </c>
      <c r="L207" t="n">
        <v>0.0</v>
      </c>
      <c r="M207" t="n">
        <v>11.0</v>
      </c>
      <c r="N207" t="inlineStr">
        <is>
          <t>0.09401709401709402</t>
        </is>
      </c>
      <c r="O207" t="n">
        <v>11.0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inlineStr">
        <is>
          <t/>
        </is>
      </c>
      <c r="X207" t="n">
        <v>0.0</v>
      </c>
      <c r="Y207" t="n">
        <v>5.0</v>
      </c>
      <c r="Z207" t="n">
        <v>6.0</v>
      </c>
      <c r="AA207" t="n">
        <v>0.0</v>
      </c>
      <c r="AB207" t="n">
        <v>0.0</v>
      </c>
      <c r="AC207" t="n">
        <v>0.0</v>
      </c>
      <c r="AD207" t="n">
        <v>117.0</v>
      </c>
      <c r="AE207" t="n">
        <v>2.0</v>
      </c>
      <c r="AF207" t="n">
        <v>0.0</v>
      </c>
      <c r="AG207" t="n">
        <v>0.0</v>
      </c>
      <c r="AH207" t="n">
        <v>1.0</v>
      </c>
      <c r="AI207" t="n">
        <v>0.0</v>
      </c>
      <c r="AJ207" t="n">
        <v>0.0</v>
      </c>
      <c r="AK207" t="n">
        <v>9.367521367521368</v>
      </c>
      <c r="AL207" t="inlineStr">
        <is>
          <t/>
        </is>
      </c>
    </row>
    <row r="208">
      <c r="A208" t="inlineStr">
        <is>
          <t>算了一笔账，才发现自己以前点外卖巨亏🥲</t>
        </is>
      </c>
      <c r="B208" t="inlineStr">
        <is>
          <t>69d71759000000002301d712</t>
        </is>
      </c>
      <c r="C208" s="207" t="n">
        <f>HYPERLINK("https://www.xiaohongshu.com/explore/69d71759000000002301d712?xsec_token=TBabSJw1DqF320Z_FWL3yrQwcWScDaZU2-_Nd8thoKFCY=&amp;xsec_source=pc_trdark","https://www.xiaohongshu.com/explore/69d71759000000002301d712?xsec_token=TBabSJw1DqF320Z_FWL3yrQwcWScDaZU2-_Nd8thoKFCY=&amp;xsec_source=pc_trdark")</f>
        <v>0.0</v>
      </c>
      <c r="D208" t="inlineStr">
        <is>
          <t>菲菲上班吃什么</t>
        </is>
      </c>
      <c r="E208" t="inlineStr">
        <is>
          <t>49936530607</t>
        </is>
      </c>
      <c r="F208" t="inlineStr">
        <is>
          <t>2026-04-09 11:04:57</t>
        </is>
      </c>
      <c r="G208" t="inlineStr">
        <is>
          <t>图文</t>
        </is>
      </c>
      <c r="H208" t="inlineStr">
        <is>
          <t>手剥虾仁 无冰衣无添加 低脂餐一人食 上班带饭 顺丰包邮 5盒装</t>
        </is>
      </c>
      <c r="I208" t="inlineStr">
        <is>
          <t>694baba01d450d00013662f0</t>
        </is>
      </c>
      <c r="J208" t="inlineStr">
        <is>
          <t/>
        </is>
      </c>
      <c r="K208" t="n">
        <v>0.0</v>
      </c>
      <c r="L208" t="n">
        <v>0.0</v>
      </c>
      <c r="M208" t="n">
        <v>3.0</v>
      </c>
      <c r="N208" t="inlineStr">
        <is>
          <t>0.02586206896551724</t>
        </is>
      </c>
      <c r="O208" t="n">
        <v>3.0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inlineStr">
        <is>
          <t/>
        </is>
      </c>
      <c r="X208" t="n">
        <v>0.0</v>
      </c>
      <c r="Y208" t="n">
        <v>1.0</v>
      </c>
      <c r="Z208" t="n">
        <v>10.0</v>
      </c>
      <c r="AA208" t="n">
        <v>0.0</v>
      </c>
      <c r="AB208" t="n">
        <v>0.0</v>
      </c>
      <c r="AC208" t="n">
        <v>0.0</v>
      </c>
      <c r="AD208" t="n">
        <v>116.0</v>
      </c>
      <c r="AE208" t="n">
        <v>2.0</v>
      </c>
      <c r="AF208" t="n">
        <v>1.0</v>
      </c>
      <c r="AG208" t="n">
        <v>0.0</v>
      </c>
      <c r="AH208" t="n">
        <v>2.0</v>
      </c>
      <c r="AI208" t="n">
        <v>0.0</v>
      </c>
      <c r="AJ208" t="n">
        <v>0.0</v>
      </c>
      <c r="AK208" t="n">
        <v>11.681034482758621</v>
      </c>
      <c r="AL208" t="inlineStr">
        <is>
          <t/>
        </is>
      </c>
    </row>
    <row r="209">
      <c r="A209" t="inlineStr">
        <is>
          <t>和老爸商量后，决定给控体期的姐妹们安排上</t>
        </is>
      </c>
      <c r="B209" t="inlineStr">
        <is>
          <t>69d66a4800000000220264c9</t>
        </is>
      </c>
      <c r="C209" s="208" t="n">
        <f>HYPERLINK("https://www.xiaohongshu.com/explore/69d66a4800000000220264c9?xsec_token=TBvBxKrH7kcVQkSA7MMxNJOQYP9jG3rArYKOWund6vPbg=&amp;xsec_source=pc_trdark","https://www.xiaohongshu.com/explore/69d66a4800000000220264c9?xsec_token=TBvBxKrH7kcVQkSA7MMxNJOQYP9jG3rArYKOWund6vPbg=&amp;xsec_source=pc_trdark")</f>
        <v>0.0</v>
      </c>
      <c r="D209" t="inlineStr">
        <is>
          <t>婉婉上班吃什么</t>
        </is>
      </c>
      <c r="E209" t="inlineStr">
        <is>
          <t>11434449706</t>
        </is>
      </c>
      <c r="F209" t="inlineStr">
        <is>
          <t>2026-04-08 22:46:32</t>
        </is>
      </c>
      <c r="G209" t="inlineStr">
        <is>
          <t>图文</t>
        </is>
      </c>
      <c r="H209" t="inlineStr">
        <is>
          <t>手剥虾仁 无冰衣无添加 低脂餐一人食 上班带饭 顺丰包邮 5盒装</t>
        </is>
      </c>
      <c r="I209" t="inlineStr">
        <is>
          <t>694baba01d450d00013662f0</t>
        </is>
      </c>
      <c r="J209" t="inlineStr">
        <is>
          <t/>
        </is>
      </c>
      <c r="K209" t="n">
        <v>138.0</v>
      </c>
      <c r="L209" t="n">
        <v>2.0</v>
      </c>
      <c r="M209" t="n">
        <v>14.0</v>
      </c>
      <c r="N209" t="inlineStr">
        <is>
          <t>0.12173913043478261</t>
        </is>
      </c>
      <c r="O209" t="n">
        <v>12.0</v>
      </c>
      <c r="P209" t="n">
        <v>2.0</v>
      </c>
      <c r="Q209" t="inlineStr">
        <is>
          <t>0.14285714285714285</t>
        </is>
      </c>
      <c r="R209" t="inlineStr">
        <is>
          <t>0.16666666666666666</t>
        </is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3.0</v>
      </c>
      <c r="Z209" t="n">
        <v>4.0</v>
      </c>
      <c r="AA209" t="n">
        <v>0.0</v>
      </c>
      <c r="AB209" t="n">
        <v>0.0</v>
      </c>
      <c r="AC209" t="n">
        <v>0.0</v>
      </c>
      <c r="AD209" t="n">
        <v>115.0</v>
      </c>
      <c r="AE209" t="n">
        <v>2.0</v>
      </c>
      <c r="AF209" t="n">
        <v>0.0</v>
      </c>
      <c r="AG209" t="n">
        <v>5.0</v>
      </c>
      <c r="AH209" t="n">
        <v>1.0</v>
      </c>
      <c r="AI209" t="n">
        <v>1.0</v>
      </c>
      <c r="AJ209" t="n">
        <v>0.0</v>
      </c>
      <c r="AK209" t="n">
        <v>14.460869565217392</v>
      </c>
      <c r="AL209" t="inlineStr">
        <is>
          <t/>
        </is>
      </c>
    </row>
    <row r="210">
      <c r="A210" t="inlineStr">
        <is>
          <t>奉劝大家不要低估 100 来块的购买力……</t>
        </is>
      </c>
      <c r="B210" t="inlineStr">
        <is>
          <t>69e82b32000000001f004781</t>
        </is>
      </c>
      <c r="C210" s="209" t="n">
        <f>HYPERLINK("https://www.xiaohongshu.com/explore/69e82b32000000001f004781?xsec_token=TBrsJGfbmdICsvnXoyd4QdRg3YJtZHxYPWeU_L5wcPrcY=&amp;xsec_source=pc_trdark","https://www.xiaohongshu.com/explore/69e82b32000000001f004781?xsec_token=TBrsJGfbmdICsvnXoyd4QdRg3YJtZHxYPWeU_L5wcPrcY=&amp;xsec_source=pc_trdark")</f>
        <v>0.0</v>
      </c>
      <c r="D210" t="inlineStr">
        <is>
          <t>婉婉上班吃什么</t>
        </is>
      </c>
      <c r="E210" t="inlineStr">
        <is>
          <t>11434449706</t>
        </is>
      </c>
      <c r="F210" t="inlineStr">
        <is>
          <t>2026-04-22 09:58:10</t>
        </is>
      </c>
      <c r="G210" t="inlineStr">
        <is>
          <t>图文</t>
        </is>
      </c>
      <c r="H210" t="inlineStr">
        <is>
          <t>手剥虾仁 无冰衣无添加 低脂餐一人食 上班带饭 顺丰包邮 5盒装</t>
        </is>
      </c>
      <c r="I210" t="inlineStr">
        <is>
          <t>694baba01d450d00013662f0</t>
        </is>
      </c>
      <c r="J210" t="inlineStr">
        <is>
          <t/>
        </is>
      </c>
      <c r="K210" t="n">
        <v>197.0</v>
      </c>
      <c r="L210" t="n">
        <v>2.0</v>
      </c>
      <c r="M210" t="n">
        <v>26.0</v>
      </c>
      <c r="N210" t="inlineStr">
        <is>
          <t>0.22807017543859648</t>
        </is>
      </c>
      <c r="O210" t="n">
        <v>20.0</v>
      </c>
      <c r="P210" t="n">
        <v>2.0</v>
      </c>
      <c r="Q210" t="inlineStr">
        <is>
          <t>0.07692307692307693</t>
        </is>
      </c>
      <c r="R210" t="n">
        <v>0.1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1.0</v>
      </c>
      <c r="Z210" t="n">
        <v>4.0</v>
      </c>
      <c r="AA210" t="n">
        <v>0.0</v>
      </c>
      <c r="AB210" t="n">
        <v>0.0</v>
      </c>
      <c r="AC210" t="n">
        <v>0.0</v>
      </c>
      <c r="AD210" t="n">
        <v>114.0</v>
      </c>
      <c r="AE210" t="n">
        <v>1.0</v>
      </c>
      <c r="AF210" t="n">
        <v>0.0</v>
      </c>
      <c r="AG210" t="n">
        <v>0.0</v>
      </c>
      <c r="AH210" t="n">
        <v>5.0</v>
      </c>
      <c r="AI210" t="n">
        <v>0.0</v>
      </c>
      <c r="AJ210" t="n">
        <v>0.0</v>
      </c>
      <c r="AK210" t="n">
        <v>14.482456140350877</v>
      </c>
      <c r="AL210" t="inlineStr">
        <is>
          <t/>
        </is>
      </c>
    </row>
    <row r="211">
      <c r="A211" t="inlineStr">
        <is>
          <t>公司没微波炉的打工人，这顿饭救了我</t>
        </is>
      </c>
      <c r="B211" t="inlineStr">
        <is>
          <t>69d4f994000000001f0040f2</t>
        </is>
      </c>
      <c r="C211" s="210" t="n">
        <f>HYPERLINK("https://www.xiaohongshu.com/explore/69d4f994000000001f0040f2?xsec_token=TBCfzrc-PQxdd2ruCVqHUjYmjl0sXqb82dnOCJ_XQJLho=&amp;xsec_source=pc_trdark","https://www.xiaohongshu.com/explore/69d4f994000000001f0040f2?xsec_token=TBCfzrc-PQxdd2ruCVqHUjYmjl0sXqb82dnOCJ_XQJLho=&amp;xsec_source=pc_trdark")</f>
        <v>0.0</v>
      </c>
      <c r="D211" t="inlineStr">
        <is>
          <t>菲菲上班吃什么</t>
        </is>
      </c>
      <c r="E211" t="inlineStr">
        <is>
          <t>49936530607</t>
        </is>
      </c>
      <c r="F211" t="inlineStr">
        <is>
          <t>2026-04-07 20:33:24</t>
        </is>
      </c>
      <c r="G211" t="inlineStr">
        <is>
          <t>图文</t>
        </is>
      </c>
      <c r="H211" t="inlineStr">
        <is>
          <t>手剥虾仁 无冰衣无添加 低脂餐一人食 上班带饭 顺丰包邮 5盒装</t>
        </is>
      </c>
      <c r="I211" t="inlineStr">
        <is>
          <t>694baba01d450d00013662f0</t>
        </is>
      </c>
      <c r="J211" t="inlineStr">
        <is>
          <t/>
        </is>
      </c>
      <c r="K211" t="n">
        <v>0.0</v>
      </c>
      <c r="L211" t="n">
        <v>0.0</v>
      </c>
      <c r="M211" t="n">
        <v>6.0</v>
      </c>
      <c r="N211" t="inlineStr">
        <is>
          <t>0.05263157894736842</t>
        </is>
      </c>
      <c r="O211" t="n">
        <v>6.0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inlineStr">
        <is>
          <t/>
        </is>
      </c>
      <c r="X211" t="n">
        <v>0.0</v>
      </c>
      <c r="Y211" t="n">
        <v>1.0</v>
      </c>
      <c r="Z211" t="n">
        <v>3.0</v>
      </c>
      <c r="AA211" t="n">
        <v>0.0</v>
      </c>
      <c r="AB211" t="n">
        <v>0.0</v>
      </c>
      <c r="AC211" t="n">
        <v>0.0</v>
      </c>
      <c r="AD211" t="n">
        <v>114.0</v>
      </c>
      <c r="AE211" t="n">
        <v>1.0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11.078947368421053</v>
      </c>
      <c r="AL211" t="inlineStr">
        <is>
          <t/>
        </is>
      </c>
    </row>
    <row r="212">
      <c r="A212" t="inlineStr">
        <is>
          <t/>
        </is>
      </c>
      <c r="B212" t="inlineStr">
        <is>
          <t>69d49490000000002202aacb</t>
        </is>
      </c>
      <c r="C212" s="211" t="n">
        <f>HYPERLINK("https://www.xiaohongshu.com/explore/69d49490000000002202aacb?xsec_token=TBCfzrc-PQxdd2ruCVqHUjYjAMwGPY2eMj5xs4Bqz8Jew=&amp;xsec_source=pc_trdark","https://www.xiaohongshu.com/explore/69d49490000000002202aacb?xsec_token=TBCfzrc-PQxdd2ruCVqHUjYjAMwGPY2eMj5xs4Bqz8Jew=&amp;xsec_source=pc_trdark")</f>
        <v>0.0</v>
      </c>
      <c r="D212" t="inlineStr">
        <is>
          <t>婉婉上班吃什么</t>
        </is>
      </c>
      <c r="E212" t="inlineStr">
        <is>
          <t>11434449706</t>
        </is>
      </c>
      <c r="F212" t="inlineStr">
        <is>
          <t>2026-04-07 13:22:24</t>
        </is>
      </c>
      <c r="G212" t="inlineStr">
        <is>
          <t>图文</t>
        </is>
      </c>
      <c r="H212" t="inlineStr">
        <is>
          <t>手剥虾仁 无冰衣无添加 低脂餐一人食 上班带饭 顺丰包邮 5盒装</t>
        </is>
      </c>
      <c r="I212" t="inlineStr">
        <is>
          <t>694baba01d450d00013662f0</t>
        </is>
      </c>
      <c r="J212" t="inlineStr">
        <is>
          <t/>
        </is>
      </c>
      <c r="K212" t="n">
        <v>69.0</v>
      </c>
      <c r="L212" t="n">
        <v>1.0</v>
      </c>
      <c r="M212" t="n">
        <v>18.0</v>
      </c>
      <c r="N212" t="n">
        <v>0.1592920353982301</v>
      </c>
      <c r="O212" t="n">
        <v>17.0</v>
      </c>
      <c r="P212" t="n">
        <v>1.0</v>
      </c>
      <c r="Q212" t="inlineStr">
        <is>
          <t>0.05555555555555555</t>
        </is>
      </c>
      <c r="R212" t="inlineStr">
        <is>
          <t>0.058823529411764705</t>
        </is>
      </c>
      <c r="S212" t="n">
        <v>69.0</v>
      </c>
      <c r="T212" t="n">
        <v>1.0</v>
      </c>
      <c r="U212" t="n">
        <v>1.0</v>
      </c>
      <c r="V212" t="n">
        <v>69.0</v>
      </c>
      <c r="W212" t="n">
        <v>1.0</v>
      </c>
      <c r="X212" t="n">
        <v>1.0</v>
      </c>
      <c r="Y212" t="n">
        <v>1.0</v>
      </c>
      <c r="Z212" t="n">
        <v>1.0</v>
      </c>
      <c r="AA212" t="n">
        <v>0.0</v>
      </c>
      <c r="AB212" t="n">
        <v>0.0</v>
      </c>
      <c r="AC212" t="n">
        <v>0.0</v>
      </c>
      <c r="AD212" t="n">
        <v>113.0</v>
      </c>
      <c r="AE212" t="n">
        <v>2.0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12.256637168141593</v>
      </c>
      <c r="AL212" t="inlineStr">
        <is>
          <t/>
        </is>
      </c>
    </row>
    <row r="213">
      <c r="A213" t="inlineStr">
        <is>
          <t>个人认为配料表zui 干净的虾仁（本人自封）</t>
        </is>
      </c>
      <c r="B213" t="inlineStr">
        <is>
          <t>69df93d60000000023006cec</t>
        </is>
      </c>
      <c r="C213" s="212" t="n">
        <f>HYPERLINK("https://www.xiaohongshu.com/explore/69df93d60000000023006cec?xsec_token=TBbELi6fdmnK2TYKEzYY0fWq3zRp78PKLyKLmjIW9Tiyc=&amp;xsec_source=pc_trdark","https://www.xiaohongshu.com/explore/69df93d60000000023006cec?xsec_token=TBbELi6fdmnK2TYKEzYY0fWq3zRp78PKLyKLmjIW9Tiyc=&amp;xsec_source=pc_trdark")</f>
        <v>0.0</v>
      </c>
      <c r="D213" t="inlineStr">
        <is>
          <t>菲菲上班吃什么</t>
        </is>
      </c>
      <c r="E213" t="inlineStr">
        <is>
          <t>49936530607</t>
        </is>
      </c>
      <c r="F213" t="inlineStr">
        <is>
          <t>2026-04-15 21:34:14</t>
        </is>
      </c>
      <c r="G213" t="inlineStr">
        <is>
          <t>图文</t>
        </is>
      </c>
      <c r="H213" t="inlineStr">
        <is>
          <t>手剥虾仁 无冰衣无添加 低脂餐一人食 上班带饭 顺丰包邮 5盒装</t>
        </is>
      </c>
      <c r="I213" t="inlineStr">
        <is>
          <t>694baba01d450d00013662f0</t>
        </is>
      </c>
      <c r="J213" t="inlineStr">
        <is>
          <t/>
        </is>
      </c>
      <c r="K213" t="n">
        <v>138.0</v>
      </c>
      <c r="L213" t="n">
        <v>2.0</v>
      </c>
      <c r="M213" t="n">
        <v>14.0</v>
      </c>
      <c r="N213" t="n">
        <v>0.125</v>
      </c>
      <c r="O213" t="n">
        <v>14.0</v>
      </c>
      <c r="P213" t="n">
        <v>2.0</v>
      </c>
      <c r="Q213" t="inlineStr">
        <is>
          <t>0.14285714285714285</t>
        </is>
      </c>
      <c r="R213" t="inlineStr">
        <is>
          <t>0.14285714285714285</t>
        </is>
      </c>
      <c r="S213" t="n">
        <v>69.0</v>
      </c>
      <c r="T213" t="n">
        <v>1.0</v>
      </c>
      <c r="U213" t="n">
        <v>1.0</v>
      </c>
      <c r="V213" t="n">
        <v>69.0</v>
      </c>
      <c r="W213" t="n">
        <v>0.5</v>
      </c>
      <c r="X213" t="n">
        <v>1.0</v>
      </c>
      <c r="Y213" t="n">
        <v>2.0</v>
      </c>
      <c r="Z213" t="n">
        <v>2.0</v>
      </c>
      <c r="AA213" t="n">
        <v>0.0</v>
      </c>
      <c r="AB213" t="n">
        <v>0.0</v>
      </c>
      <c r="AC213" t="n">
        <v>0.0</v>
      </c>
      <c r="AD213" t="n">
        <v>112.0</v>
      </c>
      <c r="AE213" t="n">
        <v>2.0</v>
      </c>
      <c r="AF213" t="n">
        <v>0.0</v>
      </c>
      <c r="AG213" t="n">
        <v>0.0</v>
      </c>
      <c r="AH213" t="n">
        <v>1.0</v>
      </c>
      <c r="AI213" t="n">
        <v>0.0</v>
      </c>
      <c r="AJ213" t="n">
        <v>0.0</v>
      </c>
      <c r="AK213" t="n">
        <v>10.544642857142858</v>
      </c>
      <c r="AL213" t="inlineStr">
        <is>
          <t/>
        </is>
      </c>
    </row>
    <row r="214">
      <c r="A214" t="inlineStr">
        <is>
          <t>唯一的缺点：超市根本买不到……</t>
        </is>
      </c>
      <c r="B214" t="inlineStr">
        <is>
          <t>69ce0364000000001a02fce1</t>
        </is>
      </c>
      <c r="C214" s="213" t="n">
        <f>HYPERLINK("https://www.xiaohongshu.com/explore/69ce0364000000001a02fce1?xsec_token=TBclHZuM5_fs2QanfU7vVSEhijiQr99_rPQJS3bBozJKo=&amp;xsec_source=pc_trdark","https://www.xiaohongshu.com/explore/69ce0364000000001a02fce1?xsec_token=TBclHZuM5_fs2QanfU7vVSEhijiQr99_rPQJS3bBozJKo=&amp;xsec_source=pc_trdark")</f>
        <v>0.0</v>
      </c>
      <c r="D214" t="inlineStr">
        <is>
          <t>婉婉上班吃什么</t>
        </is>
      </c>
      <c r="E214" t="inlineStr">
        <is>
          <t>11434449706</t>
        </is>
      </c>
      <c r="F214" t="inlineStr">
        <is>
          <t>2026-04-02 13:49:24</t>
        </is>
      </c>
      <c r="G214" t="inlineStr">
        <is>
          <t>图文</t>
        </is>
      </c>
      <c r="H214" t="inlineStr">
        <is>
          <t>手剥虾仁 无冰衣无添加 低脂餐一人食 上班带饭 顺丰包邮 5盒装</t>
        </is>
      </c>
      <c r="I214" t="inlineStr">
        <is>
          <t>694baba01d450d00013662f0</t>
        </is>
      </c>
      <c r="J214" t="inlineStr">
        <is>
          <t/>
        </is>
      </c>
      <c r="K214" t="n">
        <v>0.0</v>
      </c>
      <c r="L214" t="n">
        <v>0.0</v>
      </c>
      <c r="M214" t="n">
        <v>31.0</v>
      </c>
      <c r="N214" t="inlineStr">
        <is>
          <t>0.27927927927927926</t>
        </is>
      </c>
      <c r="O214" t="n">
        <v>27.0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inlineStr">
        <is>
          <t/>
        </is>
      </c>
      <c r="X214" t="n">
        <v>0.0</v>
      </c>
      <c r="Y214" t="n">
        <v>6.0</v>
      </c>
      <c r="Z214" t="n">
        <v>1.0</v>
      </c>
      <c r="AA214" t="n">
        <v>0.0</v>
      </c>
      <c r="AB214" t="n">
        <v>0.0</v>
      </c>
      <c r="AC214" t="n">
        <v>0.0</v>
      </c>
      <c r="AD214" t="n">
        <v>111.0</v>
      </c>
      <c r="AE214" t="n">
        <v>1.0</v>
      </c>
      <c r="AF214" t="n">
        <v>0.0</v>
      </c>
      <c r="AG214" t="n">
        <v>0.0</v>
      </c>
      <c r="AH214" t="n">
        <v>1.0</v>
      </c>
      <c r="AI214" t="n">
        <v>0.0</v>
      </c>
      <c r="AJ214" t="n">
        <v>0.0</v>
      </c>
      <c r="AK214" t="n">
        <v>16.585585585585587</v>
      </c>
      <c r="AL214" t="inlineStr">
        <is>
          <t/>
        </is>
      </c>
    </row>
    <row r="215">
      <c r="A215" t="inlineStr">
        <is>
          <t>凭一己之力带动办公室买了十份虾仁🍤</t>
        </is>
      </c>
      <c r="B215" t="inlineStr">
        <is>
          <t>69ef2630000000001e00dae9</t>
        </is>
      </c>
      <c r="C215" s="214" t="n">
        <f>HYPERLINK("https://www.xiaohongshu.com/explore/69ef2630000000001e00dae9?xsec_token=TB8YlxxIf2o_Xr_LAif13-vIRFBeOuwJi4YHwNRBbMDAk=&amp;xsec_source=pc_trdark","https://www.xiaohongshu.com/explore/69ef2630000000001e00dae9?xsec_token=TB8YlxxIf2o_Xr_LAif13-vIRFBeOuwJi4YHwNRBbMDAk=&amp;xsec_source=pc_trdark")</f>
        <v>0.0</v>
      </c>
      <c r="D215" t="inlineStr">
        <is>
          <t>菲菲上班吃什么</t>
        </is>
      </c>
      <c r="E215" t="inlineStr">
        <is>
          <t>49936530607</t>
        </is>
      </c>
      <c r="F215" t="inlineStr">
        <is>
          <t>2026-04-27 17:02:40</t>
        </is>
      </c>
      <c r="G215" t="inlineStr">
        <is>
          <t>图文</t>
        </is>
      </c>
      <c r="H215" t="inlineStr">
        <is>
          <t>手剥虾仁 无冰衣无添加 低脂餐一人食 上班带饭 顺丰包邮 5盒装</t>
        </is>
      </c>
      <c r="I215" t="inlineStr">
        <is>
          <t>694baba01d450d00013662f0</t>
        </is>
      </c>
      <c r="J215" t="inlineStr">
        <is>
          <t/>
        </is>
      </c>
      <c r="K215" t="n">
        <v>0.0</v>
      </c>
      <c r="L215" t="n">
        <v>0.0</v>
      </c>
      <c r="M215" t="n">
        <v>24.0</v>
      </c>
      <c r="N215" t="inlineStr">
        <is>
          <t>0.21818181818181817</t>
        </is>
      </c>
      <c r="O215" t="n">
        <v>23.0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inlineStr">
        <is>
          <t/>
        </is>
      </c>
      <c r="X215" t="n">
        <v>0.0</v>
      </c>
      <c r="Y215" t="n">
        <v>2.0</v>
      </c>
      <c r="Z215" t="n">
        <v>4.0</v>
      </c>
      <c r="AA215" t="n">
        <v>0.0</v>
      </c>
      <c r="AB215" t="n">
        <v>0.0</v>
      </c>
      <c r="AC215" t="n">
        <v>0.0</v>
      </c>
      <c r="AD215" t="n">
        <v>110.0</v>
      </c>
      <c r="AE215" t="n">
        <v>3.0</v>
      </c>
      <c r="AF215" t="n">
        <v>1.0</v>
      </c>
      <c r="AG215" t="n">
        <v>0.0</v>
      </c>
      <c r="AH215" t="n">
        <v>1.0</v>
      </c>
      <c r="AI215" t="n">
        <v>0.0</v>
      </c>
      <c r="AJ215" t="n">
        <v>0.0</v>
      </c>
      <c r="AK215" t="n">
        <v>11.981818181818182</v>
      </c>
      <c r="AL215" t="inlineStr">
        <is>
          <t/>
        </is>
      </c>
    </row>
    <row r="216">
      <c r="A216" t="inlineStr">
        <is>
          <t>某姆抱歉...你家的三文鱼我找到平替啦</t>
        </is>
      </c>
      <c r="B216" t="inlineStr">
        <is>
          <t>69e72f1e000000002301dfb8</t>
        </is>
      </c>
      <c r="C216" s="215" t="n">
        <f>HYPERLINK("https://www.xiaohongshu.com/explore/69e72f1e000000002301dfb8?xsec_token=TBxJD1S06w8M0Ib6UdHEwWiOTns0bHGOusg9ENkWPxX5g=&amp;xsec_source=pc_trdark","https://www.xiaohongshu.com/explore/69e72f1e000000002301dfb8?xsec_token=TBxJD1S06w8M0Ib6UdHEwWiOTns0bHGOusg9ENkWPxX5g=&amp;xsec_source=pc_trdark")</f>
        <v>0.0</v>
      </c>
      <c r="D216" t="inlineStr">
        <is>
          <t>婉婉上班吃什么</t>
        </is>
      </c>
      <c r="E216" t="inlineStr">
        <is>
          <t>11434449706</t>
        </is>
      </c>
      <c r="F216" t="inlineStr">
        <is>
          <t>2026-04-21 16:02:38</t>
        </is>
      </c>
      <c r="G216" t="inlineStr">
        <is>
          <t>图文</t>
        </is>
      </c>
      <c r="H216" t="inlineStr">
        <is>
          <t>智利三文鱼切块·整条三文鱼·深海鱼一人食健康饮食</t>
        </is>
      </c>
      <c r="I216" t="inlineStr">
        <is>
          <t>691ac562a524ee0001b51d7b</t>
        </is>
      </c>
      <c r="J216" t="inlineStr">
        <is>
          <t/>
        </is>
      </c>
      <c r="K216" t="n">
        <v>0.0</v>
      </c>
      <c r="L216" t="n">
        <v>0.0</v>
      </c>
      <c r="M216" t="n">
        <v>18.0</v>
      </c>
      <c r="N216" t="inlineStr">
        <is>
          <t>0.16363636363636364</t>
        </is>
      </c>
      <c r="O216" t="n">
        <v>15.0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inlineStr">
        <is>
          <t/>
        </is>
      </c>
      <c r="X216" t="n">
        <v>0.0</v>
      </c>
      <c r="Y216" t="n">
        <v>5.0</v>
      </c>
      <c r="Z216" t="n">
        <v>4.0</v>
      </c>
      <c r="AA216" t="n">
        <v>0.0</v>
      </c>
      <c r="AB216" t="n">
        <v>0.0</v>
      </c>
      <c r="AC216" t="n">
        <v>0.0</v>
      </c>
      <c r="AD216" t="n">
        <v>110.0</v>
      </c>
      <c r="AE216" t="n">
        <v>1.0</v>
      </c>
      <c r="AF216" t="n">
        <v>0.0</v>
      </c>
      <c r="AG216" t="n">
        <v>0.0</v>
      </c>
      <c r="AH216" t="n">
        <v>2.0</v>
      </c>
      <c r="AI216" t="n">
        <v>0.0</v>
      </c>
      <c r="AJ216" t="n">
        <v>0.0</v>
      </c>
      <c r="AK216" t="n">
        <v>10.99090909090909</v>
      </c>
      <c r="AL216" t="inlineStr">
        <is>
          <t/>
        </is>
      </c>
    </row>
    <row r="217">
      <c r="A217" t="inlineStr">
        <is>
          <t>我也不想买啊😭但69够我吃一周虾仁了</t>
        </is>
      </c>
      <c r="B217" t="inlineStr">
        <is>
          <t>69e23a85000000001a02e0e2</t>
        </is>
      </c>
      <c r="C217" s="216" t="n">
        <f>HYPERLINK("https://www.xiaohongshu.com/explore/69e23a85000000001a02e0e2?xsec_token=TBOpzZAuw0pnbuw-toVufuL71uPvgCj_rxChFcCzXcd-E=&amp;xsec_source=pc_trdark","https://www.xiaohongshu.com/explore/69e23a85000000001a02e0e2?xsec_token=TBOpzZAuw0pnbuw-toVufuL71uPvgCj_rxChFcCzXcd-E=&amp;xsec_source=pc_trdark")</f>
        <v>0.0</v>
      </c>
      <c r="D217" t="inlineStr">
        <is>
          <t>婉婉上班吃什么</t>
        </is>
      </c>
      <c r="E217" t="inlineStr">
        <is>
          <t>11434449706</t>
        </is>
      </c>
      <c r="F217" t="inlineStr">
        <is>
          <t>2026-04-17 21:49:58</t>
        </is>
      </c>
      <c r="G217" t="inlineStr">
        <is>
          <t>图文</t>
        </is>
      </c>
      <c r="H217" t="inlineStr">
        <is>
          <t>手剥虾仁 无冰衣无添加 低脂餐一人食 上班带饭 顺丰包邮 5盒装</t>
        </is>
      </c>
      <c r="I217" t="inlineStr">
        <is>
          <t>694baba01d450d00013662f0</t>
        </is>
      </c>
      <c r="J217" t="inlineStr">
        <is>
          <t/>
        </is>
      </c>
      <c r="K217" t="n">
        <v>69.0</v>
      </c>
      <c r="L217" t="n">
        <v>1.0</v>
      </c>
      <c r="M217" t="n">
        <v>23.0</v>
      </c>
      <c r="N217" t="inlineStr">
        <is>
          <t>0.20909090909090908</t>
        </is>
      </c>
      <c r="O217" t="n">
        <v>20.0</v>
      </c>
      <c r="P217" t="n">
        <v>1.0</v>
      </c>
      <c r="Q217" t="inlineStr">
        <is>
          <t>0.043478260869565216</t>
        </is>
      </c>
      <c r="R217" t="n">
        <v>0.05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6.0</v>
      </c>
      <c r="Z217" t="n">
        <v>4.0</v>
      </c>
      <c r="AA217" t="n">
        <v>0.0</v>
      </c>
      <c r="AB217" t="n">
        <v>0.0</v>
      </c>
      <c r="AC217" t="n">
        <v>0.0</v>
      </c>
      <c r="AD217" t="n">
        <v>110.0</v>
      </c>
      <c r="AE217" t="n">
        <v>4.0</v>
      </c>
      <c r="AF217" t="n">
        <v>0.0</v>
      </c>
      <c r="AG217" t="n">
        <v>0.0</v>
      </c>
      <c r="AH217" t="n">
        <v>1.0</v>
      </c>
      <c r="AI217" t="n">
        <v>0.0</v>
      </c>
      <c r="AJ217" t="n">
        <v>0.0</v>
      </c>
      <c r="AK217" t="n">
        <v>12.709090909090909</v>
      </c>
      <c r="AL217" t="inlineStr">
        <is>
          <t/>
        </is>
      </c>
    </row>
    <row r="218">
      <c r="A218" t="inlineStr">
        <is>
          <t>从未觉得100来块的购买力能有多大杀伤力！</t>
        </is>
      </c>
      <c r="B218" t="inlineStr">
        <is>
          <t>69cce318000000002800876c</t>
        </is>
      </c>
      <c r="C218" s="217" t="n">
        <f>HYPERLINK("https://www.xiaohongshu.com/explore/69cce318000000002800876c?xsec_token=TBmwaR-CbxUmnLfgemf1f-grHvqZnSAaThk5fCoQbLjvw=&amp;xsec_source=pc_trdark","https://www.xiaohongshu.com/explore/69cce318000000002800876c?xsec_token=TBmwaR-CbxUmnLfgemf1f-grHvqZnSAaThk5fCoQbLjvw=&amp;xsec_source=pc_trdark")</f>
        <v>0.0</v>
      </c>
      <c r="D218" t="inlineStr">
        <is>
          <t>菲菲上班吃什么</t>
        </is>
      </c>
      <c r="E218" t="inlineStr">
        <is>
          <t>49936530607</t>
        </is>
      </c>
      <c r="F218" t="inlineStr">
        <is>
          <t>2026-04-01 17:19:20</t>
        </is>
      </c>
      <c r="G218" t="inlineStr">
        <is>
          <t>图文</t>
        </is>
      </c>
      <c r="H218" t="inlineStr">
        <is>
          <t>手剥虾仁 无冰衣无添加 低脂餐一人食 上班带饭 顺丰包邮 5盒装</t>
        </is>
      </c>
      <c r="I218" t="inlineStr">
        <is>
          <t>694baba01d450d00013662f0</t>
        </is>
      </c>
      <c r="J218" t="inlineStr">
        <is>
          <t/>
        </is>
      </c>
      <c r="K218" t="n">
        <v>0.0</v>
      </c>
      <c r="L218" t="n">
        <v>0.0</v>
      </c>
      <c r="M218" t="n">
        <v>11.0</v>
      </c>
      <c r="N218" t="n">
        <v>0.1</v>
      </c>
      <c r="O218" t="n">
        <v>11.0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inlineStr">
        <is>
          <t/>
        </is>
      </c>
      <c r="X218" t="n">
        <v>0.0</v>
      </c>
      <c r="Y218" t="n">
        <v>4.0</v>
      </c>
      <c r="Z218" t="n">
        <v>2.0</v>
      </c>
      <c r="AA218" t="n">
        <v>0.0</v>
      </c>
      <c r="AB218" t="n">
        <v>0.0</v>
      </c>
      <c r="AC218" t="n">
        <v>0.0</v>
      </c>
      <c r="AD218" t="n">
        <v>110.0</v>
      </c>
      <c r="AE218" t="n">
        <v>1.0</v>
      </c>
      <c r="AF218" t="n">
        <v>0.0</v>
      </c>
      <c r="AG218" t="n">
        <v>0.0</v>
      </c>
      <c r="AH218" t="n">
        <v>1.0</v>
      </c>
      <c r="AI218" t="n">
        <v>0.0</v>
      </c>
      <c r="AJ218" t="n">
        <v>0.0</v>
      </c>
      <c r="AK218" t="n">
        <v>9.863636363636363</v>
      </c>
      <c r="AL218" t="inlineStr">
        <is>
          <t/>
        </is>
      </c>
    </row>
    <row r="219">
      <c r="A219" t="inlineStr">
        <is>
          <t>水肿体质试试多吃虾仁，腿真的会细</t>
        </is>
      </c>
      <c r="B219" t="inlineStr">
        <is>
          <t>69ecc4a8000000002301688d</t>
        </is>
      </c>
      <c r="C219" s="218" t="n">
        <f>HYPERLINK("https://www.xiaohongshu.com/explore/69ecc4a8000000002301688d?xsec_token=TBnoSF_--XRDuLtfF77lVqP96kEA86r2y-ECu-IjPaBno=&amp;xsec_source=pc_trdark","https://www.xiaohongshu.com/explore/69ecc4a8000000002301688d?xsec_token=TBnoSF_--XRDuLtfF77lVqP96kEA86r2y-ECu-IjPaBno=&amp;xsec_source=pc_trdark")</f>
        <v>0.0</v>
      </c>
      <c r="D219" t="inlineStr">
        <is>
          <t>婉婉上班吃什么</t>
        </is>
      </c>
      <c r="E219" t="inlineStr">
        <is>
          <t>11434449706</t>
        </is>
      </c>
      <c r="F219" t="inlineStr">
        <is>
          <t>2026-04-25 21:42:00</t>
        </is>
      </c>
      <c r="G219" t="inlineStr">
        <is>
          <t>图文</t>
        </is>
      </c>
      <c r="H219" t="inlineStr">
        <is>
          <t>手剥虾仁 无冰衣无添加 低脂餐一人食 上班带饭 顺丰包邮 5盒装</t>
        </is>
      </c>
      <c r="I219" t="inlineStr">
        <is>
          <t>694baba01d450d00013662f0</t>
        </is>
      </c>
      <c r="J219" t="inlineStr">
        <is>
          <t/>
        </is>
      </c>
      <c r="K219" t="n">
        <v>69.0</v>
      </c>
      <c r="L219" t="n">
        <v>1.0</v>
      </c>
      <c r="M219" t="n">
        <v>19.0</v>
      </c>
      <c r="N219" t="n">
        <v>0.1743119266055046</v>
      </c>
      <c r="O219" t="n">
        <v>14.0</v>
      </c>
      <c r="P219" t="n">
        <v>1.0</v>
      </c>
      <c r="Q219" t="inlineStr">
        <is>
          <t>0.05263157894736842</t>
        </is>
      </c>
      <c r="R219" t="inlineStr">
        <is>
          <t>0.07142857142857142</t>
        </is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2.0</v>
      </c>
      <c r="Z219" t="n">
        <v>5.0</v>
      </c>
      <c r="AA219" t="n">
        <v>0.0</v>
      </c>
      <c r="AB219" t="n">
        <v>0.0</v>
      </c>
      <c r="AC219" t="n">
        <v>0.0</v>
      </c>
      <c r="AD219" t="n">
        <v>109.0</v>
      </c>
      <c r="AE219" t="n">
        <v>2.0</v>
      </c>
      <c r="AF219" t="n">
        <v>0.0</v>
      </c>
      <c r="AG219" t="n">
        <v>0.0</v>
      </c>
      <c r="AH219" t="n">
        <v>2.0</v>
      </c>
      <c r="AI219" t="n">
        <v>0.0</v>
      </c>
      <c r="AJ219" t="n">
        <v>0.0</v>
      </c>
      <c r="AK219" t="n">
        <v>9.697247706422019</v>
      </c>
      <c r="AL219" t="inlineStr">
        <is>
          <t/>
        </is>
      </c>
    </row>
    <row r="220">
      <c r="A220" t="inlineStr">
        <is>
          <t>教你一招：3秒辨别好虾仁和差虾仁</t>
        </is>
      </c>
      <c r="B220" t="inlineStr">
        <is>
          <t>69d73c24000000001f0065a9</t>
        </is>
      </c>
      <c r="C220" s="219" t="n">
        <f>HYPERLINK("https://www.xiaohongshu.com/explore/69d73c24000000001f0065a9?xsec_token=TBabSJw1DqF320Z_FWL3yrQ4nh69pz8DnehNqTlHLwXEw=&amp;xsec_source=pc_trdark","https://www.xiaohongshu.com/explore/69d73c24000000001f0065a9?xsec_token=TBabSJw1DqF320Z_FWL3yrQ4nh69pz8DnehNqTlHLwXEw=&amp;xsec_source=pc_trdark")</f>
        <v>0.0</v>
      </c>
      <c r="D220" t="inlineStr">
        <is>
          <t>鲜水湾</t>
        </is>
      </c>
      <c r="E220" t="inlineStr">
        <is>
          <t>49316638994</t>
        </is>
      </c>
      <c r="F220" t="inlineStr">
        <is>
          <t>2026-04-09 13:41:56</t>
        </is>
      </c>
      <c r="G220" t="inlineStr">
        <is>
          <t>图文</t>
        </is>
      </c>
      <c r="H220" t="inlineStr">
        <is>
          <t>手剥虾仁 无冰衣无添加 低脂餐一人食 上班带饭 顺丰包邮 5盒装</t>
        </is>
      </c>
      <c r="I220" t="inlineStr">
        <is>
          <t>694baba01d450d00013662f0</t>
        </is>
      </c>
      <c r="J220" t="inlineStr">
        <is>
          <t/>
        </is>
      </c>
      <c r="K220" t="n">
        <v>0.0</v>
      </c>
      <c r="L220" t="n">
        <v>0.0</v>
      </c>
      <c r="M220" t="n">
        <v>5.0</v>
      </c>
      <c r="N220" t="inlineStr">
        <is>
          <t>0.045871559633027525</t>
        </is>
      </c>
      <c r="O220" t="n">
        <v>5.0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inlineStr">
        <is>
          <t/>
        </is>
      </c>
      <c r="X220" t="n">
        <v>0.0</v>
      </c>
      <c r="Y220" t="n">
        <v>1.0</v>
      </c>
      <c r="Z220" t="n">
        <v>4.0</v>
      </c>
      <c r="AA220" t="n">
        <v>0.0</v>
      </c>
      <c r="AB220" t="n">
        <v>0.0</v>
      </c>
      <c r="AC220" t="n">
        <v>0.0</v>
      </c>
      <c r="AD220" t="n">
        <v>109.0</v>
      </c>
      <c r="AE220" t="n">
        <v>3.0</v>
      </c>
      <c r="AF220" t="n">
        <v>0.0</v>
      </c>
      <c r="AG220" t="n">
        <v>0.0</v>
      </c>
      <c r="AH220" t="n">
        <v>2.0</v>
      </c>
      <c r="AI220" t="n">
        <v>0.0</v>
      </c>
      <c r="AJ220" t="n">
        <v>0.0</v>
      </c>
      <c r="AK220" t="n">
        <v>12.73394495412844</v>
      </c>
      <c r="AL220" t="inlineStr">
        <is>
          <t/>
        </is>
      </c>
    </row>
    <row r="221">
      <c r="A221" t="inlineStr">
        <is>
          <t>翻了3家超市虾仁配料表，默默全放回去了</t>
        </is>
      </c>
      <c r="B221" t="inlineStr">
        <is>
          <t>69df202e000000001f002c54</t>
        </is>
      </c>
      <c r="C221" s="220" t="n">
        <f>HYPERLINK("https://www.xiaohongshu.com/explore/69df202e000000001f002c54?xsec_token=TBbELi6fdmnK2TYKEzYY0fWt9t0FBJ34AwWc_QCcmpd4w=&amp;xsec_source=pc_trdark","https://www.xiaohongshu.com/explore/69df202e000000001f002c54?xsec_token=TBbELi6fdmnK2TYKEzYY0fWt9t0FBJ34AwWc_QCcmpd4w=&amp;xsec_source=pc_trdark")</f>
        <v>0.0</v>
      </c>
      <c r="D221" t="inlineStr">
        <is>
          <t>婉婉上班吃什么</t>
        </is>
      </c>
      <c r="E221" t="inlineStr">
        <is>
          <t>11434449706</t>
        </is>
      </c>
      <c r="F221" t="inlineStr">
        <is>
          <t>2026-04-15 13:20:46</t>
        </is>
      </c>
      <c r="G221" t="inlineStr">
        <is>
          <t>图文</t>
        </is>
      </c>
      <c r="H221" t="inlineStr">
        <is>
          <t>手剥虾仁 无冰衣无添加 低脂餐一人食 上班带饭 顺丰包邮 5盒装</t>
        </is>
      </c>
      <c r="I221" t="inlineStr">
        <is>
          <t>694baba01d450d00013662f0</t>
        </is>
      </c>
      <c r="J221" t="inlineStr">
        <is>
          <t/>
        </is>
      </c>
      <c r="K221" t="n">
        <v>0.0</v>
      </c>
      <c r="L221" t="n">
        <v>0.0</v>
      </c>
      <c r="M221" t="n">
        <v>8.0</v>
      </c>
      <c r="N221" t="inlineStr">
        <is>
          <t>0.07407407407407407</t>
        </is>
      </c>
      <c r="O221" t="n">
        <v>8.0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inlineStr">
        <is>
          <t/>
        </is>
      </c>
      <c r="X221" t="n">
        <v>0.0</v>
      </c>
      <c r="Y221" t="n">
        <v>3.0</v>
      </c>
      <c r="Z221" t="n">
        <v>0.0</v>
      </c>
      <c r="AA221" t="n">
        <v>0.0</v>
      </c>
      <c r="AB221" t="n">
        <v>0.0</v>
      </c>
      <c r="AC221" t="n">
        <v>0.0</v>
      </c>
      <c r="AD221" t="n">
        <v>108.0</v>
      </c>
      <c r="AE221" t="n">
        <v>3.0</v>
      </c>
      <c r="AF221" t="n">
        <v>0.0</v>
      </c>
      <c r="AG221" t="n">
        <v>0.0</v>
      </c>
      <c r="AH221" t="n">
        <v>1.0</v>
      </c>
      <c r="AI221" t="n">
        <v>0.0</v>
      </c>
      <c r="AJ221" t="n">
        <v>0.0</v>
      </c>
      <c r="AK221" t="n">
        <v>11.453703703703704</v>
      </c>
      <c r="AL221" t="inlineStr">
        <is>
          <t/>
        </is>
      </c>
    </row>
    <row r="222">
      <c r="A222" t="inlineStr">
        <is>
          <t>本以为69块没多少，没想到吃了整整一周…</t>
        </is>
      </c>
      <c r="B222" t="inlineStr">
        <is>
          <t>69f011d7000000003503b0ef</t>
        </is>
      </c>
      <c r="C222" s="221" t="n">
        <f>HYPERLINK("https://www.xiaohongshu.com/explore/69f011d7000000003503b0ef?xsec_token=TBvHxiGmj2CedfPdQHdLJBmHt76nvEnesVoavK-mpx8_0=&amp;xsec_source=pc_trdark","https://www.xiaohongshu.com/explore/69f011d7000000003503b0ef?xsec_token=TBvHxiGmj2CedfPdQHdLJBmHt76nvEnesVoavK-mpx8_0=&amp;xsec_source=pc_trdark")</f>
        <v>0.0</v>
      </c>
      <c r="D222" t="inlineStr">
        <is>
          <t>鲜水湾甄选</t>
        </is>
      </c>
      <c r="E222" t="inlineStr">
        <is>
          <t>27401929161</t>
        </is>
      </c>
      <c r="F222" t="inlineStr">
        <is>
          <t>2026-04-28 09:48:07</t>
        </is>
      </c>
      <c r="G222" t="inlineStr">
        <is>
          <t>图文</t>
        </is>
      </c>
      <c r="H222" t="inlineStr">
        <is>
          <t>手剥虾仁 无冰衣无添加 低脂餐一人食 上班带饭 顺丰包邮 5盒装</t>
        </is>
      </c>
      <c r="I222" t="inlineStr">
        <is>
          <t>694baba01d450d00013662f0</t>
        </is>
      </c>
      <c r="J222" t="inlineStr">
        <is>
          <t/>
        </is>
      </c>
      <c r="K222" t="n">
        <v>0.0</v>
      </c>
      <c r="L222" t="n">
        <v>0.0</v>
      </c>
      <c r="M222" t="n">
        <v>5.0</v>
      </c>
      <c r="N222" t="inlineStr">
        <is>
          <t>0.04672897196261682</t>
        </is>
      </c>
      <c r="O222" t="n">
        <v>4.0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inlineStr">
        <is>
          <t/>
        </is>
      </c>
      <c r="X222" t="n">
        <v>0.0</v>
      </c>
      <c r="Y222" t="n">
        <v>1.0</v>
      </c>
      <c r="Z222" t="n">
        <v>0.0</v>
      </c>
      <c r="AA222" t="n">
        <v>0.0</v>
      </c>
      <c r="AB222" t="n">
        <v>0.0</v>
      </c>
      <c r="AC222" t="n">
        <v>0.0</v>
      </c>
      <c r="AD222" t="n">
        <v>107.0</v>
      </c>
      <c r="AE222" t="n">
        <v>1.0</v>
      </c>
      <c r="AF222" t="n">
        <v>0.0</v>
      </c>
      <c r="AG222" t="n">
        <v>0.0</v>
      </c>
      <c r="AH222" t="n">
        <v>1.0</v>
      </c>
      <c r="AI222" t="n">
        <v>0.0</v>
      </c>
      <c r="AJ222" t="n">
        <v>0.0</v>
      </c>
      <c r="AK222" t="n">
        <v>10.074766355140186</v>
      </c>
      <c r="AL222" t="inlineStr">
        <is>
          <t/>
        </is>
      </c>
    </row>
    <row r="223">
      <c r="A223" t="inlineStr">
        <is>
          <t>月薪8000，凭什么不能顿顿吃虾仁</t>
        </is>
      </c>
      <c r="B223" t="inlineStr">
        <is>
          <t>69d891e400000000220249ab</t>
        </is>
      </c>
      <c r="C223" s="222" t="n">
        <f>HYPERLINK("https://www.xiaohongshu.com/explore/69d891e400000000220249ab?xsec_token=TBaP4Vb_xh4r06-3Gp1C6IeENLMoMwk4Qi8oU4Iy_yuqA=&amp;xsec_source=pc_trdark","https://www.xiaohongshu.com/explore/69d891e400000000220249ab?xsec_token=TBaP4Vb_xh4r06-3Gp1C6IeENLMoMwk4Qi8oU4Iy_yuqA=&amp;xsec_source=pc_trdark")</f>
        <v>0.0</v>
      </c>
      <c r="D223" t="inlineStr">
        <is>
          <t>菲菲上班吃什么</t>
        </is>
      </c>
      <c r="E223" t="inlineStr">
        <is>
          <t>49936530607</t>
        </is>
      </c>
      <c r="F223" t="inlineStr">
        <is>
          <t>2026-04-10 14:00:04</t>
        </is>
      </c>
      <c r="G223" t="inlineStr">
        <is>
          <t>图文</t>
        </is>
      </c>
      <c r="H223" t="inlineStr">
        <is>
          <t>手剥虾仁 无冰衣无添加 低脂餐一人食 上班带饭 顺丰包邮 5盒装</t>
        </is>
      </c>
      <c r="I223" t="inlineStr">
        <is>
          <t>694baba01d450d00013662f0</t>
        </is>
      </c>
      <c r="J223" t="inlineStr">
        <is>
          <t/>
        </is>
      </c>
      <c r="K223" t="n">
        <v>0.0</v>
      </c>
      <c r="L223" t="n">
        <v>0.0</v>
      </c>
      <c r="M223" t="n">
        <v>9.0</v>
      </c>
      <c r="N223" t="inlineStr">
        <is>
          <t>0.08411214953271028</t>
        </is>
      </c>
      <c r="O223" t="n">
        <v>9.0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inlineStr">
        <is>
          <t/>
        </is>
      </c>
      <c r="X223" t="n">
        <v>0.0</v>
      </c>
      <c r="Y223" t="n">
        <v>0.0</v>
      </c>
      <c r="Z223" t="n">
        <v>3.0</v>
      </c>
      <c r="AA223" t="n">
        <v>0.0</v>
      </c>
      <c r="AB223" t="n">
        <v>0.0</v>
      </c>
      <c r="AC223" t="n">
        <v>0.0</v>
      </c>
      <c r="AD223" t="n">
        <v>107.0</v>
      </c>
      <c r="AE223" t="n">
        <v>3.0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7.570093457943925</v>
      </c>
      <c r="AL223" t="inlineStr">
        <is>
          <t/>
        </is>
      </c>
    </row>
    <row r="224">
      <c r="A224" t="inlineStr">
        <is>
          <t>一个人住第三年，我终于学会不浪费食材了</t>
        </is>
      </c>
      <c r="B224" t="inlineStr">
        <is>
          <t>69d75747000000001e00fcca</t>
        </is>
      </c>
      <c r="C224" s="223" t="n">
        <f>HYPERLINK("https://www.xiaohongshu.com/explore/69d75747000000001e00fcca?xsec_token=TBabSJw1DqF320Z_FWL3yrQwxrkD0yntBxiJtWphSoFqk=&amp;xsec_source=pc_trdark","https://www.xiaohongshu.com/explore/69d75747000000001e00fcca?xsec_token=TBabSJw1DqF320Z_FWL3yrQwxrkD0yntBxiJtWphSoFqk=&amp;xsec_source=pc_trdark")</f>
        <v>0.0</v>
      </c>
      <c r="D224" t="inlineStr">
        <is>
          <t>菲菲上班吃什么</t>
        </is>
      </c>
      <c r="E224" t="inlineStr">
        <is>
          <t>49936530607</t>
        </is>
      </c>
      <c r="F224" t="inlineStr">
        <is>
          <t>2026-04-09 15:37:43</t>
        </is>
      </c>
      <c r="G224" t="inlineStr">
        <is>
          <t>图文</t>
        </is>
      </c>
      <c r="H224" t="inlineStr">
        <is>
          <t>手剥虾仁 无冰衣无添加 低脂餐一人食 上班带饭 顺丰包邮 5盒装</t>
        </is>
      </c>
      <c r="I224" t="inlineStr">
        <is>
          <t>694baba01d450d00013662f0</t>
        </is>
      </c>
      <c r="J224" t="inlineStr">
        <is>
          <t/>
        </is>
      </c>
      <c r="K224" t="n">
        <v>69.0</v>
      </c>
      <c r="L224" t="n">
        <v>1.0</v>
      </c>
      <c r="M224" t="n">
        <v>6.0</v>
      </c>
      <c r="N224" t="inlineStr">
        <is>
          <t>0.056074766355140186</t>
        </is>
      </c>
      <c r="O224" t="n">
        <v>5.0</v>
      </c>
      <c r="P224" t="n">
        <v>1.0</v>
      </c>
      <c r="Q224" t="inlineStr">
        <is>
          <t>0.16666666666666666</t>
        </is>
      </c>
      <c r="R224" t="n">
        <v>0.2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1.0</v>
      </c>
      <c r="Z224" t="n">
        <v>4.0</v>
      </c>
      <c r="AA224" t="n">
        <v>0.0</v>
      </c>
      <c r="AB224" t="n">
        <v>0.0</v>
      </c>
      <c r="AC224" t="n">
        <v>0.0</v>
      </c>
      <c r="AD224" t="n">
        <v>107.0</v>
      </c>
      <c r="AE224" t="n">
        <v>0.0</v>
      </c>
      <c r="AF224" t="n">
        <v>1.0</v>
      </c>
      <c r="AG224" t="n">
        <v>0.0</v>
      </c>
      <c r="AH224" t="n">
        <v>0.0</v>
      </c>
      <c r="AI224" t="n">
        <v>0.0</v>
      </c>
      <c r="AJ224" t="n">
        <v>0.0</v>
      </c>
      <c r="AK224" t="n">
        <v>8.94392523364486</v>
      </c>
      <c r="AL224" t="inlineStr">
        <is>
          <t/>
        </is>
      </c>
    </row>
    <row r="225">
      <c r="A225" t="inlineStr">
        <is>
          <t>直观感受一下 100 块的购买力！顺丰包邮</t>
        </is>
      </c>
      <c r="B225" t="inlineStr">
        <is>
          <t>69ce24be000000001b023981</t>
        </is>
      </c>
      <c r="C225" s="224" t="n">
        <f>HYPERLINK("https://www.xiaohongshu.com/explore/69ce24be000000001b023981?xsec_token=TBclHZuM5_fs2QanfU7vVSEvqHlL6y4_TMA3uJ_Wz_rQI=&amp;xsec_source=pc_trdark","https://www.xiaohongshu.com/explore/69ce24be000000001b023981?xsec_token=TBclHZuM5_fs2QanfU7vVSEvqHlL6y4_TMA3uJ_Wz_rQI=&amp;xsec_source=pc_trdark")</f>
        <v>0.0</v>
      </c>
      <c r="D225" t="inlineStr">
        <is>
          <t>鲜水湾</t>
        </is>
      </c>
      <c r="E225" t="inlineStr">
        <is>
          <t>49316638994</t>
        </is>
      </c>
      <c r="F225" t="inlineStr">
        <is>
          <t>2026-04-02 16:11:42</t>
        </is>
      </c>
      <c r="G225" t="inlineStr">
        <is>
          <t>图文</t>
        </is>
      </c>
      <c r="H225" t="inlineStr">
        <is>
          <t>手剥虾仁 无冰衣无添加 低脂餐一人食 上班带饭 顺丰包邮 5盒装</t>
        </is>
      </c>
      <c r="I225" t="inlineStr">
        <is>
          <t>694baba01d450d00013662f0</t>
        </is>
      </c>
      <c r="J225" t="inlineStr">
        <is>
          <t/>
        </is>
      </c>
      <c r="K225" t="n">
        <v>256.0</v>
      </c>
      <c r="L225" t="n">
        <v>2.0</v>
      </c>
      <c r="M225" t="n">
        <v>27.0</v>
      </c>
      <c r="N225" t="n">
        <v>0.2523364485981308</v>
      </c>
      <c r="O225" t="n">
        <v>22.0</v>
      </c>
      <c r="P225" t="n">
        <v>2.0</v>
      </c>
      <c r="Q225" t="inlineStr">
        <is>
          <t>0.07407407407407407</t>
        </is>
      </c>
      <c r="R225" t="inlineStr">
        <is>
          <t>0.09090909090909091</t>
        </is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10.0</v>
      </c>
      <c r="Z225" t="n">
        <v>13.0</v>
      </c>
      <c r="AA225" t="n">
        <v>0.0</v>
      </c>
      <c r="AB225" t="n">
        <v>0.0</v>
      </c>
      <c r="AC225" t="n">
        <v>0.0</v>
      </c>
      <c r="AD225" t="n">
        <v>107.0</v>
      </c>
      <c r="AE225" t="n">
        <v>2.0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20.64485981308411</v>
      </c>
      <c r="AL225" t="inlineStr">
        <is>
          <t/>
        </is>
      </c>
    </row>
    <row r="226">
      <c r="A226" t="inlineStr">
        <is>
          <t>我妈：你就卖点好的，贵点没关系</t>
        </is>
      </c>
      <c r="B226" t="inlineStr">
        <is>
          <t>69733ba5000000000b012ea6</t>
        </is>
      </c>
      <c r="C226" s="225" t="n">
        <f>HYPERLINK("https://www.xiaohongshu.com/explore/69733ba5000000000b012ea6?xsec_token=TBK07qywxRjCZuuyJUweFeXzWpMfGOIYuVR7tfyDWyPPY=&amp;xsec_source=pc_trdark","https://www.xiaohongshu.com/explore/69733ba5000000000b012ea6?xsec_token=TBK07qywxRjCZuuyJUweFeXzWpMfGOIYuVR7tfyDWyPPY=&amp;xsec_source=pc_trdark")</f>
        <v>0.0</v>
      </c>
      <c r="D226" t="inlineStr">
        <is>
          <t>鲜水湾甄选</t>
        </is>
      </c>
      <c r="E226" t="inlineStr">
        <is>
          <t>27401929161</t>
        </is>
      </c>
      <c r="F226" t="inlineStr">
        <is>
          <t>2026-01-23 17:13:09</t>
        </is>
      </c>
      <c r="G226" t="inlineStr">
        <is>
          <t>图文</t>
        </is>
      </c>
      <c r="H226" t="inlineStr">
        <is>
          <t>北极甜虾头籽甜虾元宝虾北极熊冰虾孕妈妈宝宝辅食顺丰</t>
        </is>
      </c>
      <c r="I226" t="inlineStr">
        <is>
          <t>6953717eb8f0bb000115158d</t>
        </is>
      </c>
      <c r="J226" t="inlineStr">
        <is>
          <t/>
        </is>
      </c>
      <c r="K226" t="n">
        <v>0.0</v>
      </c>
      <c r="L226" t="n">
        <v>0.0</v>
      </c>
      <c r="M226" t="n">
        <v>3.0</v>
      </c>
      <c r="N226" t="inlineStr">
        <is>
          <t>0.02830188679245283</t>
        </is>
      </c>
      <c r="O226" t="n">
        <v>3.0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inlineStr">
        <is>
          <t/>
        </is>
      </c>
      <c r="X226" t="n">
        <v>0.0</v>
      </c>
      <c r="Y226" t="n">
        <v>0.0</v>
      </c>
      <c r="Z226" t="n">
        <v>3.0</v>
      </c>
      <c r="AA226" t="n">
        <v>0.0</v>
      </c>
      <c r="AB226" t="n">
        <v>0.0</v>
      </c>
      <c r="AC226" t="n">
        <v>0.0</v>
      </c>
      <c r="AD226" t="n">
        <v>106.0</v>
      </c>
      <c r="AE226" t="n">
        <v>0.0</v>
      </c>
      <c r="AF226" t="n">
        <v>0.0</v>
      </c>
      <c r="AG226" t="n">
        <v>0.0</v>
      </c>
      <c r="AH226" t="n">
        <v>1.0</v>
      </c>
      <c r="AI226" t="n">
        <v>0.0</v>
      </c>
      <c r="AJ226" t="n">
        <v>0.0</v>
      </c>
      <c r="AK226" t="n">
        <v>6.867924528301887</v>
      </c>
      <c r="AL226" t="inlineStr">
        <is>
          <t/>
        </is>
      </c>
    </row>
    <row r="227">
      <c r="A227" t="inlineStr">
        <is>
          <t>某姆的虾仁好吃，但大包装真的劝退</t>
        </is>
      </c>
      <c r="B227" t="inlineStr">
        <is>
          <t>69d77bfe000000001a037d57</t>
        </is>
      </c>
      <c r="C227" s="226" t="n">
        <f>HYPERLINK("https://www.xiaohongshu.com/explore/69d77bfe000000001a037d57?xsec_token=TBabSJw1DqF320Z_FWL3yrQ25-9t126h9fbKSMey9tXmY=&amp;xsec_source=pc_trdark","https://www.xiaohongshu.com/explore/69d77bfe000000001a037d57?xsec_token=TBabSJw1DqF320Z_FWL3yrQ25-9t126h9fbKSMey9tXmY=&amp;xsec_source=pc_trdark")</f>
        <v>0.0</v>
      </c>
      <c r="D227" t="inlineStr">
        <is>
          <t>鲜水湾</t>
        </is>
      </c>
      <c r="E227" t="inlineStr">
        <is>
          <t>49316638994</t>
        </is>
      </c>
      <c r="F227" t="inlineStr">
        <is>
          <t>2026-04-09 18:14:22</t>
        </is>
      </c>
      <c r="G227" t="inlineStr">
        <is>
          <t>图文</t>
        </is>
      </c>
      <c r="H227" t="inlineStr">
        <is>
          <t>手剥虾仁 无冰衣无添加 低脂餐一人食 上班带饭 顺丰包邮 5盒装</t>
        </is>
      </c>
      <c r="I227" t="inlineStr">
        <is>
          <t>694baba01d450d00013662f0</t>
        </is>
      </c>
      <c r="J227" t="inlineStr">
        <is>
          <t/>
        </is>
      </c>
      <c r="K227" t="n">
        <v>0.0</v>
      </c>
      <c r="L227" t="n">
        <v>0.0</v>
      </c>
      <c r="M227" t="n">
        <v>16.0</v>
      </c>
      <c r="N227" t="n">
        <v>0.1523809523809524</v>
      </c>
      <c r="O227" t="n">
        <v>15.0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inlineStr">
        <is>
          <t/>
        </is>
      </c>
      <c r="X227" t="n">
        <v>0.0</v>
      </c>
      <c r="Y227" t="n">
        <v>3.0</v>
      </c>
      <c r="Z227" t="n">
        <v>0.0</v>
      </c>
      <c r="AA227" t="n">
        <v>0.0</v>
      </c>
      <c r="AB227" t="n">
        <v>0.0</v>
      </c>
      <c r="AC227" t="n">
        <v>0.0</v>
      </c>
      <c r="AD227" t="n">
        <v>105.0</v>
      </c>
      <c r="AE227" t="n">
        <v>1.0</v>
      </c>
      <c r="AF227" t="n">
        <v>0.0</v>
      </c>
      <c r="AG227" t="n">
        <v>0.0</v>
      </c>
      <c r="AH227" t="n">
        <v>1.0</v>
      </c>
      <c r="AI227" t="n">
        <v>0.0</v>
      </c>
      <c r="AJ227" t="n">
        <v>0.0</v>
      </c>
      <c r="AK227" t="n">
        <v>10.238095238095237</v>
      </c>
      <c r="AL227" t="inlineStr">
        <is>
          <t/>
        </is>
      </c>
    </row>
    <row r="228">
      <c r="A228" t="inlineStr">
        <is>
          <t>讲真我连鸡蛋都煎不好，但虾仁我从来没翻车</t>
        </is>
      </c>
      <c r="B228" t="inlineStr">
        <is>
          <t>69d71eab0000000022029c3e</t>
        </is>
      </c>
      <c r="C228" s="227" t="n">
        <f>HYPERLINK("https://www.xiaohongshu.com/explore/69d71eab0000000022029c3e?xsec_token=TBabSJw1DqF320Z_FWL3yrQ6_ZulNA9gayr2QHCKh2kbI=&amp;xsec_source=pc_trdark","https://www.xiaohongshu.com/explore/69d71eab0000000022029c3e?xsec_token=TBabSJw1DqF320Z_FWL3yrQ6_ZulNA9gayr2QHCKh2kbI=&amp;xsec_source=pc_trdark")</f>
        <v>0.0</v>
      </c>
      <c r="D228" t="inlineStr">
        <is>
          <t>菲菲上班吃什么</t>
        </is>
      </c>
      <c r="E228" t="inlineStr">
        <is>
          <t>49936530607</t>
        </is>
      </c>
      <c r="F228" t="inlineStr">
        <is>
          <t>2026-04-09 11:36:11</t>
        </is>
      </c>
      <c r="G228" t="inlineStr">
        <is>
          <t>图文</t>
        </is>
      </c>
      <c r="H228" t="inlineStr">
        <is>
          <t>手剥虾仁 无冰衣无添加 低脂餐一人食 上班带饭 顺丰包邮 5盒装</t>
        </is>
      </c>
      <c r="I228" t="inlineStr">
        <is>
          <t>694baba01d450d00013662f0</t>
        </is>
      </c>
      <c r="J228" t="inlineStr">
        <is>
          <t/>
        </is>
      </c>
      <c r="K228" t="n">
        <v>138.0</v>
      </c>
      <c r="L228" t="n">
        <v>2.0</v>
      </c>
      <c r="M228" t="n">
        <v>8.0</v>
      </c>
      <c r="N228" t="n">
        <v>0.0761904761904762</v>
      </c>
      <c r="O228" t="n">
        <v>8.0</v>
      </c>
      <c r="P228" t="n">
        <v>2.0</v>
      </c>
      <c r="Q228" t="n">
        <v>0.25</v>
      </c>
      <c r="R228" t="n">
        <v>0.25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4.0</v>
      </c>
      <c r="Z228" t="n">
        <v>1.0</v>
      </c>
      <c r="AA228" t="n">
        <v>0.0</v>
      </c>
      <c r="AB228" t="n">
        <v>0.0</v>
      </c>
      <c r="AC228" t="n">
        <v>0.0</v>
      </c>
      <c r="AD228" t="n">
        <v>105.0</v>
      </c>
      <c r="AE228" t="n">
        <v>1.0</v>
      </c>
      <c r="AF228" t="n">
        <v>0.0</v>
      </c>
      <c r="AG228" t="n">
        <v>0.0</v>
      </c>
      <c r="AH228" t="n">
        <v>2.0</v>
      </c>
      <c r="AI228" t="n">
        <v>0.0</v>
      </c>
      <c r="AJ228" t="n">
        <v>0.0</v>
      </c>
      <c r="AK228" t="n">
        <v>11.561904761904762</v>
      </c>
      <c r="AL228" t="inlineStr">
        <is>
          <t/>
        </is>
      </c>
    </row>
    <row r="229">
      <c r="A229" t="inlineStr">
        <is>
          <t>爸妈吐槽我每天健身吃虾仁太奢侈…</t>
        </is>
      </c>
      <c r="B229" t="inlineStr">
        <is>
          <t>69f176a900000000350270ad</t>
        </is>
      </c>
      <c r="C229" s="228" t="n">
        <f>HYPERLINK("https://www.xiaohongshu.com/explore/69f176a900000000350270ad?xsec_token=TBLt8Y96Ok9n09b_UIgIegbtUMT-5FMkrx0Xjl-JhUlAA=&amp;xsec_source=pc_trdark","https://www.xiaohongshu.com/explore/69f176a900000000350270ad?xsec_token=TBLt8Y96Ok9n09b_UIgIegbtUMT-5FMkrx0Xjl-JhUlAA=&amp;xsec_source=pc_trdark")</f>
        <v>0.0</v>
      </c>
      <c r="D229" t="inlineStr">
        <is>
          <t>鲜水湾甄选</t>
        </is>
      </c>
      <c r="E229" t="inlineStr">
        <is>
          <t>27401929161</t>
        </is>
      </c>
      <c r="F229" t="inlineStr">
        <is>
          <t>2026-04-29 11:10:33</t>
        </is>
      </c>
      <c r="G229" t="inlineStr">
        <is>
          <t>图文</t>
        </is>
      </c>
      <c r="H229" t="inlineStr">
        <is>
          <t>手剥虾仁 无冰衣无添加 低脂餐一人食 上班带饭 顺丰包邮 5盒装</t>
        </is>
      </c>
      <c r="I229" t="inlineStr">
        <is>
          <t>694baba01d450d00013662f0</t>
        </is>
      </c>
      <c r="J229" t="inlineStr">
        <is>
          <t/>
        </is>
      </c>
      <c r="K229" t="n">
        <v>0.0</v>
      </c>
      <c r="L229" t="n">
        <v>0.0</v>
      </c>
      <c r="M229" t="n">
        <v>14.0</v>
      </c>
      <c r="N229" t="n">
        <v>0.1346153846153846</v>
      </c>
      <c r="O229" t="n">
        <v>13.0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inlineStr">
        <is>
          <t/>
        </is>
      </c>
      <c r="X229" t="n">
        <v>0.0</v>
      </c>
      <c r="Y229" t="n">
        <v>4.0</v>
      </c>
      <c r="Z229" t="n">
        <v>0.0</v>
      </c>
      <c r="AA229" t="n">
        <v>0.0</v>
      </c>
      <c r="AB229" t="n">
        <v>0.0</v>
      </c>
      <c r="AC229" t="n">
        <v>0.0</v>
      </c>
      <c r="AD229" t="n">
        <v>104.0</v>
      </c>
      <c r="AE229" t="n">
        <v>0.0</v>
      </c>
      <c r="AF229" t="n">
        <v>2.0</v>
      </c>
      <c r="AG229" t="n">
        <v>2.0</v>
      </c>
      <c r="AH229" t="n">
        <v>1.0</v>
      </c>
      <c r="AI229" t="n">
        <v>0.0</v>
      </c>
      <c r="AJ229" t="n">
        <v>0.0</v>
      </c>
      <c r="AK229" t="n">
        <v>11.85576923076923</v>
      </c>
      <c r="AL229" t="inlineStr">
        <is>
          <t/>
        </is>
      </c>
    </row>
    <row r="230">
      <c r="A230" t="inlineStr">
        <is>
          <t>我妈问我：你天天吃虾仁，是不是涨工资了😂</t>
        </is>
      </c>
      <c r="B230" t="inlineStr">
        <is>
          <t>69f0839f0000000036002d3a</t>
        </is>
      </c>
      <c r="C230" s="229" t="n">
        <f>HYPERLINK("https://www.xiaohongshu.com/explore/69f0839f0000000036002d3a?xsec_token=TBvHxiGmj2CedfPdQHdLJBmHi4cKa8OW_RpwCjE8ZXQxA=&amp;xsec_source=pc_trdark","https://www.xiaohongshu.com/explore/69f0839f0000000036002d3a?xsec_token=TBvHxiGmj2CedfPdQHdLJBmHi4cKa8OW_RpwCjE8ZXQxA=&amp;xsec_source=pc_trdark")</f>
        <v>0.0</v>
      </c>
      <c r="D230" t="inlineStr">
        <is>
          <t>鲜水湾甄选</t>
        </is>
      </c>
      <c r="E230" t="inlineStr">
        <is>
          <t>27401929161</t>
        </is>
      </c>
      <c r="F230" t="inlineStr">
        <is>
          <t>2026-04-28 17:53:35</t>
        </is>
      </c>
      <c r="G230" t="inlineStr">
        <is>
          <t>图文</t>
        </is>
      </c>
      <c r="H230" t="inlineStr">
        <is>
          <t>手剥虾仁 无冰衣无添加 低脂餐一人食 上班带饭 顺丰包邮 5盒装</t>
        </is>
      </c>
      <c r="I230" t="inlineStr">
        <is>
          <t>694baba01d450d00013662f0</t>
        </is>
      </c>
      <c r="J230" t="inlineStr">
        <is>
          <t/>
        </is>
      </c>
      <c r="K230" t="n">
        <v>0.0</v>
      </c>
      <c r="L230" t="n">
        <v>0.0</v>
      </c>
      <c r="M230" t="n">
        <v>13.0</v>
      </c>
      <c r="N230" t="n">
        <v>0.125</v>
      </c>
      <c r="O230" t="n">
        <v>11.0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inlineStr">
        <is>
          <t/>
        </is>
      </c>
      <c r="X230" t="n">
        <v>0.0</v>
      </c>
      <c r="Y230" t="n">
        <v>5.0</v>
      </c>
      <c r="Z230" t="n">
        <v>0.0</v>
      </c>
      <c r="AA230" t="n">
        <v>0.0</v>
      </c>
      <c r="AB230" t="n">
        <v>0.0</v>
      </c>
      <c r="AC230" t="n">
        <v>0.0</v>
      </c>
      <c r="AD230" t="n">
        <v>104.0</v>
      </c>
      <c r="AE230" t="n">
        <v>5.0</v>
      </c>
      <c r="AF230" t="n">
        <v>1.0</v>
      </c>
      <c r="AG230" t="n">
        <v>0.0</v>
      </c>
      <c r="AH230" t="n">
        <v>1.0</v>
      </c>
      <c r="AI230" t="n">
        <v>0.0</v>
      </c>
      <c r="AJ230" t="n">
        <v>0.0</v>
      </c>
      <c r="AK230" t="n">
        <v>11.788461538461538</v>
      </c>
      <c r="AL230" t="inlineStr">
        <is>
          <t/>
        </is>
      </c>
    </row>
    <row r="231">
      <c r="A231" t="inlineStr">
        <is>
          <t>意外发现了掉秤最快的方法</t>
        </is>
      </c>
      <c r="B231" t="inlineStr">
        <is>
          <t>69dc9266000000001f000950</t>
        </is>
      </c>
      <c r="C231" s="230" t="n">
        <f>HYPERLINK("https://www.xiaohongshu.com/explore/69dc9266000000001f000950?xsec_token=TBe8vKhJyviDCWrA3Jp-irCVMlBhnPQe2OhF3osWX7AQU=&amp;xsec_source=pc_trdark","https://www.xiaohongshu.com/explore/69dc9266000000001f000950?xsec_token=TBe8vKhJyviDCWrA3Jp-irCVMlBhnPQe2OhF3osWX7AQU=&amp;xsec_source=pc_trdark")</f>
        <v>0.0</v>
      </c>
      <c r="D231" t="inlineStr">
        <is>
          <t>婉婉上班吃什么</t>
        </is>
      </c>
      <c r="E231" t="inlineStr">
        <is>
          <t>11434449706</t>
        </is>
      </c>
      <c r="F231" t="inlineStr">
        <is>
          <t>2026-04-13 14:51:18</t>
        </is>
      </c>
      <c r="G231" t="inlineStr">
        <is>
          <t>图文</t>
        </is>
      </c>
      <c r="H231" t="inlineStr">
        <is>
          <t>手剥虾仁 无冰衣无添加 低脂餐一人食 上班带饭 顺丰包邮 5盒装</t>
        </is>
      </c>
      <c r="I231" t="inlineStr">
        <is>
          <t>694baba01d450d00013662f0</t>
        </is>
      </c>
      <c r="J231" t="inlineStr">
        <is>
          <t/>
        </is>
      </c>
      <c r="K231" t="n">
        <v>0.0</v>
      </c>
      <c r="L231" t="n">
        <v>0.0</v>
      </c>
      <c r="M231" t="n">
        <v>5.0</v>
      </c>
      <c r="N231" t="inlineStr">
        <is>
          <t>0.04807692307692308</t>
        </is>
      </c>
      <c r="O231" t="n">
        <v>5.0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inlineStr">
        <is>
          <t/>
        </is>
      </c>
      <c r="X231" t="n">
        <v>0.0</v>
      </c>
      <c r="Y231" t="n">
        <v>2.0</v>
      </c>
      <c r="Z231" t="n">
        <v>0.0</v>
      </c>
      <c r="AA231" t="n">
        <v>0.0</v>
      </c>
      <c r="AB231" t="n">
        <v>0.0</v>
      </c>
      <c r="AC231" t="n">
        <v>0.0</v>
      </c>
      <c r="AD231" t="n">
        <v>104.0</v>
      </c>
      <c r="AE231" t="n">
        <v>2.0</v>
      </c>
      <c r="AF231" t="n">
        <v>0.0</v>
      </c>
      <c r="AG231" t="n">
        <v>0.0</v>
      </c>
      <c r="AH231" t="n">
        <v>1.0</v>
      </c>
      <c r="AI231" t="n">
        <v>0.0</v>
      </c>
      <c r="AJ231" t="n">
        <v>0.0</v>
      </c>
      <c r="AK231" t="n">
        <v>9.663461538461538</v>
      </c>
      <c r="AL231" t="inlineStr">
        <is>
          <t/>
        </is>
      </c>
    </row>
    <row r="232">
      <c r="A232" t="inlineStr">
        <is>
          <t>奉劝年轻人不要低估了100来块的购买力</t>
        </is>
      </c>
      <c r="B232" t="inlineStr">
        <is>
          <t>69d1d073000000001f003503</t>
        </is>
      </c>
      <c r="C232" s="231" t="n">
        <f>HYPERLINK("https://www.xiaohongshu.com/explore/69d1d073000000001f003503?xsec_token=TBT5TAUGV3LcD_GYbSvfENi6IlzTehmG7mk_h3ONlDvKM=&amp;xsec_source=pc_trdark","https://www.xiaohongshu.com/explore/69d1d073000000001f003503?xsec_token=TBT5TAUGV3LcD_GYbSvfENi6IlzTehmG7mk_h3ONlDvKM=&amp;xsec_source=pc_trdark")</f>
        <v>0.0</v>
      </c>
      <c r="D232" t="inlineStr">
        <is>
          <t>鲜水湾</t>
        </is>
      </c>
      <c r="E232" t="inlineStr">
        <is>
          <t>49316638994</t>
        </is>
      </c>
      <c r="F232" t="inlineStr">
        <is>
          <t>2026-04-05 11:01:07</t>
        </is>
      </c>
      <c r="G232" t="inlineStr">
        <is>
          <t>图文</t>
        </is>
      </c>
      <c r="H232" t="inlineStr">
        <is>
          <t>手剥虾仁 无冰衣无添加 低脂餐一人食 上班带饭 顺丰包邮 5盒装</t>
        </is>
      </c>
      <c r="I232" t="inlineStr">
        <is>
          <t>694baba01d450d00013662f0</t>
        </is>
      </c>
      <c r="J232" t="inlineStr">
        <is>
          <t/>
        </is>
      </c>
      <c r="K232" t="n">
        <v>69.0</v>
      </c>
      <c r="L232" t="n">
        <v>1.0</v>
      </c>
      <c r="M232" t="n">
        <v>28.0</v>
      </c>
      <c r="N232" t="n">
        <v>0.2692307692307692</v>
      </c>
      <c r="O232" t="n">
        <v>26.0</v>
      </c>
      <c r="P232" t="n">
        <v>1.0</v>
      </c>
      <c r="Q232" t="inlineStr">
        <is>
          <t>0.03571428571428571</t>
        </is>
      </c>
      <c r="R232" t="inlineStr">
        <is>
          <t>0.038461538461538464</t>
        </is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6.0</v>
      </c>
      <c r="Z232" t="n">
        <v>9.0</v>
      </c>
      <c r="AA232" t="n">
        <v>0.0</v>
      </c>
      <c r="AB232" t="n">
        <v>0.0</v>
      </c>
      <c r="AC232" t="n">
        <v>0.0</v>
      </c>
      <c r="AD232" t="n">
        <v>104.0</v>
      </c>
      <c r="AE232" t="n">
        <v>1.0</v>
      </c>
      <c r="AF232" t="n">
        <v>0.0</v>
      </c>
      <c r="AG232" t="n">
        <v>0.0</v>
      </c>
      <c r="AH232" t="n">
        <v>2.0</v>
      </c>
      <c r="AI232" t="n">
        <v>0.0</v>
      </c>
      <c r="AJ232" t="n">
        <v>0.0</v>
      </c>
      <c r="AK232" t="n">
        <v>15.442307692307692</v>
      </c>
      <c r="AL232" t="inlineStr">
        <is>
          <t/>
        </is>
      </c>
    </row>
    <row r="233">
      <c r="A233" t="inlineStr">
        <is>
          <t>区区100来块，解决我一周的减脂晚餐🥹</t>
        </is>
      </c>
      <c r="B233" t="inlineStr">
        <is>
          <t>69c8efc6000000001b022df0</t>
        </is>
      </c>
      <c r="C233" s="232" t="n">
        <f>HYPERLINK("https://www.xiaohongshu.com/explore/69c8efc6000000001b022df0?xsec_token=TBSs0bsvi6YGXB042lLCz_JAyCRa2A-E7ppqa8FqxRzQg=&amp;xsec_source=pc_trdark","https://www.xiaohongshu.com/explore/69c8efc6000000001b022df0?xsec_token=TBSs0bsvi6YGXB042lLCz_JAyCRa2A-E7ppqa8FqxRzQg=&amp;xsec_source=pc_trdark")</f>
        <v>0.0</v>
      </c>
      <c r="D233" t="inlineStr">
        <is>
          <t>婉婉上班吃什么</t>
        </is>
      </c>
      <c r="E233" t="inlineStr">
        <is>
          <t>11434449706</t>
        </is>
      </c>
      <c r="F233" t="inlineStr">
        <is>
          <t>2026-03-29 17:24:22</t>
        </is>
      </c>
      <c r="G233" t="inlineStr">
        <is>
          <t>图文</t>
        </is>
      </c>
      <c r="H233" t="inlineStr">
        <is>
          <t>智利三文鱼切块·整条三文鱼·深海鱼一人食健康饮食</t>
        </is>
      </c>
      <c r="I233" t="inlineStr">
        <is>
          <t>691ac562a524ee0001b51d7b</t>
        </is>
      </c>
      <c r="J233" t="inlineStr">
        <is>
          <t/>
        </is>
      </c>
      <c r="K233" t="n">
        <v>118.0</v>
      </c>
      <c r="L233" t="n">
        <v>1.0</v>
      </c>
      <c r="M233" t="n">
        <v>54.0</v>
      </c>
      <c r="N233" t="n">
        <v>0.5192307692307693</v>
      </c>
      <c r="O233" t="n">
        <v>51.0</v>
      </c>
      <c r="P233" t="n">
        <v>1.0</v>
      </c>
      <c r="Q233" t="inlineStr">
        <is>
          <t>0.018518518518518517</t>
        </is>
      </c>
      <c r="R233" t="n">
        <v>0.0196078431372549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13.0</v>
      </c>
      <c r="Z233" t="n">
        <v>6.0</v>
      </c>
      <c r="AA233" t="n">
        <v>0.0</v>
      </c>
      <c r="AB233" t="n">
        <v>0.0</v>
      </c>
      <c r="AC233" t="n">
        <v>0.0</v>
      </c>
      <c r="AD233" t="n">
        <v>104.0</v>
      </c>
      <c r="AE233" t="n">
        <v>1.0</v>
      </c>
      <c r="AF233" t="n">
        <v>0.0</v>
      </c>
      <c r="AG233" t="n">
        <v>0.0</v>
      </c>
      <c r="AH233" t="n">
        <v>1.0</v>
      </c>
      <c r="AI233" t="n">
        <v>0.0</v>
      </c>
      <c r="AJ233" t="n">
        <v>0.0</v>
      </c>
      <c r="AK233" t="n">
        <v>25.615384615384617</v>
      </c>
      <c r="AL233" t="inlineStr">
        <is>
          <t/>
        </is>
      </c>
    </row>
    <row r="234">
      <c r="A234" t="inlineStr">
        <is>
          <t>孕妈妈放心炫的虾！鲜到跳脚还补钙</t>
        </is>
      </c>
      <c r="B234" t="inlineStr">
        <is>
          <t>694aad5f000000001f0085bc</t>
        </is>
      </c>
      <c r="C234" s="233" t="n">
        <f>HYPERLINK("https://www.xiaohongshu.com/explore/694aad5f000000001f0085bc?xsec_token=TBdeZ0Rm1wYmDrNYnjdb_05teoGDji6c5OUtoJGvaOS34=&amp;xsec_source=pc_trdark","https://www.xiaohongshu.com/explore/694aad5f000000001f0085bc?xsec_token=TBdeZ0Rm1wYmDrNYnjdb_05teoGDji6c5OUtoJGvaOS34=&amp;xsec_source=pc_trdark")</f>
        <v>0.0</v>
      </c>
      <c r="D234" t="inlineStr">
        <is>
          <t>鲜水湾</t>
        </is>
      </c>
      <c r="E234" t="inlineStr">
        <is>
          <t>49316638994</t>
        </is>
      </c>
      <c r="F234" t="inlineStr">
        <is>
          <t>2025-12-23 22:55:27</t>
        </is>
      </c>
      <c r="G234" t="inlineStr">
        <is>
          <t>图文</t>
        </is>
      </c>
      <c r="H234" t="inlineStr">
        <is>
          <t>大虾基围虾王牌大虾厄瓜多尔白虾盐冻虾仁海洋大虾送礼顺丰包邮</t>
        </is>
      </c>
      <c r="I234" t="inlineStr">
        <is>
          <t>690aeb7be379430001e686ac</t>
        </is>
      </c>
      <c r="J234" t="inlineStr">
        <is>
          <t/>
        </is>
      </c>
      <c r="K234" t="n">
        <v>0.0</v>
      </c>
      <c r="L234" t="n">
        <v>0.0</v>
      </c>
      <c r="M234" t="n">
        <v>12.0</v>
      </c>
      <c r="N234" t="inlineStr">
        <is>
          <t>0.11538461538461539</t>
        </is>
      </c>
      <c r="O234" t="n">
        <v>11.0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inlineStr">
        <is>
          <t/>
        </is>
      </c>
      <c r="X234" t="n">
        <v>0.0</v>
      </c>
      <c r="Y234" t="n">
        <v>0.0</v>
      </c>
      <c r="Z234" t="n">
        <v>2.0</v>
      </c>
      <c r="AA234" t="n">
        <v>0.0</v>
      </c>
      <c r="AB234" t="n">
        <v>0.0</v>
      </c>
      <c r="AC234" t="n">
        <v>0.0</v>
      </c>
      <c r="AD234" t="n">
        <v>104.0</v>
      </c>
      <c r="AE234" t="n">
        <v>1.0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7.355769230769231</v>
      </c>
      <c r="AL234" t="inlineStr">
        <is>
          <t/>
        </is>
      </c>
    </row>
    <row r="235">
      <c r="A235" t="inlineStr">
        <is>
          <t>春日减脂，区区69块够我连吃一周😎</t>
        </is>
      </c>
      <c r="B235" t="inlineStr">
        <is>
          <t>69e6de2600000000230100ae</t>
        </is>
      </c>
      <c r="C235" s="234" t="n">
        <f>HYPERLINK("https://www.xiaohongshu.com/explore/69e6de2600000000230100ae?xsec_token=TBXs2O6r9V_Qdtui9pffX9XbGGQ4yJfrb8AgbczNl1K_U=&amp;xsec_source=pc_trdark","https://www.xiaohongshu.com/explore/69e6de2600000000230100ae?xsec_token=TBXs2O6r9V_Qdtui9pffX9XbGGQ4yJfrb8AgbczNl1K_U=&amp;xsec_source=pc_trdark")</f>
        <v>0.0</v>
      </c>
      <c r="D235" t="inlineStr">
        <is>
          <t>鲜水湾甄选</t>
        </is>
      </c>
      <c r="E235" t="inlineStr">
        <is>
          <t>27401929161</t>
        </is>
      </c>
      <c r="F235" t="inlineStr">
        <is>
          <t>2026-04-21 10:17:10</t>
        </is>
      </c>
      <c r="G235" t="inlineStr">
        <is>
          <t>图文</t>
        </is>
      </c>
      <c r="H235" t="inlineStr">
        <is>
          <t>手剥虾仁 无冰衣无添加 低脂餐一人食 上班带饭 顺丰包邮 5盒装</t>
        </is>
      </c>
      <c r="I235" t="inlineStr">
        <is>
          <t>694baba01d450d00013662f0</t>
        </is>
      </c>
      <c r="J235" t="inlineStr">
        <is>
          <t/>
        </is>
      </c>
      <c r="K235" t="n">
        <v>0.0</v>
      </c>
      <c r="L235" t="n">
        <v>0.0</v>
      </c>
      <c r="M235" t="n">
        <v>8.0</v>
      </c>
      <c r="N235" t="inlineStr">
        <is>
          <t>0.07766990291262135</t>
        </is>
      </c>
      <c r="O235" t="n">
        <v>7.0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inlineStr">
        <is>
          <t/>
        </is>
      </c>
      <c r="X235" t="n">
        <v>0.0</v>
      </c>
      <c r="Y235" t="n">
        <v>1.0</v>
      </c>
      <c r="Z235" t="n">
        <v>3.0</v>
      </c>
      <c r="AA235" t="n">
        <v>0.0</v>
      </c>
      <c r="AB235" t="n">
        <v>0.0</v>
      </c>
      <c r="AC235" t="n">
        <v>0.0</v>
      </c>
      <c r="AD235" t="n">
        <v>103.0</v>
      </c>
      <c r="AE235" t="n">
        <v>3.0</v>
      </c>
      <c r="AF235" t="n">
        <v>1.0</v>
      </c>
      <c r="AG235" t="n">
        <v>0.0</v>
      </c>
      <c r="AH235" t="n">
        <v>1.0</v>
      </c>
      <c r="AI235" t="n">
        <v>0.0</v>
      </c>
      <c r="AJ235" t="n">
        <v>0.0</v>
      </c>
      <c r="AK235" t="n">
        <v>14.650485436893204</v>
      </c>
      <c r="AL235" t="inlineStr">
        <is>
          <t/>
        </is>
      </c>
    </row>
    <row r="236">
      <c r="A236" t="inlineStr">
        <is>
          <t>我说中国人不骗中国人，你就能下单吗？</t>
        </is>
      </c>
      <c r="B236" t="inlineStr">
        <is>
          <t>69d8ab65000000001a02db02</t>
        </is>
      </c>
      <c r="C236" s="235" t="n">
        <f>HYPERLINK("https://www.xiaohongshu.com/explore/69d8ab65000000001a02db02?xsec_token=TBaP4Vb_xh4r06-3Gp1C6IeJCrEJ8qfLj2bVuzeCJOWwM=&amp;xsec_source=pc_trdark","https://www.xiaohongshu.com/explore/69d8ab65000000001a02db02?xsec_token=TBaP4Vb_xh4r06-3Gp1C6IeJCrEJ8qfLj2bVuzeCJOWwM=&amp;xsec_source=pc_trdark")</f>
        <v>0.0</v>
      </c>
      <c r="D236" t="inlineStr">
        <is>
          <t>鲜水湾</t>
        </is>
      </c>
      <c r="E236" t="inlineStr">
        <is>
          <t>49316638994</t>
        </is>
      </c>
      <c r="F236" t="inlineStr">
        <is>
          <t>2026-04-10 15:48:53</t>
        </is>
      </c>
      <c r="G236" t="inlineStr">
        <is>
          <t>图文</t>
        </is>
      </c>
      <c r="H236" t="inlineStr">
        <is>
          <t>手剥虾仁 无冰衣无添加 低脂餐一人食 上班带饭 顺丰包邮 5盒装</t>
        </is>
      </c>
      <c r="I236" t="inlineStr">
        <is>
          <t>694baba01d450d00013662f0</t>
        </is>
      </c>
      <c r="J236" t="inlineStr">
        <is>
          <t/>
        </is>
      </c>
      <c r="K236" t="n">
        <v>138.0</v>
      </c>
      <c r="L236" t="n">
        <v>2.0</v>
      </c>
      <c r="M236" t="n">
        <v>23.0</v>
      </c>
      <c r="N236" t="inlineStr">
        <is>
          <t>0.22330097087378642</t>
        </is>
      </c>
      <c r="O236" t="n">
        <v>21.0</v>
      </c>
      <c r="P236" t="n">
        <v>2.0</v>
      </c>
      <c r="Q236" t="inlineStr">
        <is>
          <t>0.08695652173913043</t>
        </is>
      </c>
      <c r="R236" t="inlineStr">
        <is>
          <t>0.09523809523809523</t>
        </is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6.0</v>
      </c>
      <c r="Z236" t="n">
        <v>2.0</v>
      </c>
      <c r="AA236" t="n">
        <v>0.0</v>
      </c>
      <c r="AB236" t="n">
        <v>0.0</v>
      </c>
      <c r="AC236" t="n">
        <v>0.0</v>
      </c>
      <c r="AD236" t="n">
        <v>103.0</v>
      </c>
      <c r="AE236" t="n">
        <v>2.0</v>
      </c>
      <c r="AF236" t="n">
        <v>0.0</v>
      </c>
      <c r="AG236" t="n">
        <v>0.0</v>
      </c>
      <c r="AH236" t="n">
        <v>1.0</v>
      </c>
      <c r="AI236" t="n">
        <v>0.0</v>
      </c>
      <c r="AJ236" t="n">
        <v>0.0</v>
      </c>
      <c r="AK236" t="n">
        <v>8.553398058252426</v>
      </c>
      <c r="AL236" t="inlineStr">
        <is>
          <t/>
        </is>
      </c>
    </row>
    <row r="237">
      <c r="A237" t="inlineStr">
        <is>
          <t>第一次对爬坡后吃快碳起了敬意…</t>
        </is>
      </c>
      <c r="B237" t="inlineStr">
        <is>
          <t>69ce28650000000023023665</t>
        </is>
      </c>
      <c r="C237" s="236" t="n">
        <f>HYPERLINK("https://www.xiaohongshu.com/explore/69ce28650000000023023665?xsec_token=TBclHZuM5_fs2QanfU7vVSEjebRFZIeMMwhqZgmE1nrgM=&amp;xsec_source=pc_trdark","https://www.xiaohongshu.com/explore/69ce28650000000023023665?xsec_token=TBclHZuM5_fs2QanfU7vVSEjebRFZIeMMwhqZgmE1nrgM=&amp;xsec_source=pc_trdark")</f>
        <v>0.0</v>
      </c>
      <c r="D237" t="inlineStr">
        <is>
          <t>鲜水湾甄选</t>
        </is>
      </c>
      <c r="E237" t="inlineStr">
        <is>
          <t>27401929161</t>
        </is>
      </c>
      <c r="F237" t="inlineStr">
        <is>
          <t>2026-04-02 16:27:17</t>
        </is>
      </c>
      <c r="G237" t="inlineStr">
        <is>
          <t>图文</t>
        </is>
      </c>
      <c r="H237" t="inlineStr">
        <is>
          <t>手剥虾仁 无冰衣无添加 低脂餐一人食 上班带饭 顺丰包邮 5盒装</t>
        </is>
      </c>
      <c r="I237" t="inlineStr">
        <is>
          <t>694baba01d450d00013662f0</t>
        </is>
      </c>
      <c r="J237" t="inlineStr">
        <is>
          <t/>
        </is>
      </c>
      <c r="K237" t="n">
        <v>69.0</v>
      </c>
      <c r="L237" t="n">
        <v>1.0</v>
      </c>
      <c r="M237" t="n">
        <v>5.0</v>
      </c>
      <c r="N237" t="inlineStr">
        <is>
          <t>0.04854368932038835</t>
        </is>
      </c>
      <c r="O237" t="n">
        <v>5.0</v>
      </c>
      <c r="P237" t="n">
        <v>1.0</v>
      </c>
      <c r="Q237" t="n">
        <v>0.2</v>
      </c>
      <c r="R237" t="n">
        <v>0.2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1.0</v>
      </c>
      <c r="Z237" t="n">
        <v>0.0</v>
      </c>
      <c r="AA237" t="n">
        <v>0.0</v>
      </c>
      <c r="AB237" t="n">
        <v>0.0</v>
      </c>
      <c r="AC237" t="n">
        <v>0.0</v>
      </c>
      <c r="AD237" t="n">
        <v>103.0</v>
      </c>
      <c r="AE237" t="n">
        <v>0.0</v>
      </c>
      <c r="AF237" t="n">
        <v>0.0</v>
      </c>
      <c r="AG237" t="n">
        <v>0.0</v>
      </c>
      <c r="AH237" t="n">
        <v>2.0</v>
      </c>
      <c r="AI237" t="n">
        <v>0.0</v>
      </c>
      <c r="AJ237" t="n">
        <v>0.0</v>
      </c>
      <c r="AK237" t="n">
        <v>9.495145631067961</v>
      </c>
      <c r="AL237" t="inlineStr">
        <is>
          <t/>
        </is>
      </c>
    </row>
    <row r="238">
      <c r="A238" t="inlineStr">
        <is>
          <t>普通人减脂真不贵，69够吃一周了🥹</t>
        </is>
      </c>
      <c r="B238" t="inlineStr">
        <is>
          <t>69f0a7de0000000023006b3c</t>
        </is>
      </c>
      <c r="C238" s="237" t="n">
        <f>HYPERLINK("https://www.xiaohongshu.com/explore/69f0a7de0000000023006b3c?xsec_token=TBvHxiGmj2CedfPdQHdLJBmEzONIsIUUcBjBJWYlPtpcc=&amp;xsec_source=pc_trdark","https://www.xiaohongshu.com/explore/69f0a7de0000000023006b3c?xsec_token=TBvHxiGmj2CedfPdQHdLJBmEzONIsIUUcBjBJWYlPtpcc=&amp;xsec_source=pc_trdark")</f>
        <v>0.0</v>
      </c>
      <c r="D238" t="inlineStr">
        <is>
          <t>鲜水湾</t>
        </is>
      </c>
      <c r="E238" t="inlineStr">
        <is>
          <t>49316638994</t>
        </is>
      </c>
      <c r="F238" t="inlineStr">
        <is>
          <t>2026-04-28 20:28:14</t>
        </is>
      </c>
      <c r="G238" t="inlineStr">
        <is>
          <t>图文</t>
        </is>
      </c>
      <c r="H238" t="inlineStr">
        <is>
          <t>手剥虾仁 无冰衣无添加 低脂餐一人食 上班带饭 顺丰包邮 5盒装</t>
        </is>
      </c>
      <c r="I238" t="inlineStr">
        <is>
          <t>694baba01d450d00013662f0</t>
        </is>
      </c>
      <c r="J238" t="inlineStr">
        <is>
          <t/>
        </is>
      </c>
      <c r="K238" t="n">
        <v>0.0</v>
      </c>
      <c r="L238" t="n">
        <v>0.0</v>
      </c>
      <c r="M238" t="n">
        <v>15.0</v>
      </c>
      <c r="N238" t="inlineStr">
        <is>
          <t>0.14705882352941177</t>
        </is>
      </c>
      <c r="O238" t="n">
        <v>14.0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inlineStr">
        <is>
          <t/>
        </is>
      </c>
      <c r="X238" t="n">
        <v>0.0</v>
      </c>
      <c r="Y238" t="n">
        <v>5.0</v>
      </c>
      <c r="Z238" t="n">
        <v>2.0</v>
      </c>
      <c r="AA238" t="n">
        <v>0.0</v>
      </c>
      <c r="AB238" t="n">
        <v>0.0</v>
      </c>
      <c r="AC238" t="n">
        <v>0.0</v>
      </c>
      <c r="AD238" t="n">
        <v>102.0</v>
      </c>
      <c r="AE238" t="n">
        <v>2.0</v>
      </c>
      <c r="AF238" t="n">
        <v>1.0</v>
      </c>
      <c r="AG238" t="n">
        <v>0.0</v>
      </c>
      <c r="AH238" t="n">
        <v>3.0</v>
      </c>
      <c r="AI238" t="n">
        <v>0.0</v>
      </c>
      <c r="AJ238" t="n">
        <v>0.0</v>
      </c>
      <c r="AK238" t="n">
        <v>16.480392156862745</v>
      </c>
      <c r="AL238" t="inlineStr">
        <is>
          <t/>
        </is>
      </c>
    </row>
    <row r="239">
      <c r="A239" t="inlineStr">
        <is>
          <t>决定为早八人推出小包装，已经落实了</t>
        </is>
      </c>
      <c r="B239" t="inlineStr">
        <is>
          <t>69ee17dd000000002300469f</t>
        </is>
      </c>
      <c r="C239" s="238" t="n">
        <f>HYPERLINK("https://www.xiaohongshu.com/explore/69ee17dd000000002300469f?xsec_token=TB3JCI8OO3ItJ5gw9_OIE0bG2RmP6-3MBVGt4ZwFGk_RY=&amp;xsec_source=pc_trdark","https://www.xiaohongshu.com/explore/69ee17dd000000002300469f?xsec_token=TB3JCI8OO3ItJ5gw9_OIE0bG2RmP6-3MBVGt4ZwFGk_RY=&amp;xsec_source=pc_trdark")</f>
        <v>0.0</v>
      </c>
      <c r="D239" t="inlineStr">
        <is>
          <t>菲菲上班吃什么</t>
        </is>
      </c>
      <c r="E239" t="inlineStr">
        <is>
          <t>49936530607</t>
        </is>
      </c>
      <c r="F239" t="inlineStr">
        <is>
          <t>2026-04-26 21:49:17</t>
        </is>
      </c>
      <c r="G239" t="inlineStr">
        <is>
          <t>图文</t>
        </is>
      </c>
      <c r="H239" t="inlineStr">
        <is>
          <t>手剥虾仁 无冰衣无添加 低脂餐一人食 上班带饭 顺丰包邮 5盒装</t>
        </is>
      </c>
      <c r="I239" t="inlineStr">
        <is>
          <t>694baba01d450d00013662f0</t>
        </is>
      </c>
      <c r="J239" t="inlineStr">
        <is>
          <t/>
        </is>
      </c>
      <c r="K239" t="n">
        <v>128.0</v>
      </c>
      <c r="L239" t="n">
        <v>1.0</v>
      </c>
      <c r="M239" t="n">
        <v>14.0</v>
      </c>
      <c r="N239" t="n">
        <v>0.14</v>
      </c>
      <c r="O239" t="n">
        <v>14.0</v>
      </c>
      <c r="P239" t="n">
        <v>1.0</v>
      </c>
      <c r="Q239" t="inlineStr">
        <is>
          <t>0.07142857142857142</t>
        </is>
      </c>
      <c r="R239" t="inlineStr">
        <is>
          <t>0.07142857142857142</t>
        </is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4.0</v>
      </c>
      <c r="Z239" t="n">
        <v>3.0</v>
      </c>
      <c r="AA239" t="n">
        <v>0.0</v>
      </c>
      <c r="AB239" t="n">
        <v>0.0</v>
      </c>
      <c r="AC239" t="n">
        <v>0.0</v>
      </c>
      <c r="AD239" t="n">
        <v>100.0</v>
      </c>
      <c r="AE239" t="n">
        <v>0.0</v>
      </c>
      <c r="AF239" t="n">
        <v>0.0</v>
      </c>
      <c r="AG239" t="n">
        <v>0.0</v>
      </c>
      <c r="AH239" t="n">
        <v>1.0</v>
      </c>
      <c r="AI239" t="n">
        <v>0.0</v>
      </c>
      <c r="AJ239" t="n">
        <v>0.0</v>
      </c>
      <c r="AK239" t="n">
        <v>12.06</v>
      </c>
      <c r="AL239" t="inlineStr">
        <is>
          <t/>
        </is>
      </c>
    </row>
    <row r="240">
      <c r="A240" t="inlineStr">
        <is>
          <t>比超市都实惠的整条三文鱼</t>
        </is>
      </c>
      <c r="B240" t="inlineStr">
        <is>
          <t>69e5eac6000000001f003fb0</t>
        </is>
      </c>
      <c r="C240" s="239" t="n">
        <f>HYPERLINK("https://www.xiaohongshu.com/explore/69e5eac6000000001f003fb0?xsec_token=TBRM_4pSbJalcnymykJyoKXVAaqS7ccdrufcSIBmMhS-0=&amp;xsec_source=pc_trdark","https://www.xiaohongshu.com/explore/69e5eac6000000001f003fb0?xsec_token=TBRM_4pSbJalcnymykJyoKXVAaqS7ccdrufcSIBmMhS-0=&amp;xsec_source=pc_trdark")</f>
        <v>0.0</v>
      </c>
      <c r="D240" t="inlineStr">
        <is>
          <t>鲜水湾</t>
        </is>
      </c>
      <c r="E240" t="inlineStr">
        <is>
          <t>49316638994</t>
        </is>
      </c>
      <c r="F240" t="inlineStr">
        <is>
          <t>2026-04-20 16:58:46</t>
        </is>
      </c>
      <c r="G240" t="inlineStr">
        <is>
          <t>图文</t>
        </is>
      </c>
      <c r="H240" t="inlineStr">
        <is>
          <t>智利三文鱼切块·整条三文鱼·深海鱼一人食健康饮食</t>
        </is>
      </c>
      <c r="I240" t="inlineStr">
        <is>
          <t>691ac562a524ee0001b51d7b</t>
        </is>
      </c>
      <c r="J240" t="inlineStr">
        <is>
          <t/>
        </is>
      </c>
      <c r="K240" t="n">
        <v>0.0</v>
      </c>
      <c r="L240" t="n">
        <v>0.0</v>
      </c>
      <c r="M240" t="n">
        <v>18.0</v>
      </c>
      <c r="N240" t="n">
        <v>0.18</v>
      </c>
      <c r="O240" t="n">
        <v>18.0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inlineStr">
        <is>
          <t/>
        </is>
      </c>
      <c r="X240" t="n">
        <v>0.0</v>
      </c>
      <c r="Y240" t="n">
        <v>4.0</v>
      </c>
      <c r="Z240" t="n">
        <v>4.0</v>
      </c>
      <c r="AA240" t="n">
        <v>0.0</v>
      </c>
      <c r="AB240" t="n">
        <v>0.0</v>
      </c>
      <c r="AC240" t="n">
        <v>0.0</v>
      </c>
      <c r="AD240" t="n">
        <v>100.0</v>
      </c>
      <c r="AE240" t="n">
        <v>3.0</v>
      </c>
      <c r="AF240" t="n">
        <v>0.0</v>
      </c>
      <c r="AG240" t="n">
        <v>0.0</v>
      </c>
      <c r="AH240" t="n">
        <v>1.0</v>
      </c>
      <c r="AI240" t="n">
        <v>0.0</v>
      </c>
      <c r="AJ240" t="n">
        <v>0.0</v>
      </c>
      <c r="AK240" t="n">
        <v>19.43</v>
      </c>
      <c r="AL240" t="inlineStr">
        <is>
          <t/>
        </is>
      </c>
    </row>
    <row r="241">
      <c r="A241" t="inlineStr">
        <is>
          <t>上班搭子说我每天都吃虾仁很离谱</t>
        </is>
      </c>
      <c r="B241" t="inlineStr">
        <is>
          <t>69d27b280000000022029e74</t>
        </is>
      </c>
      <c r="C241" s="240" t="n">
        <f>HYPERLINK("https://www.xiaohongshu.com/explore/69d27b280000000022029e74?xsec_token=TBNrOxL8mRPP3W5KJU-iYJry0MjS693ZM0rgCas-0jzOA=&amp;xsec_source=pc_trdark","https://www.xiaohongshu.com/explore/69d27b280000000022029e74?xsec_token=TBNrOxL8mRPP3W5KJU-iYJry0MjS693ZM0rgCas-0jzOA=&amp;xsec_source=pc_trdark")</f>
        <v>0.0</v>
      </c>
      <c r="D241" t="inlineStr">
        <is>
          <t>婉婉上班吃什么</t>
        </is>
      </c>
      <c r="E241" t="inlineStr">
        <is>
          <t>11434449706</t>
        </is>
      </c>
      <c r="F241" t="inlineStr">
        <is>
          <t>2026-04-05 23:09:28</t>
        </is>
      </c>
      <c r="G241" t="inlineStr">
        <is>
          <t>图文</t>
        </is>
      </c>
      <c r="H241" t="inlineStr">
        <is>
          <t>手剥虾仁 无冰衣无添加 低脂餐一人食 上班带饭 顺丰包邮 5盒装</t>
        </is>
      </c>
      <c r="I241" t="inlineStr">
        <is>
          <t>694baba01d450d00013662f0</t>
        </is>
      </c>
      <c r="J241" t="inlineStr">
        <is>
          <t/>
        </is>
      </c>
      <c r="K241" t="n">
        <v>0.0</v>
      </c>
      <c r="L241" t="n">
        <v>0.0</v>
      </c>
      <c r="M241" t="n">
        <v>4.0</v>
      </c>
      <c r="N241" t="inlineStr">
        <is>
          <t>0.04040404040404041</t>
        </is>
      </c>
      <c r="O241" t="n">
        <v>4.0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inlineStr">
        <is>
          <t/>
        </is>
      </c>
      <c r="X241" t="n">
        <v>0.0</v>
      </c>
      <c r="Y241" t="n">
        <v>3.0</v>
      </c>
      <c r="Z241" t="n">
        <v>1.0</v>
      </c>
      <c r="AA241" t="n">
        <v>0.0</v>
      </c>
      <c r="AB241" t="n">
        <v>0.0</v>
      </c>
      <c r="AC241" t="n">
        <v>0.0</v>
      </c>
      <c r="AD241" t="n">
        <v>99.0</v>
      </c>
      <c r="AE241" t="n">
        <v>2.0</v>
      </c>
      <c r="AF241" t="n">
        <v>0.0</v>
      </c>
      <c r="AG241" t="n">
        <v>0.0</v>
      </c>
      <c r="AH241" t="n">
        <v>1.0</v>
      </c>
      <c r="AI241" t="n">
        <v>0.0</v>
      </c>
      <c r="AJ241" t="n">
        <v>0.0</v>
      </c>
      <c r="AK241" t="n">
        <v>8.727272727272727</v>
      </c>
      <c r="AL241" t="inlineStr">
        <is>
          <t/>
        </is>
      </c>
    </row>
    <row r="242">
      <c r="A242" t="inlineStr">
        <is>
          <t>给害怕处理活虾的人一个买虾思路</t>
        </is>
      </c>
      <c r="B242" t="inlineStr">
        <is>
          <t>69a913b0000000000e03e0f7</t>
        </is>
      </c>
      <c r="C242" s="241" t="n">
        <f>HYPERLINK("https://www.xiaohongshu.com/explore/69a913b0000000000e03e0f7?xsec_token=TBX1UPru9xmrqAy_hfS76TmvvYG8UJv3ZxAh7d5lXB09I=&amp;xsec_source=pc_trdark","https://www.xiaohongshu.com/explore/69a913b0000000000e03e0f7?xsec_token=TBX1UPru9xmrqAy_hfS76TmvvYG8UJv3ZxAh7d5lXB09I=&amp;xsec_source=pc_trdark")</f>
        <v>0.0</v>
      </c>
      <c r="D242" t="inlineStr">
        <is>
          <t>鲜水湾</t>
        </is>
      </c>
      <c r="E242" t="inlineStr">
        <is>
          <t>49316638994</t>
        </is>
      </c>
      <c r="F242" t="inlineStr">
        <is>
          <t>2026-03-05 13:25:04</t>
        </is>
      </c>
      <c r="G242" t="inlineStr">
        <is>
          <t>图文</t>
        </is>
      </c>
      <c r="H242" t="inlineStr">
        <is>
          <t>大虾基围虾王牌大虾厄瓜多尔白虾盐冻虾仁海洋大虾送礼顺丰包邮</t>
        </is>
      </c>
      <c r="I242" t="inlineStr">
        <is>
          <t>690aeb7be379430001e686ac</t>
        </is>
      </c>
      <c r="J242" t="inlineStr">
        <is>
          <t/>
        </is>
      </c>
      <c r="K242" t="n">
        <v>0.0</v>
      </c>
      <c r="L242" t="n">
        <v>0.0</v>
      </c>
      <c r="M242" t="n">
        <v>10.0</v>
      </c>
      <c r="N242" t="inlineStr">
        <is>
          <t>0.10101010101010101</t>
        </is>
      </c>
      <c r="O242" t="n">
        <v>9.0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inlineStr">
        <is>
          <t/>
        </is>
      </c>
      <c r="X242" t="n">
        <v>0.0</v>
      </c>
      <c r="Y242" t="n">
        <v>1.0</v>
      </c>
      <c r="Z242" t="n">
        <v>7.0</v>
      </c>
      <c r="AA242" t="n">
        <v>0.0</v>
      </c>
      <c r="AB242" t="n">
        <v>0.0</v>
      </c>
      <c r="AC242" t="n">
        <v>0.0</v>
      </c>
      <c r="AD242" t="n">
        <v>99.0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8.797979797979798</v>
      </c>
      <c r="AL242" t="inlineStr">
        <is>
          <t/>
        </is>
      </c>
    </row>
    <row r="243">
      <c r="A243" t="inlineStr">
        <is>
          <t>真的惊到我！才花69块，居然够我连吃整整一周</t>
        </is>
      </c>
      <c r="B243" t="inlineStr">
        <is>
          <t>69c889970000000023006d5a</t>
        </is>
      </c>
      <c r="C243" s="242" t="n">
        <f>HYPERLINK("https://www.xiaohongshu.com/explore/69c889970000000023006d5a?xsec_token=TBSs0bsvi6YGXB042lLCz_JPcohIrS3G6faLXAPDyQrBs=&amp;xsec_source=pc_trdark","https://www.xiaohongshu.com/explore/69c889970000000023006d5a?xsec_token=TBSs0bsvi6YGXB042lLCz_JPcohIrS3G6faLXAPDyQrBs=&amp;xsec_source=pc_trdark")</f>
        <v>0.0</v>
      </c>
      <c r="D243" t="inlineStr">
        <is>
          <t>婉婉上班吃什么</t>
        </is>
      </c>
      <c r="E243" t="inlineStr">
        <is>
          <t>11434449706</t>
        </is>
      </c>
      <c r="F243" t="inlineStr">
        <is>
          <t>2026-03-29 10:08:23</t>
        </is>
      </c>
      <c r="G243" t="inlineStr">
        <is>
          <t>图文</t>
        </is>
      </c>
      <c r="H243" t="inlineStr">
        <is>
          <t>手剥虾仁 无冰衣无添加 低脂餐一人食 上班带饭 顺丰包邮 5盒装</t>
        </is>
      </c>
      <c r="I243" t="inlineStr">
        <is>
          <t>694baba01d450d00013662f0</t>
        </is>
      </c>
      <c r="J243" t="inlineStr">
        <is>
          <t/>
        </is>
      </c>
      <c r="K243" t="n">
        <v>0.0</v>
      </c>
      <c r="L243" t="n">
        <v>0.0</v>
      </c>
      <c r="M243" t="n">
        <v>15.0</v>
      </c>
      <c r="N243" t="inlineStr">
        <is>
          <t>0.15306122448979592</t>
        </is>
      </c>
      <c r="O243" t="n">
        <v>15.0</v>
      </c>
      <c r="P243" t="n">
        <v>0.0</v>
      </c>
      <c r="Q243" t="n">
        <v>0.0</v>
      </c>
      <c r="R243" t="n">
        <v>0.0</v>
      </c>
      <c r="S243" t="n">
        <v>138.0</v>
      </c>
      <c r="T243" t="n">
        <v>1.0</v>
      </c>
      <c r="U243" t="n">
        <v>1.0</v>
      </c>
      <c r="V243" t="n">
        <v>0.0</v>
      </c>
      <c r="W243" t="inlineStr">
        <is>
          <t/>
        </is>
      </c>
      <c r="X243" t="n">
        <v>0.0</v>
      </c>
      <c r="Y243" t="n">
        <v>5.0</v>
      </c>
      <c r="Z243" t="n">
        <v>7.0</v>
      </c>
      <c r="AA243" t="n">
        <v>0.0</v>
      </c>
      <c r="AB243" t="n">
        <v>0.0</v>
      </c>
      <c r="AC243" t="n">
        <v>0.0</v>
      </c>
      <c r="AD243" t="n">
        <v>98.0</v>
      </c>
      <c r="AE243" t="n">
        <v>0.0</v>
      </c>
      <c r="AF243" t="n">
        <v>1.0</v>
      </c>
      <c r="AG243" t="n">
        <v>0.0</v>
      </c>
      <c r="AH243" t="n">
        <v>0.0</v>
      </c>
      <c r="AI243" t="n">
        <v>0.0</v>
      </c>
      <c r="AJ243" t="n">
        <v>0.0</v>
      </c>
      <c r="AK243" t="n">
        <v>15.153061224489797</v>
      </c>
      <c r="AL243" t="inlineStr">
        <is>
          <t/>
        </is>
      </c>
    </row>
    <row r="244">
      <c r="A244" t="inlineStr">
        <is>
          <t>亲测！减脂期吃虾仁，掉秤真的会变快💪</t>
        </is>
      </c>
      <c r="B244" t="inlineStr">
        <is>
          <t>69f2faa500000000350257e0</t>
        </is>
      </c>
      <c r="C244" s="243" t="n">
        <f>HYPERLINK("https://www.xiaohongshu.com/explore/69f2faa500000000350257e0?xsec_token=TBvWHBo3-qwEN9bVc9g-yUNZLHDOCd89mgyosOApg45Bw=&amp;xsec_source=pc_trdark","https://www.xiaohongshu.com/explore/69f2faa500000000350257e0?xsec_token=TBvWHBo3-qwEN9bVc9g-yUNZLHDOCd89mgyosOApg45Bw=&amp;xsec_source=pc_trdark")</f>
        <v>0.0</v>
      </c>
      <c r="D244" t="inlineStr">
        <is>
          <t>鲜水湾甄选</t>
        </is>
      </c>
      <c r="E244" t="inlineStr">
        <is>
          <t>27401929161</t>
        </is>
      </c>
      <c r="F244" t="inlineStr">
        <is>
          <t>2026-04-30 14:45:57</t>
        </is>
      </c>
      <c r="G244" t="inlineStr">
        <is>
          <t>图文</t>
        </is>
      </c>
      <c r="H244" t="inlineStr">
        <is>
          <t>手剥虾仁 无冰衣无添加 低脂餐一人食 上班带饭 顺丰包邮 5盒装</t>
        </is>
      </c>
      <c r="I244" t="inlineStr">
        <is>
          <t>694baba01d450d00013662f0</t>
        </is>
      </c>
      <c r="J244" t="inlineStr">
        <is>
          <t/>
        </is>
      </c>
      <c r="K244" t="n">
        <v>0.0</v>
      </c>
      <c r="L244" t="n">
        <v>0.0</v>
      </c>
      <c r="M244" t="n">
        <v>6.0</v>
      </c>
      <c r="N244" t="inlineStr">
        <is>
          <t>0.061855670103092786</t>
        </is>
      </c>
      <c r="O244" t="n">
        <v>5.0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inlineStr">
        <is>
          <t/>
        </is>
      </c>
      <c r="X244" t="n">
        <v>0.0</v>
      </c>
      <c r="Y244" t="n">
        <v>3.0</v>
      </c>
      <c r="Z244" t="n">
        <v>2.0</v>
      </c>
      <c r="AA244" t="n">
        <v>0.0</v>
      </c>
      <c r="AB244" t="n">
        <v>0.0</v>
      </c>
      <c r="AC244" t="n">
        <v>0.0</v>
      </c>
      <c r="AD244" t="n">
        <v>97.0</v>
      </c>
      <c r="AE244" t="n">
        <v>1.0</v>
      </c>
      <c r="AF244" t="n">
        <v>0.0</v>
      </c>
      <c r="AG244" t="n">
        <v>0.0</v>
      </c>
      <c r="AH244" t="n">
        <v>1.0</v>
      </c>
      <c r="AI244" t="n">
        <v>0.0</v>
      </c>
      <c r="AJ244" t="n">
        <v>0.0</v>
      </c>
      <c r="AK244" t="n">
        <v>6.639175257731959</v>
      </c>
      <c r="AL244" t="inlineStr">
        <is>
          <t/>
        </is>
      </c>
    </row>
    <row r="245">
      <c r="A245" t="inlineStr">
        <is>
          <t>爸妈还是低估了100多块的购买力</t>
        </is>
      </c>
      <c r="B245" t="inlineStr">
        <is>
          <t>69db203a000000002301c1e1</t>
        </is>
      </c>
      <c r="C245" s="244" t="n">
        <f>HYPERLINK("https://www.xiaohongshu.com/explore/69db203a000000002301c1e1?xsec_token=TBv7n0Oy0CPbFvgz473v78kT90HaveVNZc9efRjyI_WvA=&amp;xsec_source=pc_trdark","https://www.xiaohongshu.com/explore/69db203a000000002301c1e1?xsec_token=TBv7n0Oy0CPbFvgz473v78kT90HaveVNZc9efRjyI_WvA=&amp;xsec_source=pc_trdark")</f>
        <v>0.0</v>
      </c>
      <c r="D245" t="inlineStr">
        <is>
          <t>菲菲上班吃什么</t>
        </is>
      </c>
      <c r="E245" t="inlineStr">
        <is>
          <t>49936530607</t>
        </is>
      </c>
      <c r="F245" t="inlineStr">
        <is>
          <t>2026-04-12 12:31:54</t>
        </is>
      </c>
      <c r="G245" t="inlineStr">
        <is>
          <t>图文</t>
        </is>
      </c>
      <c r="H245" t="inlineStr">
        <is>
          <t>手剥虾仁 无冰衣无添加 低脂餐一人食 上班带饭 顺丰包邮 5盒装</t>
        </is>
      </c>
      <c r="I245" t="inlineStr">
        <is>
          <t>694baba01d450d00013662f0</t>
        </is>
      </c>
      <c r="J245" t="inlineStr">
        <is>
          <t/>
        </is>
      </c>
      <c r="K245" t="n">
        <v>384.0</v>
      </c>
      <c r="L245" t="n">
        <v>3.0</v>
      </c>
      <c r="M245" t="n">
        <v>20.0</v>
      </c>
      <c r="N245" t="inlineStr">
        <is>
          <t>0.20618556701030927</t>
        </is>
      </c>
      <c r="O245" t="n">
        <v>16.0</v>
      </c>
      <c r="P245" t="n">
        <v>3.0</v>
      </c>
      <c r="Q245" t="n">
        <v>0.15</v>
      </c>
      <c r="R245" t="n">
        <v>0.1875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6.0</v>
      </c>
      <c r="Z245" t="n">
        <v>3.0</v>
      </c>
      <c r="AA245" t="n">
        <v>0.0</v>
      </c>
      <c r="AB245" t="n">
        <v>0.0</v>
      </c>
      <c r="AC245" t="n">
        <v>0.0</v>
      </c>
      <c r="AD245" t="n">
        <v>97.0</v>
      </c>
      <c r="AE245" t="n">
        <v>1.0</v>
      </c>
      <c r="AF245" t="n">
        <v>0.0</v>
      </c>
      <c r="AG245" t="n">
        <v>0.0</v>
      </c>
      <c r="AH245" t="n">
        <v>1.0</v>
      </c>
      <c r="AI245" t="n">
        <v>0.0</v>
      </c>
      <c r="AJ245" t="n">
        <v>0.0</v>
      </c>
      <c r="AK245" t="n">
        <v>15.948453608247423</v>
      </c>
      <c r="AL245" t="inlineStr">
        <is>
          <t/>
        </is>
      </c>
    </row>
    <row r="246">
      <c r="A246" t="inlineStr">
        <is>
          <t>翻了翻某马虾仁配料表，发现…</t>
        </is>
      </c>
      <c r="B246" t="inlineStr">
        <is>
          <t>69d7b947000000001f0011c8</t>
        </is>
      </c>
      <c r="C246" s="245" t="n">
        <f>HYPERLINK("https://www.xiaohongshu.com/explore/69d7b947000000001f0011c8?xsec_token=TBabSJw1DqF320Z_FWL3yrQ01ALA0QNb2MQsuJevH_myc=&amp;xsec_source=pc_trdark","https://www.xiaohongshu.com/explore/69d7b947000000001f0011c8?xsec_token=TBabSJw1DqF320Z_FWL3yrQ01ALA0QNb2MQsuJevH_myc=&amp;xsec_source=pc_trdark")</f>
        <v>0.0</v>
      </c>
      <c r="D246" t="inlineStr">
        <is>
          <t>鲜水湾</t>
        </is>
      </c>
      <c r="E246" t="inlineStr">
        <is>
          <t>49316638994</t>
        </is>
      </c>
      <c r="F246" t="inlineStr">
        <is>
          <t>2026-04-09 22:35:51</t>
        </is>
      </c>
      <c r="G246" t="inlineStr">
        <is>
          <t>图文</t>
        </is>
      </c>
      <c r="H246" t="inlineStr">
        <is>
          <t>手剥虾仁 无冰衣无添加 低脂餐一人食 上班带饭 顺丰包邮 5盒装</t>
        </is>
      </c>
      <c r="I246" t="inlineStr">
        <is>
          <t>694baba01d450d00013662f0</t>
        </is>
      </c>
      <c r="J246" t="inlineStr">
        <is>
          <t/>
        </is>
      </c>
      <c r="K246" t="n">
        <v>69.0</v>
      </c>
      <c r="L246" t="n">
        <v>1.0</v>
      </c>
      <c r="M246" t="n">
        <v>15.0</v>
      </c>
      <c r="N246" t="n">
        <v>0.15625</v>
      </c>
      <c r="O246" t="n">
        <v>14.0</v>
      </c>
      <c r="P246" t="n">
        <v>1.0</v>
      </c>
      <c r="Q246" t="inlineStr">
        <is>
          <t>0.06666666666666667</t>
        </is>
      </c>
      <c r="R246" t="inlineStr">
        <is>
          <t>0.07142857142857142</t>
        </is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4.0</v>
      </c>
      <c r="Z246" t="n">
        <v>1.0</v>
      </c>
      <c r="AA246" t="n">
        <v>0.0</v>
      </c>
      <c r="AB246" t="n">
        <v>0.0</v>
      </c>
      <c r="AC246" t="n">
        <v>0.0</v>
      </c>
      <c r="AD246" t="n">
        <v>96.0</v>
      </c>
      <c r="AE246" t="n">
        <v>1.0</v>
      </c>
      <c r="AF246" t="n">
        <v>1.0</v>
      </c>
      <c r="AG246" t="n">
        <v>0.0</v>
      </c>
      <c r="AH246" t="n">
        <v>1.0</v>
      </c>
      <c r="AI246" t="n">
        <v>1.0</v>
      </c>
      <c r="AJ246" t="n">
        <v>0.0</v>
      </c>
      <c r="AK246" t="n">
        <v>12.822916666666666</v>
      </c>
      <c r="AL246" t="inlineStr">
        <is>
          <t/>
        </is>
      </c>
    </row>
    <row r="247">
      <c r="A247" t="inlineStr">
        <is>
          <t>同品质虾仁，我们为什么比别家便宜？</t>
        </is>
      </c>
      <c r="B247" t="inlineStr">
        <is>
          <t>69d4d5d2000000001f00405e</t>
        </is>
      </c>
      <c r="C247" s="246" t="n">
        <f>HYPERLINK("https://www.xiaohongshu.com/explore/69d4d5d2000000001f00405e?xsec_token=TBCfzrc-PQxdd2ruCVqHUjYqgtA96Vm2XHcHsBQvgu4vA=&amp;xsec_source=pc_trdark","https://www.xiaohongshu.com/explore/69d4d5d2000000001f00405e?xsec_token=TBCfzrc-PQxdd2ruCVqHUjYqgtA96Vm2XHcHsBQvgu4vA=&amp;xsec_source=pc_trdark")</f>
        <v>0.0</v>
      </c>
      <c r="D247" t="inlineStr">
        <is>
          <t>鲜水湾</t>
        </is>
      </c>
      <c r="E247" t="inlineStr">
        <is>
          <t>49316638994</t>
        </is>
      </c>
      <c r="F247" t="inlineStr">
        <is>
          <t>2026-04-07 18:00:50</t>
        </is>
      </c>
      <c r="G247" t="inlineStr">
        <is>
          <t>图文</t>
        </is>
      </c>
      <c r="H247" t="inlineStr">
        <is>
          <t>手剥虾仁 无冰衣无添加 低脂餐一人食 上班带饭 顺丰包邮 5盒装</t>
        </is>
      </c>
      <c r="I247" t="inlineStr">
        <is>
          <t>694baba01d450d00013662f0</t>
        </is>
      </c>
      <c r="J247" t="inlineStr">
        <is>
          <t/>
        </is>
      </c>
      <c r="K247" t="n">
        <v>197.0</v>
      </c>
      <c r="L247" t="n">
        <v>2.0</v>
      </c>
      <c r="M247" t="n">
        <v>32.0</v>
      </c>
      <c r="N247" t="n">
        <v>0.3333333333333333</v>
      </c>
      <c r="O247" t="n">
        <v>27.0</v>
      </c>
      <c r="P247" t="n">
        <v>2.0</v>
      </c>
      <c r="Q247" t="n">
        <v>0.0625</v>
      </c>
      <c r="R247" t="inlineStr">
        <is>
          <t>0.07407407407407407</t>
        </is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9.0</v>
      </c>
      <c r="Z247" t="n">
        <v>9.0</v>
      </c>
      <c r="AA247" t="n">
        <v>0.0</v>
      </c>
      <c r="AB247" t="n">
        <v>0.0</v>
      </c>
      <c r="AC247" t="n">
        <v>0.0</v>
      </c>
      <c r="AD247" t="n">
        <v>96.0</v>
      </c>
      <c r="AE247" t="n">
        <v>2.0</v>
      </c>
      <c r="AF247" t="n">
        <v>0.0</v>
      </c>
      <c r="AG247" t="n">
        <v>0.0</v>
      </c>
      <c r="AH247" t="n">
        <v>1.0</v>
      </c>
      <c r="AI247" t="n">
        <v>0.0</v>
      </c>
      <c r="AJ247" t="n">
        <v>0.0</v>
      </c>
      <c r="AK247" t="n">
        <v>20.822916666666668</v>
      </c>
      <c r="AL247" t="inlineStr">
        <is>
          <t/>
        </is>
      </c>
    </row>
    <row r="248">
      <c r="A248" t="inlineStr">
        <is>
          <t>我也不想买，可是100多他给我发10包虾仁啊🥹</t>
        </is>
      </c>
      <c r="B248" t="inlineStr">
        <is>
          <t>69edbdab000000003501ee7e</t>
        </is>
      </c>
      <c r="C248" s="247" t="n">
        <f>HYPERLINK("https://www.xiaohongshu.com/explore/69edbdab000000003501ee7e?xsec_token=TB3T22OHPTz18Ew6RRyYsIrC0-YOuylM6XvXnGPQgElqI=&amp;xsec_source=pc_trdark","https://www.xiaohongshu.com/explore/69edbdab000000003501ee7e?xsec_token=TB3T22OHPTz18Ew6RRyYsIrC0-YOuylM6XvXnGPQgElqI=&amp;xsec_source=pc_trdark")</f>
        <v>0.0</v>
      </c>
      <c r="D248" t="inlineStr">
        <is>
          <t>鲜水湾甄选</t>
        </is>
      </c>
      <c r="E248" t="inlineStr">
        <is>
          <t>27401929161</t>
        </is>
      </c>
      <c r="F248" t="inlineStr">
        <is>
          <t>2026-04-26 15:24:27</t>
        </is>
      </c>
      <c r="G248" t="inlineStr">
        <is>
          <t>图文</t>
        </is>
      </c>
      <c r="H248" t="inlineStr">
        <is>
          <t>手剥虾仁 无冰衣无添加 低脂餐一人食 上班带饭 顺丰包邮 5盒装</t>
        </is>
      </c>
      <c r="I248" t="inlineStr">
        <is>
          <t>694baba01d450d00013662f0</t>
        </is>
      </c>
      <c r="J248" t="inlineStr">
        <is>
          <t/>
        </is>
      </c>
      <c r="K248" t="n">
        <v>197.0</v>
      </c>
      <c r="L248" t="n">
        <v>2.0</v>
      </c>
      <c r="M248" t="n">
        <v>17.0</v>
      </c>
      <c r="N248" t="inlineStr">
        <is>
          <t>0.17894736842105263</t>
        </is>
      </c>
      <c r="O248" t="n">
        <v>13.0</v>
      </c>
      <c r="P248" t="n">
        <v>2.0</v>
      </c>
      <c r="Q248" t="inlineStr">
        <is>
          <t>0.11764705882352941</t>
        </is>
      </c>
      <c r="R248" t="inlineStr">
        <is>
          <t>0.15384615384615385</t>
        </is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3.0</v>
      </c>
      <c r="Z248" t="n">
        <v>6.0</v>
      </c>
      <c r="AA248" t="n">
        <v>0.0</v>
      </c>
      <c r="AB248" t="n">
        <v>0.0</v>
      </c>
      <c r="AC248" t="n">
        <v>0.0</v>
      </c>
      <c r="AD248" t="n">
        <v>95.0</v>
      </c>
      <c r="AE248" t="n">
        <v>2.0</v>
      </c>
      <c r="AF248" t="n">
        <v>0.0</v>
      </c>
      <c r="AG248" t="n">
        <v>0.0</v>
      </c>
      <c r="AH248" t="n">
        <v>1.0</v>
      </c>
      <c r="AI248" t="n">
        <v>0.0</v>
      </c>
      <c r="AJ248" t="n">
        <v>0.0</v>
      </c>
      <c r="AK248" t="n">
        <v>8.789473684210526</v>
      </c>
      <c r="AL248" t="inlineStr">
        <is>
          <t/>
        </is>
      </c>
    </row>
    <row r="249">
      <c r="A249" t="inlineStr">
        <is>
          <t>减脂期懒人福音，这个小份虾仁比sam还懂我！</t>
        </is>
      </c>
      <c r="B249" t="inlineStr">
        <is>
          <t>69e5e04000000000230117f0</t>
        </is>
      </c>
      <c r="C249" s="248" t="n">
        <f>HYPERLINK("https://www.xiaohongshu.com/explore/69e5e04000000000230117f0?xsec_token=TBRM_4pSbJalcnymykJyoKXeUJx0RG0jB4JRY4Vaohoqc=&amp;xsec_source=pc_trdark","https://www.xiaohongshu.com/explore/69e5e04000000000230117f0?xsec_token=TBRM_4pSbJalcnymykJyoKXeUJx0RG0jB4JRY4Vaohoqc=&amp;xsec_source=pc_trdark")</f>
        <v>0.0</v>
      </c>
      <c r="D249" t="inlineStr">
        <is>
          <t>鲜水湾甄选</t>
        </is>
      </c>
      <c r="E249" t="inlineStr">
        <is>
          <t>27401929161</t>
        </is>
      </c>
      <c r="F249" t="inlineStr">
        <is>
          <t>2026-04-20 16:13:52</t>
        </is>
      </c>
      <c r="G249" t="inlineStr">
        <is>
          <t>图文</t>
        </is>
      </c>
      <c r="H249" t="inlineStr">
        <is>
          <t>手剥虾仁 无冰衣无添加 低脂餐一人食 上班带饭 顺丰包邮 5盒装</t>
        </is>
      </c>
      <c r="I249" t="inlineStr">
        <is>
          <t>694baba01d450d00013662f0</t>
        </is>
      </c>
      <c r="J249" t="inlineStr">
        <is>
          <t/>
        </is>
      </c>
      <c r="K249" t="n">
        <v>0.0</v>
      </c>
      <c r="L249" t="n">
        <v>0.0</v>
      </c>
      <c r="M249" t="n">
        <v>7.0</v>
      </c>
      <c r="N249" t="inlineStr">
        <is>
          <t>0.07368421052631578</t>
        </is>
      </c>
      <c r="O249" t="n">
        <v>6.0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inlineStr">
        <is>
          <t/>
        </is>
      </c>
      <c r="X249" t="n">
        <v>0.0</v>
      </c>
      <c r="Y249" t="n">
        <v>3.0</v>
      </c>
      <c r="Z249" t="n">
        <v>7.0</v>
      </c>
      <c r="AA249" t="n">
        <v>0.0</v>
      </c>
      <c r="AB249" t="n">
        <v>0.0</v>
      </c>
      <c r="AC249" t="n">
        <v>0.0</v>
      </c>
      <c r="AD249" t="n">
        <v>95.0</v>
      </c>
      <c r="AE249" t="n">
        <v>4.0</v>
      </c>
      <c r="AF249" t="n">
        <v>2.0</v>
      </c>
      <c r="AG249" t="n">
        <v>0.0</v>
      </c>
      <c r="AH249" t="n">
        <v>4.0</v>
      </c>
      <c r="AI249" t="n">
        <v>0.0</v>
      </c>
      <c r="AJ249" t="n">
        <v>0.0</v>
      </c>
      <c r="AK249" t="n">
        <v>11.2</v>
      </c>
      <c r="AL249" t="inlineStr">
        <is>
          <t/>
        </is>
      </c>
    </row>
    <row r="250">
      <c r="A250" t="inlineStr">
        <is>
          <t>别拿sam跟我比，真的不够打</t>
        </is>
      </c>
      <c r="B250" t="inlineStr">
        <is>
          <t>69db6f28000000002300661f</t>
        </is>
      </c>
      <c r="C250" s="249" t="n">
        <f>HYPERLINK("https://www.xiaohongshu.com/explore/69db6f28000000002300661f?xsec_token=TBv7n0Oy0CPbFvgz473v78kY871L79wYtFjcRv4m9hrlc=&amp;xsec_source=pc_trdark","https://www.xiaohongshu.com/explore/69db6f28000000002300661f?xsec_token=TBv7n0Oy0CPbFvgz473v78kY871L79wYtFjcRv4m9hrlc=&amp;xsec_source=pc_trdark")</f>
        <v>0.0</v>
      </c>
      <c r="D250" t="inlineStr">
        <is>
          <t>鲜水湾</t>
        </is>
      </c>
      <c r="E250" t="inlineStr">
        <is>
          <t>49316638994</t>
        </is>
      </c>
      <c r="F250" t="inlineStr">
        <is>
          <t>2026-04-12 18:08:40</t>
        </is>
      </c>
      <c r="G250" t="inlineStr">
        <is>
          <t>图文</t>
        </is>
      </c>
      <c r="H250" t="inlineStr">
        <is>
          <t>手剥虾仁 无冰衣无添加 低脂餐一人食 上班带饭 顺丰包邮 5盒装</t>
        </is>
      </c>
      <c r="I250" t="inlineStr">
        <is>
          <t>694baba01d450d00013662f0</t>
        </is>
      </c>
      <c r="J250" t="inlineStr">
        <is>
          <t/>
        </is>
      </c>
      <c r="K250" t="n">
        <v>138.0</v>
      </c>
      <c r="L250" t="n">
        <v>2.0</v>
      </c>
      <c r="M250" t="n">
        <v>13.0</v>
      </c>
      <c r="N250" t="n">
        <v>0.1368421052631579</v>
      </c>
      <c r="O250" t="n">
        <v>12.0</v>
      </c>
      <c r="P250" t="n">
        <v>2.0</v>
      </c>
      <c r="Q250" t="inlineStr">
        <is>
          <t>0.15384615384615385</t>
        </is>
      </c>
      <c r="R250" t="inlineStr">
        <is>
          <t>0.16666666666666666</t>
        </is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2.0</v>
      </c>
      <c r="Z250" t="n">
        <v>1.0</v>
      </c>
      <c r="AA250" t="n">
        <v>0.0</v>
      </c>
      <c r="AB250" t="n">
        <v>0.0</v>
      </c>
      <c r="AC250" t="n">
        <v>0.0</v>
      </c>
      <c r="AD250" t="n">
        <v>95.0</v>
      </c>
      <c r="AE250" t="n">
        <v>2.0</v>
      </c>
      <c r="AF250" t="n">
        <v>0.0</v>
      </c>
      <c r="AG250" t="n">
        <v>0.0</v>
      </c>
      <c r="AH250" t="n">
        <v>2.0</v>
      </c>
      <c r="AI250" t="n">
        <v>0.0</v>
      </c>
      <c r="AJ250" t="n">
        <v>0.0</v>
      </c>
      <c r="AK250" t="n">
        <v>19.4</v>
      </c>
      <c r="AL250" t="inlineStr">
        <is>
          <t/>
        </is>
      </c>
    </row>
    <row r="251">
      <c r="A251" t="inlineStr">
        <is>
          <t>不是广告，只是真心觉得这个虾仁值得被看见</t>
        </is>
      </c>
      <c r="B251" t="inlineStr">
        <is>
          <t>69d76d76000000001a02fbcf</t>
        </is>
      </c>
      <c r="C251" s="250" t="n">
        <f>HYPERLINK("https://www.xiaohongshu.com/explore/69d76d76000000001a02fbcf?xsec_token=TBabSJw1DqF320Z_FWL3yrQ2O6CUF8QdKXbqp986ym8Y0=&amp;xsec_source=pc_trdark","https://www.xiaohongshu.com/explore/69d76d76000000001a02fbcf?xsec_token=TBabSJw1DqF320Z_FWL3yrQ2O6CUF8QdKXbqp986ym8Y0=&amp;xsec_source=pc_trdark")</f>
        <v>0.0</v>
      </c>
      <c r="D251" t="inlineStr">
        <is>
          <t>菲菲上班吃什么</t>
        </is>
      </c>
      <c r="E251" t="inlineStr">
        <is>
          <t>49936530607</t>
        </is>
      </c>
      <c r="F251" t="inlineStr">
        <is>
          <t>2026-04-09 17:12:22</t>
        </is>
      </c>
      <c r="G251" t="inlineStr">
        <is>
          <t>图文</t>
        </is>
      </c>
      <c r="H251" t="inlineStr">
        <is>
          <t>手剥虾仁 无冰衣无添加 低脂餐一人食 上班带饭 顺丰包邮 5盒装</t>
        </is>
      </c>
      <c r="I251" t="inlineStr">
        <is>
          <t>694baba01d450d00013662f0</t>
        </is>
      </c>
      <c r="J251" t="inlineStr">
        <is>
          <t/>
        </is>
      </c>
      <c r="K251" t="n">
        <v>69.0</v>
      </c>
      <c r="L251" t="n">
        <v>1.0</v>
      </c>
      <c r="M251" t="n">
        <v>9.0</v>
      </c>
      <c r="N251" t="inlineStr">
        <is>
          <t>0.09473684210526316</t>
        </is>
      </c>
      <c r="O251" t="n">
        <v>9.0</v>
      </c>
      <c r="P251" t="n">
        <v>1.0</v>
      </c>
      <c r="Q251" t="n">
        <v>0.1111111111111111</v>
      </c>
      <c r="R251" t="n">
        <v>0.1111111111111111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95.0</v>
      </c>
      <c r="AE251" t="n">
        <v>2.0</v>
      </c>
      <c r="AF251" t="n">
        <v>2.0</v>
      </c>
      <c r="AG251" t="n">
        <v>0.0</v>
      </c>
      <c r="AH251" t="n">
        <v>1.0</v>
      </c>
      <c r="AI251" t="n">
        <v>0.0</v>
      </c>
      <c r="AJ251" t="n">
        <v>0.0</v>
      </c>
      <c r="AK251" t="n">
        <v>5.863157894736842</v>
      </c>
      <c r="AL251" t="inlineStr">
        <is>
          <t/>
        </is>
      </c>
    </row>
    <row r="252">
      <c r="A252" t="inlineStr">
        <is>
          <t>养殖虾和海捕虾，真的不是一种虾</t>
        </is>
      </c>
      <c r="B252" t="inlineStr">
        <is>
          <t>69d8bbb8000000001f002f43</t>
        </is>
      </c>
      <c r="C252" s="251" t="n">
        <f>HYPERLINK("https://www.xiaohongshu.com/explore/69d8bbb8000000001f002f43?xsec_token=TBaP4Vb_xh4r06-3Gp1C6IeAfg3GuI-647ta78Oy3BKTw=&amp;xsec_source=pc_trdark","https://www.xiaohongshu.com/explore/69d8bbb8000000001f002f43?xsec_token=TBaP4Vb_xh4r06-3Gp1C6IeAfg3GuI-647ta78Oy3BKTw=&amp;xsec_source=pc_trdark")</f>
        <v>0.0</v>
      </c>
      <c r="D252" t="inlineStr">
        <is>
          <t>鲜水湾</t>
        </is>
      </c>
      <c r="E252" t="inlineStr">
        <is>
          <t>49316638994</t>
        </is>
      </c>
      <c r="F252" t="inlineStr">
        <is>
          <t>2026-04-10 16:58:32</t>
        </is>
      </c>
      <c r="G252" t="inlineStr">
        <is>
          <t>图文</t>
        </is>
      </c>
      <c r="H252" t="inlineStr">
        <is>
          <t>手剥虾仁 无冰衣无添加 低脂餐一人食 上班带饭 顺丰包邮 5盒装</t>
        </is>
      </c>
      <c r="I252" t="inlineStr">
        <is>
          <t>694baba01d450d00013662f0</t>
        </is>
      </c>
      <c r="J252" t="inlineStr">
        <is>
          <t/>
        </is>
      </c>
      <c r="K252" t="n">
        <v>128.0</v>
      </c>
      <c r="L252" t="n">
        <v>1.0</v>
      </c>
      <c r="M252" t="n">
        <v>20.0</v>
      </c>
      <c r="N252" t="n">
        <v>0.2127659574468085</v>
      </c>
      <c r="O252" t="n">
        <v>17.0</v>
      </c>
      <c r="P252" t="n">
        <v>1.0</v>
      </c>
      <c r="Q252" t="n">
        <v>0.05</v>
      </c>
      <c r="R252" t="inlineStr">
        <is>
          <t>0.058823529411764705</t>
        </is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1.0</v>
      </c>
      <c r="Z252" t="n">
        <v>6.0</v>
      </c>
      <c r="AA252" t="n">
        <v>0.0</v>
      </c>
      <c r="AB252" t="n">
        <v>0.0</v>
      </c>
      <c r="AC252" t="n">
        <v>0.0</v>
      </c>
      <c r="AD252" t="n">
        <v>94.0</v>
      </c>
      <c r="AE252" t="n">
        <v>1.0</v>
      </c>
      <c r="AF252" t="n">
        <v>0.0</v>
      </c>
      <c r="AG252" t="n">
        <v>0.0</v>
      </c>
      <c r="AH252" t="n">
        <v>1.0</v>
      </c>
      <c r="AI252" t="n">
        <v>0.0</v>
      </c>
      <c r="AJ252" t="n">
        <v>0.0</v>
      </c>
      <c r="AK252" t="n">
        <v>11.361702127659575</v>
      </c>
      <c r="AL252" t="inlineStr">
        <is>
          <t/>
        </is>
      </c>
    </row>
    <row r="253">
      <c r="A253" t="inlineStr">
        <is>
          <t>脱脂牛马控体，还是得靠虾来解救！</t>
        </is>
      </c>
      <c r="B253" t="inlineStr">
        <is>
          <t>69d358f7000000001f000296</t>
        </is>
      </c>
      <c r="C253" s="252" t="n">
        <f>HYPERLINK("https://www.xiaohongshu.com/explore/69d358f7000000001f000296?xsec_token=TBhEDzysvLbwbBD8CIa_-jsSDF3dEZB1GQZWarlHFH2VQ=&amp;xsec_source=pc_trdark","https://www.xiaohongshu.com/explore/69d358f7000000001f000296?xsec_token=TBhEDzysvLbwbBD8CIa_-jsSDF3dEZB1GQZWarlHFH2VQ=&amp;xsec_source=pc_trdark")</f>
        <v>0.0</v>
      </c>
      <c r="D253" t="inlineStr">
        <is>
          <t>菲菲上班吃什么</t>
        </is>
      </c>
      <c r="E253" t="inlineStr">
        <is>
          <t>49936530607</t>
        </is>
      </c>
      <c r="F253" t="inlineStr">
        <is>
          <t>2026-04-06 14:55:51</t>
        </is>
      </c>
      <c r="G253" t="inlineStr">
        <is>
          <t>图文</t>
        </is>
      </c>
      <c r="H253" t="inlineStr">
        <is>
          <t>手剥虾仁 无冰衣无添加 低脂餐一人食 上班带饭 顺丰包邮 5盒装</t>
        </is>
      </c>
      <c r="I253" t="inlineStr">
        <is>
          <t>694baba01d450d00013662f0</t>
        </is>
      </c>
      <c r="J253" t="inlineStr">
        <is>
          <t/>
        </is>
      </c>
      <c r="K253" t="n">
        <v>0.0</v>
      </c>
      <c r="L253" t="n">
        <v>0.0</v>
      </c>
      <c r="M253" t="n">
        <v>8.0</v>
      </c>
      <c r="N253" t="n">
        <v>0.0851063829787234</v>
      </c>
      <c r="O253" t="n">
        <v>7.0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inlineStr">
        <is>
          <t/>
        </is>
      </c>
      <c r="X253" t="n">
        <v>0.0</v>
      </c>
      <c r="Y253" t="n">
        <v>4.0</v>
      </c>
      <c r="Z253" t="n">
        <v>11.0</v>
      </c>
      <c r="AA253" t="n">
        <v>0.0</v>
      </c>
      <c r="AB253" t="n">
        <v>0.0</v>
      </c>
      <c r="AC253" t="n">
        <v>0.0</v>
      </c>
      <c r="AD253" t="n">
        <v>94.0</v>
      </c>
      <c r="AE253" t="n">
        <v>1.0</v>
      </c>
      <c r="AF253" t="n">
        <v>0.0</v>
      </c>
      <c r="AG253" t="n">
        <v>0.0</v>
      </c>
      <c r="AH253" t="n">
        <v>1.0</v>
      </c>
      <c r="AI253" t="n">
        <v>0.0</v>
      </c>
      <c r="AJ253" t="n">
        <v>0.0</v>
      </c>
      <c r="AK253" t="n">
        <v>12.46808510638298</v>
      </c>
      <c r="AL253" t="inlineStr">
        <is>
          <t/>
        </is>
      </c>
    </row>
    <row r="254">
      <c r="A254" t="inlineStr">
        <is>
          <t>小基数开春控卡，多吃蛋白质真的巨管用！</t>
        </is>
      </c>
      <c r="B254" t="inlineStr">
        <is>
          <t>69e38d4d000000001e00e39a</t>
        </is>
      </c>
      <c r="C254" s="253" t="n">
        <f>HYPERLINK("https://www.xiaohongshu.com/explore/69e38d4d000000001e00e39a?xsec_token=TBdjj7K6Nlm9yT2LpYB6PpNvYfdhItsOmRVDWfcrs5T4c=&amp;xsec_source=pc_trdark","https://www.xiaohongshu.com/explore/69e38d4d000000001e00e39a?xsec_token=TBdjj7K6Nlm9yT2LpYB6PpNvYfdhItsOmRVDWfcrs5T4c=&amp;xsec_source=pc_trdark")</f>
        <v>0.0</v>
      </c>
      <c r="D254" t="inlineStr">
        <is>
          <t>菲菲上班吃什么</t>
        </is>
      </c>
      <c r="E254" t="inlineStr">
        <is>
          <t>49936530607</t>
        </is>
      </c>
      <c r="F254" t="inlineStr">
        <is>
          <t>2026-04-18 21:55:25</t>
        </is>
      </c>
      <c r="G254" t="inlineStr">
        <is>
          <t>图文</t>
        </is>
      </c>
      <c r="H254" t="inlineStr">
        <is>
          <t>手剥虾仁 无冰衣无添加 低脂餐一人食 上班带饭 顺丰包邮 5盒装</t>
        </is>
      </c>
      <c r="I254" t="inlineStr">
        <is>
          <t>694baba01d450d00013662f0</t>
        </is>
      </c>
      <c r="J254" t="inlineStr">
        <is>
          <t/>
        </is>
      </c>
      <c r="K254" t="n">
        <v>69.0</v>
      </c>
      <c r="L254" t="n">
        <v>1.0</v>
      </c>
      <c r="M254" t="n">
        <v>11.0</v>
      </c>
      <c r="N254" t="inlineStr">
        <is>
          <t>0.11956521739130435</t>
        </is>
      </c>
      <c r="O254" t="n">
        <v>11.0</v>
      </c>
      <c r="P254" t="n">
        <v>1.0</v>
      </c>
      <c r="Q254" t="inlineStr">
        <is>
          <t>0.09090909090909091</t>
        </is>
      </c>
      <c r="R254" t="inlineStr">
        <is>
          <t>0.09090909090909091</t>
        </is>
      </c>
      <c r="S254" t="n">
        <v>69.0</v>
      </c>
      <c r="T254" t="n">
        <v>1.0</v>
      </c>
      <c r="U254" t="n">
        <v>1.0</v>
      </c>
      <c r="V254" t="n">
        <v>69.0</v>
      </c>
      <c r="W254" t="n">
        <v>1.0</v>
      </c>
      <c r="X254" t="n">
        <v>1.0</v>
      </c>
      <c r="Y254" t="n">
        <v>3.0</v>
      </c>
      <c r="Z254" t="n">
        <v>2.0</v>
      </c>
      <c r="AA254" t="n">
        <v>0.0</v>
      </c>
      <c r="AB254" t="n">
        <v>0.0</v>
      </c>
      <c r="AC254" t="n">
        <v>0.0</v>
      </c>
      <c r="AD254" t="n">
        <v>92.0</v>
      </c>
      <c r="AE254" t="n">
        <v>1.0</v>
      </c>
      <c r="AF254" t="n">
        <v>0.0</v>
      </c>
      <c r="AG254" t="n">
        <v>0.0</v>
      </c>
      <c r="AH254" t="n">
        <v>1.0</v>
      </c>
      <c r="AI254" t="n">
        <v>0.0</v>
      </c>
      <c r="AJ254" t="n">
        <v>0.0</v>
      </c>
      <c r="AK254" t="n">
        <v>16.695652173913043</v>
      </c>
      <c r="AL254" t="inlineStr">
        <is>
          <t/>
        </is>
      </c>
    </row>
    <row r="255">
      <c r="A255" t="inlineStr">
        <is>
          <t>区区69元，承包了我一星期的减脂餐</t>
        </is>
      </c>
      <c r="B255" t="inlineStr">
        <is>
          <t>69d093450000000023005f63</t>
        </is>
      </c>
      <c r="C255" s="254" t="n">
        <f>HYPERLINK("https://www.xiaohongshu.com/explore/69d093450000000023005f63?xsec_token=TBeyEchqibkv4sS2qTvb9mgbykHQJFDvCeNKZ3Y9R7YmA=&amp;xsec_source=pc_trdark","https://www.xiaohongshu.com/explore/69d093450000000023005f63?xsec_token=TBeyEchqibkv4sS2qTvb9mgbykHQJFDvCeNKZ3Y9R7YmA=&amp;xsec_source=pc_trdark")</f>
        <v>0.0</v>
      </c>
      <c r="D255" t="inlineStr">
        <is>
          <t>菲菲上班吃什么</t>
        </is>
      </c>
      <c r="E255" t="inlineStr">
        <is>
          <t>49936530607</t>
        </is>
      </c>
      <c r="F255" t="inlineStr">
        <is>
          <t>2026-04-04 12:27:49</t>
        </is>
      </c>
      <c r="G255" t="inlineStr">
        <is>
          <t>图文</t>
        </is>
      </c>
      <c r="H255" t="inlineStr">
        <is>
          <t>手剥虾仁 无冰衣无添加 低脂餐一人食 上班带饭 顺丰包邮 5盒装</t>
        </is>
      </c>
      <c r="I255" t="inlineStr">
        <is>
          <t>694baba01d450d00013662f0</t>
        </is>
      </c>
      <c r="J255" t="inlineStr">
        <is>
          <t/>
        </is>
      </c>
      <c r="K255" t="n">
        <v>138.0</v>
      </c>
      <c r="L255" t="n">
        <v>1.0</v>
      </c>
      <c r="M255" t="n">
        <v>9.0</v>
      </c>
      <c r="N255" t="n">
        <v>0.0989010989010989</v>
      </c>
      <c r="O255" t="n">
        <v>9.0</v>
      </c>
      <c r="P255" t="n">
        <v>1.0</v>
      </c>
      <c r="Q255" t="n">
        <v>0.1111111111111111</v>
      </c>
      <c r="R255" t="n">
        <v>0.1111111111111111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4.0</v>
      </c>
      <c r="Z255" t="n">
        <v>1.0</v>
      </c>
      <c r="AA255" t="n">
        <v>0.0</v>
      </c>
      <c r="AB255" t="n">
        <v>0.0</v>
      </c>
      <c r="AC255" t="n">
        <v>0.0</v>
      </c>
      <c r="AD255" t="n">
        <v>91.0</v>
      </c>
      <c r="AE255" t="n">
        <v>0.0</v>
      </c>
      <c r="AF255" t="n">
        <v>1.0</v>
      </c>
      <c r="AG255" t="n">
        <v>0.0</v>
      </c>
      <c r="AH255" t="n">
        <v>1.0</v>
      </c>
      <c r="AI255" t="n">
        <v>0.0</v>
      </c>
      <c r="AJ255" t="n">
        <v>0.0</v>
      </c>
      <c r="AK255" t="n">
        <v>17.01098901098901</v>
      </c>
      <c r="AL255" t="inlineStr">
        <is>
          <t/>
        </is>
      </c>
    </row>
    <row r="256">
      <c r="A256" t="inlineStr">
        <is>
          <t>同事问我为什么每天带饭都是虾</t>
        </is>
      </c>
      <c r="B256" t="inlineStr">
        <is>
          <t>69c0e495000000002202795b</t>
        </is>
      </c>
      <c r="C256" s="255" t="n">
        <f>HYPERLINK("https://www.xiaohongshu.com/explore/69c0e495000000002202795b?xsec_token=TBlSRAgxB_sBYkF02kEEKO5-KAm0BC9Xe8MDqrFMwZelU=&amp;xsec_source=pc_trdark","https://www.xiaohongshu.com/explore/69c0e495000000002202795b?xsec_token=TBlSRAgxB_sBYkF02kEEKO5-KAm0BC9Xe8MDqrFMwZelU=&amp;xsec_source=pc_trdark")</f>
        <v>0.0</v>
      </c>
      <c r="D256" t="inlineStr">
        <is>
          <t>婉婉上班吃什么</t>
        </is>
      </c>
      <c r="E256" t="inlineStr">
        <is>
          <t>11434449706</t>
        </is>
      </c>
      <c r="F256" t="inlineStr">
        <is>
          <t>2026-03-23 14:58:29</t>
        </is>
      </c>
      <c r="G256" t="inlineStr">
        <is>
          <t>图文</t>
        </is>
      </c>
      <c r="H256" t="inlineStr">
        <is>
          <t>手剥虾仁 无冰衣无添加 低脂餐一人食 上班带饭 顺丰包邮 5盒装</t>
        </is>
      </c>
      <c r="I256" t="inlineStr">
        <is>
          <t>694baba01d450d00013662f0</t>
        </is>
      </c>
      <c r="J256" t="inlineStr">
        <is>
          <t/>
        </is>
      </c>
      <c r="K256" t="n">
        <v>0.0</v>
      </c>
      <c r="L256" t="n">
        <v>0.0</v>
      </c>
      <c r="M256" t="n">
        <v>6.0</v>
      </c>
      <c r="N256" t="inlineStr">
        <is>
          <t>0.06666666666666667</t>
        </is>
      </c>
      <c r="O256" t="n">
        <v>5.0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inlineStr">
        <is>
          <t/>
        </is>
      </c>
      <c r="X256" t="n">
        <v>0.0</v>
      </c>
      <c r="Y256" t="n">
        <v>1.0</v>
      </c>
      <c r="Z256" t="n">
        <v>0.0</v>
      </c>
      <c r="AA256" t="n">
        <v>0.0</v>
      </c>
      <c r="AB256" t="n">
        <v>0.0</v>
      </c>
      <c r="AC256" t="n">
        <v>0.0</v>
      </c>
      <c r="AD256" t="n">
        <v>90.0</v>
      </c>
      <c r="AE256" t="n">
        <v>1.0</v>
      </c>
      <c r="AF256" t="n">
        <v>2.0</v>
      </c>
      <c r="AG256" t="n">
        <v>1.0</v>
      </c>
      <c r="AH256" t="n">
        <v>0.0</v>
      </c>
      <c r="AI256" t="n">
        <v>0.0</v>
      </c>
      <c r="AJ256" t="n">
        <v>0.0</v>
      </c>
      <c r="AK256" t="n">
        <v>15.977777777777778</v>
      </c>
      <c r="AL256" t="inlineStr">
        <is>
          <t/>
        </is>
      </c>
    </row>
    <row r="257">
      <c r="A257" t="inlineStr">
        <is>
          <t>同事说我天天吃虾仁，问我是在减肥还是炫富</t>
        </is>
      </c>
      <c r="B257" t="inlineStr">
        <is>
          <t>69e234e00000000022027aab</t>
        </is>
      </c>
      <c r="C257" s="256" t="n">
        <f>HYPERLINK("https://www.xiaohongshu.com/explore/69e234e00000000022027aab?xsec_token=TBOpzZAuw0pnbuw-toVufuL7IQORE2enmNHyZC9P_FLPE=&amp;xsec_source=pc_trdark","https://www.xiaohongshu.com/explore/69e234e00000000022027aab?xsec_token=TBOpzZAuw0pnbuw-toVufuL7IQORE2enmNHyZC9P_FLPE=&amp;xsec_source=pc_trdark")</f>
        <v>0.0</v>
      </c>
      <c r="D257" t="inlineStr">
        <is>
          <t>菲菲上班吃什么</t>
        </is>
      </c>
      <c r="E257" t="inlineStr">
        <is>
          <t>49936530607</t>
        </is>
      </c>
      <c r="F257" t="inlineStr">
        <is>
          <t>2026-04-17 21:25:52</t>
        </is>
      </c>
      <c r="G257" t="inlineStr">
        <is>
          <t>图文</t>
        </is>
      </c>
      <c r="H257" t="inlineStr">
        <is>
          <t>手剥虾仁 无冰衣无添加 低脂餐一人食 上班带饭 顺丰包邮 5盒装</t>
        </is>
      </c>
      <c r="I257" t="inlineStr">
        <is>
          <t>694baba01d450d00013662f0</t>
        </is>
      </c>
      <c r="J257" t="inlineStr">
        <is>
          <t/>
        </is>
      </c>
      <c r="K257" t="n">
        <v>0.0</v>
      </c>
      <c r="L257" t="n">
        <v>0.0</v>
      </c>
      <c r="M257" t="n">
        <v>13.0</v>
      </c>
      <c r="N257" t="inlineStr">
        <is>
          <t>0.14606741573033707</t>
        </is>
      </c>
      <c r="O257" t="n">
        <v>12.0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inlineStr">
        <is>
          <t/>
        </is>
      </c>
      <c r="X257" t="n">
        <v>0.0</v>
      </c>
      <c r="Y257" t="n">
        <v>3.0</v>
      </c>
      <c r="Z257" t="n">
        <v>1.0</v>
      </c>
      <c r="AA257" t="n">
        <v>0.0</v>
      </c>
      <c r="AB257" t="n">
        <v>0.0</v>
      </c>
      <c r="AC257" t="n">
        <v>0.0</v>
      </c>
      <c r="AD257" t="n">
        <v>89.0</v>
      </c>
      <c r="AE257" t="n">
        <v>1.0</v>
      </c>
      <c r="AF257" t="n">
        <v>0.0</v>
      </c>
      <c r="AG257" t="n">
        <v>0.0</v>
      </c>
      <c r="AH257" t="n">
        <v>1.0</v>
      </c>
      <c r="AI257" t="n">
        <v>0.0</v>
      </c>
      <c r="AJ257" t="n">
        <v>0.0</v>
      </c>
      <c r="AK257" t="n">
        <v>10.719101123595506</v>
      </c>
      <c r="AL257" t="inlineStr">
        <is>
          <t/>
        </is>
      </c>
    </row>
    <row r="258">
      <c r="A258" t="inlineStr">
        <is>
          <t>现在的人真的对钱没有概念了😅</t>
        </is>
      </c>
      <c r="B258" t="inlineStr">
        <is>
          <t>69ef03c0000000002202643f</t>
        </is>
      </c>
      <c r="C258" s="257" t="n">
        <f>HYPERLINK("https://www.xiaohongshu.com/explore/69ef03c0000000002202643f?xsec_token=TB8YlxxIf2o_Xr_LAif13-vKlryW0Q2T_DdrGstFArKUM=&amp;xsec_source=pc_trdark","https://www.xiaohongshu.com/explore/69ef03c0000000002202643f?xsec_token=TB8YlxxIf2o_Xr_LAif13-vKlryW0Q2T_DdrGstFArKUM=&amp;xsec_source=pc_trdark")</f>
        <v>0.0</v>
      </c>
      <c r="D258" t="inlineStr">
        <is>
          <t>婉婉上班吃什么</t>
        </is>
      </c>
      <c r="E258" t="inlineStr">
        <is>
          <t>11434449706</t>
        </is>
      </c>
      <c r="F258" t="inlineStr">
        <is>
          <t>2026-04-27 14:35:44</t>
        </is>
      </c>
      <c r="G258" t="inlineStr">
        <is>
          <t>图文</t>
        </is>
      </c>
      <c r="H258" t="inlineStr">
        <is>
          <t>手剥虾仁 无冰衣无添加 低脂餐一人食 上班带饭 顺丰包邮 5盒装</t>
        </is>
      </c>
      <c r="I258" t="inlineStr">
        <is>
          <t>694baba01d450d00013662f0</t>
        </is>
      </c>
      <c r="J258" t="inlineStr">
        <is>
          <t/>
        </is>
      </c>
      <c r="K258" t="n">
        <v>0.0</v>
      </c>
      <c r="L258" t="n">
        <v>0.0</v>
      </c>
      <c r="M258" t="n">
        <v>15.0</v>
      </c>
      <c r="N258" t="inlineStr">
        <is>
          <t>0.17045454545454544</t>
        </is>
      </c>
      <c r="O258" t="n">
        <v>13.0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inlineStr">
        <is>
          <t/>
        </is>
      </c>
      <c r="X258" t="n">
        <v>0.0</v>
      </c>
      <c r="Y258" t="n">
        <v>1.0</v>
      </c>
      <c r="Z258" t="n">
        <v>1.0</v>
      </c>
      <c r="AA258" t="n">
        <v>0.0</v>
      </c>
      <c r="AB258" t="n">
        <v>0.0</v>
      </c>
      <c r="AC258" t="n">
        <v>0.0</v>
      </c>
      <c r="AD258" t="n">
        <v>88.0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10.011363636363637</v>
      </c>
      <c r="AL258" t="inlineStr">
        <is>
          <t/>
        </is>
      </c>
    </row>
    <row r="259">
      <c r="A259" t="inlineStr">
        <is>
          <t>花 300 块搞定一个月的干净饮食</t>
        </is>
      </c>
      <c r="B259" t="inlineStr">
        <is>
          <t>69eb2dc4000000002202aa0b</t>
        </is>
      </c>
      <c r="C259" s="258" t="n">
        <f>HYPERLINK("https://www.xiaohongshu.com/explore/69eb2dc4000000002202aa0b?xsec_token=TBKYxphePGFVFgSUNcsuIbTVBVNjZnHtlaNQdlcnJWpak=&amp;xsec_source=pc_trdark","https://www.xiaohongshu.com/explore/69eb2dc4000000002202aa0b?xsec_token=TBKYxphePGFVFgSUNcsuIbTVBVNjZnHtlaNQdlcnJWpak=&amp;xsec_source=pc_trdark")</f>
        <v>0.0</v>
      </c>
      <c r="D259" t="inlineStr">
        <is>
          <t>婉婉上班吃什么</t>
        </is>
      </c>
      <c r="E259" t="inlineStr">
        <is>
          <t>11434449706</t>
        </is>
      </c>
      <c r="F259" t="inlineStr">
        <is>
          <t>2026-04-24 16:45:56</t>
        </is>
      </c>
      <c r="G259" t="inlineStr">
        <is>
          <t>图文</t>
        </is>
      </c>
      <c r="H259" t="inlineStr">
        <is>
          <t>智利三文鱼切块·整条三文鱼·深海鱼一人食健康饮食</t>
        </is>
      </c>
      <c r="I259" t="inlineStr">
        <is>
          <t>691ac562a524ee0001b51d7b</t>
        </is>
      </c>
      <c r="J259" t="inlineStr">
        <is>
          <t/>
        </is>
      </c>
      <c r="K259" t="n">
        <v>0.0</v>
      </c>
      <c r="L259" t="n">
        <v>0.0</v>
      </c>
      <c r="M259" t="n">
        <v>10.0</v>
      </c>
      <c r="N259" t="inlineStr">
        <is>
          <t>0.11363636363636363</t>
        </is>
      </c>
      <c r="O259" t="n">
        <v>9.0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inlineStr">
        <is>
          <t/>
        </is>
      </c>
      <c r="X259" t="n">
        <v>0.0</v>
      </c>
      <c r="Y259" t="n">
        <v>1.0</v>
      </c>
      <c r="Z259" t="n">
        <v>3.0</v>
      </c>
      <c r="AA259" t="n">
        <v>0.0</v>
      </c>
      <c r="AB259" t="n">
        <v>0.0</v>
      </c>
      <c r="AC259" t="n">
        <v>0.0</v>
      </c>
      <c r="AD259" t="n">
        <v>88.0</v>
      </c>
      <c r="AE259" t="n">
        <v>2.0</v>
      </c>
      <c r="AF259" t="n">
        <v>0.0</v>
      </c>
      <c r="AG259" t="n">
        <v>0.0</v>
      </c>
      <c r="AH259" t="n">
        <v>2.0</v>
      </c>
      <c r="AI259" t="n">
        <v>0.0</v>
      </c>
      <c r="AJ259" t="n">
        <v>0.0</v>
      </c>
      <c r="AK259" t="n">
        <v>19.727272727272727</v>
      </c>
      <c r="AL259" t="inlineStr">
        <is>
          <t/>
        </is>
      </c>
    </row>
    <row r="260">
      <c r="A260" t="inlineStr">
        <is>
          <t>吃了100块虾仁的代价……</t>
        </is>
      </c>
      <c r="B260" t="inlineStr">
        <is>
          <t>69e36051000000001a034cdd</t>
        </is>
      </c>
      <c r="C260" s="259" t="n">
        <f>HYPERLINK("https://www.xiaohongshu.com/explore/69e36051000000001a034cdd?xsec_token=TBdjj7K6Nlm9yT2LpYB6PpNv_-ZeEAjvsMtFKO0hJaSYQ=&amp;xsec_source=pc_trdark","https://www.xiaohongshu.com/explore/69e36051000000001a034cdd?xsec_token=TBdjj7K6Nlm9yT2LpYB6PpNv_-ZeEAjvsMtFKO0hJaSYQ=&amp;xsec_source=pc_trdark")</f>
        <v>0.0</v>
      </c>
      <c r="D260" t="inlineStr">
        <is>
          <t>菲菲上班吃什么</t>
        </is>
      </c>
      <c r="E260" t="inlineStr">
        <is>
          <t>49936530607</t>
        </is>
      </c>
      <c r="F260" t="inlineStr">
        <is>
          <t>2026-04-18 18:43:29</t>
        </is>
      </c>
      <c r="G260" t="inlineStr">
        <is>
          <t>图文</t>
        </is>
      </c>
      <c r="H260" t="inlineStr">
        <is>
          <t>手剥虾仁 无冰衣无添加 低脂餐一人食 上班带饭 顺丰包邮 5盒装</t>
        </is>
      </c>
      <c r="I260" t="inlineStr">
        <is>
          <t>694baba01d450d00013662f0</t>
        </is>
      </c>
      <c r="J260" t="inlineStr">
        <is>
          <t/>
        </is>
      </c>
      <c r="K260" t="n">
        <v>266.0</v>
      </c>
      <c r="L260" t="n">
        <v>3.0</v>
      </c>
      <c r="M260" t="n">
        <v>12.0</v>
      </c>
      <c r="N260" t="inlineStr">
        <is>
          <t>0.13636363636363635</t>
        </is>
      </c>
      <c r="O260" t="n">
        <v>11.0</v>
      </c>
      <c r="P260" t="n">
        <v>2.0</v>
      </c>
      <c r="Q260" t="n">
        <v>0.25</v>
      </c>
      <c r="R260" t="inlineStr">
        <is>
          <t>0.18181818181818182</t>
        </is>
      </c>
      <c r="S260" t="n">
        <v>128.0</v>
      </c>
      <c r="T260" t="n">
        <v>1.0</v>
      </c>
      <c r="U260" t="n">
        <v>1.0</v>
      </c>
      <c r="V260" t="n">
        <v>128.0</v>
      </c>
      <c r="W260" t="inlineStr">
        <is>
          <t>0.48120300751879697</t>
        </is>
      </c>
      <c r="X260" t="n">
        <v>1.0</v>
      </c>
      <c r="Y260" t="n">
        <v>2.0</v>
      </c>
      <c r="Z260" t="n">
        <v>2.0</v>
      </c>
      <c r="AA260" t="n">
        <v>0.0</v>
      </c>
      <c r="AB260" t="n">
        <v>0.0</v>
      </c>
      <c r="AC260" t="n">
        <v>0.0</v>
      </c>
      <c r="AD260" t="n">
        <v>88.0</v>
      </c>
      <c r="AE260" t="n">
        <v>1.0</v>
      </c>
      <c r="AF260" t="n">
        <v>1.0</v>
      </c>
      <c r="AG260" t="n">
        <v>0.0</v>
      </c>
      <c r="AH260" t="n">
        <v>1.0</v>
      </c>
      <c r="AI260" t="n">
        <v>0.0</v>
      </c>
      <c r="AJ260" t="n">
        <v>0.0</v>
      </c>
      <c r="AK260" t="n">
        <v>9.840909090909092</v>
      </c>
      <c r="AL260" t="inlineStr">
        <is>
          <t/>
        </is>
      </c>
    </row>
    <row r="261">
      <c r="A261" t="inlineStr">
        <is>
          <t>管理期换个思路，69搞定一周高蛋白</t>
        </is>
      </c>
      <c r="B261" t="inlineStr">
        <is>
          <t>69df02ef000000001b02016c</t>
        </is>
      </c>
      <c r="C261" s="260" t="n">
        <f>HYPERLINK("https://www.xiaohongshu.com/explore/69df02ef000000001b02016c?xsec_token=TBbELi6fdmnK2TYKEzYY0fWvyHuklFNSajozJXHwFI-4w=&amp;xsec_source=pc_trdark","https://www.xiaohongshu.com/explore/69df02ef000000001b02016c?xsec_token=TBbELi6fdmnK2TYKEzYY0fWvyHuklFNSajozJXHwFI-4w=&amp;xsec_source=pc_trdark")</f>
        <v>0.0</v>
      </c>
      <c r="D261" t="inlineStr">
        <is>
          <t>菲菲上班吃什么</t>
        </is>
      </c>
      <c r="E261" t="inlineStr">
        <is>
          <t>49936530607</t>
        </is>
      </c>
      <c r="F261" t="inlineStr">
        <is>
          <t>2026-04-15 11:15:59</t>
        </is>
      </c>
      <c r="G261" t="inlineStr">
        <is>
          <t>图文</t>
        </is>
      </c>
      <c r="H261" t="inlineStr">
        <is>
          <t>手剥虾仁 无冰衣无添加 低脂餐一人食 上班带饭 顺丰包邮 5盒装</t>
        </is>
      </c>
      <c r="I261" t="inlineStr">
        <is>
          <t>694baba01d450d00013662f0</t>
        </is>
      </c>
      <c r="J261" t="inlineStr">
        <is>
          <t/>
        </is>
      </c>
      <c r="K261" t="n">
        <v>178.0</v>
      </c>
      <c r="L261" t="n">
        <v>1.0</v>
      </c>
      <c r="M261" t="n">
        <v>4.0</v>
      </c>
      <c r="N261" t="inlineStr">
        <is>
          <t>0.045454545454545456</t>
        </is>
      </c>
      <c r="O261" t="n">
        <v>4.0</v>
      </c>
      <c r="P261" t="n">
        <v>1.0</v>
      </c>
      <c r="Q261" t="n">
        <v>0.25</v>
      </c>
      <c r="R261" t="n">
        <v>0.25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1.0</v>
      </c>
      <c r="AA261" t="n">
        <v>0.0</v>
      </c>
      <c r="AB261" t="n">
        <v>0.0</v>
      </c>
      <c r="AC261" t="n">
        <v>0.0</v>
      </c>
      <c r="AD261" t="n">
        <v>88.0</v>
      </c>
      <c r="AE261" t="n">
        <v>1.0</v>
      </c>
      <c r="AF261" t="n">
        <v>1.0</v>
      </c>
      <c r="AG261" t="n">
        <v>0.0</v>
      </c>
      <c r="AH261" t="n">
        <v>1.0</v>
      </c>
      <c r="AI261" t="n">
        <v>0.0</v>
      </c>
      <c r="AJ261" t="n">
        <v>0.0</v>
      </c>
      <c r="AK261" t="n">
        <v>13.454545454545455</v>
      </c>
      <c r="AL261" t="inlineStr">
        <is>
          <t/>
        </is>
      </c>
    </row>
    <row r="262">
      <c r="A262" t="inlineStr">
        <is>
          <t>剥了一斤虾壳手臭了三天，从此我只吃这种……</t>
        </is>
      </c>
      <c r="B262" t="inlineStr">
        <is>
          <t>69d611e4000000002202ba15</t>
        </is>
      </c>
      <c r="C262" s="261" t="n">
        <f>HYPERLINK("https://www.xiaohongshu.com/explore/69d611e4000000002202ba15?xsec_token=TBvBxKrH7kcVQkSA7MMxNJOWJZn-Mie6vRBpH-b_YhzgI=&amp;xsec_source=pc_trdark","https://www.xiaohongshu.com/explore/69d611e4000000002202ba15?xsec_token=TBvBxKrH7kcVQkSA7MMxNJOWJZn-Mie6vRBpH-b_YhzgI=&amp;xsec_source=pc_trdark")</f>
        <v>0.0</v>
      </c>
      <c r="D262" t="inlineStr">
        <is>
          <t>菲菲上班吃什么</t>
        </is>
      </c>
      <c r="E262" t="inlineStr">
        <is>
          <t>49936530607</t>
        </is>
      </c>
      <c r="F262" t="inlineStr">
        <is>
          <t>2026-04-08 16:29:24</t>
        </is>
      </c>
      <c r="G262" t="inlineStr">
        <is>
          <t>图文</t>
        </is>
      </c>
      <c r="H262" t="inlineStr">
        <is>
          <t>手剥虾仁 无冰衣无添加 低脂餐一人食 上班带饭 顺丰包邮 5盒装</t>
        </is>
      </c>
      <c r="I262" t="inlineStr">
        <is>
          <t>694baba01d450d00013662f0</t>
        </is>
      </c>
      <c r="J262" t="inlineStr">
        <is>
          <t/>
        </is>
      </c>
      <c r="K262" t="n">
        <v>69.0</v>
      </c>
      <c r="L262" t="n">
        <v>1.0</v>
      </c>
      <c r="M262" t="n">
        <v>11.0</v>
      </c>
      <c r="N262" t="n">
        <v>0.125</v>
      </c>
      <c r="O262" t="n">
        <v>9.0</v>
      </c>
      <c r="P262" t="n">
        <v>1.0</v>
      </c>
      <c r="Q262" t="inlineStr">
        <is>
          <t>0.09090909090909091</t>
        </is>
      </c>
      <c r="R262" t="n">
        <v>0.1111111111111111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3.0</v>
      </c>
      <c r="Z262" t="n">
        <v>4.0</v>
      </c>
      <c r="AA262" t="n">
        <v>0.0</v>
      </c>
      <c r="AB262" t="n">
        <v>0.0</v>
      </c>
      <c r="AC262" t="n">
        <v>0.0</v>
      </c>
      <c r="AD262" t="n">
        <v>88.0</v>
      </c>
      <c r="AE262" t="n">
        <v>1.0</v>
      </c>
      <c r="AF262" t="n">
        <v>0.0</v>
      </c>
      <c r="AG262" t="n">
        <v>0.0</v>
      </c>
      <c r="AH262" t="n">
        <v>1.0</v>
      </c>
      <c r="AI262" t="n">
        <v>0.0</v>
      </c>
      <c r="AJ262" t="n">
        <v>0.0</v>
      </c>
      <c r="AK262" t="n">
        <v>11.079545454545455</v>
      </c>
      <c r="AL262" t="inlineStr">
        <is>
          <t/>
        </is>
      </c>
    </row>
    <row r="263">
      <c r="A263" t="inlineStr">
        <is>
          <t>打工人减脂真不贵，69够吃一周了🍤</t>
        </is>
      </c>
      <c r="B263" t="inlineStr">
        <is>
          <t>69ef01a70000000023007fe6</t>
        </is>
      </c>
      <c r="C263" s="262" t="n">
        <f>HYPERLINK("https://www.xiaohongshu.com/explore/69ef01a70000000023007fe6?xsec_token=TB8YlxxIf2o_Xr_LAif13-vLQLGx0aRdOeb-0buzoDtk0=&amp;xsec_source=pc_trdark","https://www.xiaohongshu.com/explore/69ef01a70000000023007fe6?xsec_token=TB8YlxxIf2o_Xr_LAif13-vLQLGx0aRdOeb-0buzoDtk0=&amp;xsec_source=pc_trdark")</f>
        <v>0.0</v>
      </c>
      <c r="D263" t="inlineStr">
        <is>
          <t>菲菲上班吃什么</t>
        </is>
      </c>
      <c r="E263" t="inlineStr">
        <is>
          <t>49936530607</t>
        </is>
      </c>
      <c r="F263" t="inlineStr">
        <is>
          <t>2026-04-27 14:26:47</t>
        </is>
      </c>
      <c r="G263" t="inlineStr">
        <is>
          <t>图文</t>
        </is>
      </c>
      <c r="H263" t="inlineStr">
        <is>
          <t>手剥虾仁 无冰衣无添加 低脂餐一人食 上班带饭 顺丰包邮 5盒装</t>
        </is>
      </c>
      <c r="I263" t="inlineStr">
        <is>
          <t>694baba01d450d00013662f0</t>
        </is>
      </c>
      <c r="J263" t="inlineStr">
        <is>
          <t/>
        </is>
      </c>
      <c r="K263" t="n">
        <v>0.0</v>
      </c>
      <c r="L263" t="n">
        <v>0.0</v>
      </c>
      <c r="M263" t="n">
        <v>2.0</v>
      </c>
      <c r="N263" t="inlineStr">
        <is>
          <t>0.022988505747126436</t>
        </is>
      </c>
      <c r="O263" t="n">
        <v>2.0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inlineStr">
        <is>
          <t/>
        </is>
      </c>
      <c r="X263" t="n">
        <v>0.0</v>
      </c>
      <c r="Y263" t="n">
        <v>1.0</v>
      </c>
      <c r="Z263" t="n">
        <v>3.0</v>
      </c>
      <c r="AA263" t="n">
        <v>0.0</v>
      </c>
      <c r="AB263" t="n">
        <v>0.0</v>
      </c>
      <c r="AC263" t="n">
        <v>0.0</v>
      </c>
      <c r="AD263" t="n">
        <v>87.0</v>
      </c>
      <c r="AE263" t="n">
        <v>3.0</v>
      </c>
      <c r="AF263" t="n">
        <v>2.0</v>
      </c>
      <c r="AG263" t="n">
        <v>0.0</v>
      </c>
      <c r="AH263" t="n">
        <v>1.0</v>
      </c>
      <c r="AI263" t="n">
        <v>0.0</v>
      </c>
      <c r="AJ263" t="n">
        <v>0.0</v>
      </c>
      <c r="AK263" t="n">
        <v>11.080459770114942</v>
      </c>
      <c r="AL263" t="inlineStr">
        <is>
          <t/>
        </is>
      </c>
    </row>
    <row r="264">
      <c r="A264" t="inlineStr">
        <is>
          <t>区区69，承包了我一周的轻食</t>
        </is>
      </c>
      <c r="B264" t="inlineStr">
        <is>
          <t>69d1c60800000000200380a7</t>
        </is>
      </c>
      <c r="C264" s="263" t="n">
        <f>HYPERLINK("https://www.xiaohongshu.com/explore/69d1c60800000000200380a7?xsec_token=TBT5TAUGV3LcD_GYbSvfENizm5vhDskb5j-R0JOpHUX9g=&amp;xsec_source=pc_trdark","https://www.xiaohongshu.com/explore/69d1c60800000000200380a7?xsec_token=TBT5TAUGV3LcD_GYbSvfENizm5vhDskb5j-R0JOpHUX9g=&amp;xsec_source=pc_trdark")</f>
        <v>0.0</v>
      </c>
      <c r="D264" t="inlineStr">
        <is>
          <t>婉婉上班吃什么</t>
        </is>
      </c>
      <c r="E264" t="inlineStr">
        <is>
          <t>11434449706</t>
        </is>
      </c>
      <c r="F264" t="inlineStr">
        <is>
          <t>2026-04-05 10:16:40</t>
        </is>
      </c>
      <c r="G264" t="inlineStr">
        <is>
          <t>图文</t>
        </is>
      </c>
      <c r="H264" t="inlineStr">
        <is>
          <t>手剥虾仁 无冰衣无添加 低脂餐一人食 上班带饭 顺丰包邮 5盒装</t>
        </is>
      </c>
      <c r="I264" t="inlineStr">
        <is>
          <t>694baba01d450d00013662f0</t>
        </is>
      </c>
      <c r="J264" t="inlineStr">
        <is>
          <t/>
        </is>
      </c>
      <c r="K264" t="n">
        <v>0.0</v>
      </c>
      <c r="L264" t="n">
        <v>0.0</v>
      </c>
      <c r="M264" t="n">
        <v>12.0</v>
      </c>
      <c r="N264" t="inlineStr">
        <is>
          <t>0.13793103448275862</t>
        </is>
      </c>
      <c r="O264" t="n">
        <v>10.0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inlineStr">
        <is>
          <t/>
        </is>
      </c>
      <c r="X264" t="n">
        <v>0.0</v>
      </c>
      <c r="Y264" t="n">
        <v>2.0</v>
      </c>
      <c r="Z264" t="n">
        <v>1.0</v>
      </c>
      <c r="AA264" t="n">
        <v>0.0</v>
      </c>
      <c r="AB264" t="n">
        <v>0.0</v>
      </c>
      <c r="AC264" t="n">
        <v>0.0</v>
      </c>
      <c r="AD264" t="n">
        <v>87.0</v>
      </c>
      <c r="AE264" t="n">
        <v>1.0</v>
      </c>
      <c r="AF264" t="n">
        <v>1.0</v>
      </c>
      <c r="AG264" t="n">
        <v>0.0</v>
      </c>
      <c r="AH264" t="n">
        <v>0.0</v>
      </c>
      <c r="AI264" t="n">
        <v>0.0</v>
      </c>
      <c r="AJ264" t="n">
        <v>0.0</v>
      </c>
      <c r="AK264" t="n">
        <v>10.517241379310345</v>
      </c>
      <c r="AL264" t="inlineStr">
        <is>
          <t/>
        </is>
      </c>
    </row>
    <row r="265">
      <c r="A265" t="inlineStr">
        <is>
          <t>奉劝年轻人不要低估了100来块的购买力…</t>
        </is>
      </c>
      <c r="B265" t="inlineStr">
        <is>
          <t>69c3f245000000001b02373f</t>
        </is>
      </c>
      <c r="C265" s="264" t="n">
        <f>HYPERLINK("https://www.xiaohongshu.com/explore/69c3f245000000001b02373f?xsec_token=TBedSEQ7qtT06AlsylOAiUw9kWusqmsKfTaGgNtaMW1c0=&amp;xsec_source=pc_trdark","https://www.xiaohongshu.com/explore/69c3f245000000001b02373f?xsec_token=TBedSEQ7qtT06AlsylOAiUw9kWusqmsKfTaGgNtaMW1c0=&amp;xsec_source=pc_trdark")</f>
        <v>0.0</v>
      </c>
      <c r="D265" t="inlineStr">
        <is>
          <t>婉婉上班吃什么</t>
        </is>
      </c>
      <c r="E265" t="inlineStr">
        <is>
          <t>11434449706</t>
        </is>
      </c>
      <c r="F265" t="inlineStr">
        <is>
          <t>2026-03-25 22:33:41</t>
        </is>
      </c>
      <c r="G265" t="inlineStr">
        <is>
          <t>图文</t>
        </is>
      </c>
      <c r="H265" t="inlineStr">
        <is>
          <t>手剥虾仁 无冰衣无添加 低脂餐一人食 上班带饭 顺丰包邮 5盒装</t>
        </is>
      </c>
      <c r="I265" t="inlineStr">
        <is>
          <t>694baba01d450d00013662f0</t>
        </is>
      </c>
      <c r="J265" t="inlineStr">
        <is>
          <t/>
        </is>
      </c>
      <c r="K265" t="n">
        <v>0.0</v>
      </c>
      <c r="L265" t="n">
        <v>0.0</v>
      </c>
      <c r="M265" t="n">
        <v>18.0</v>
      </c>
      <c r="N265" t="inlineStr">
        <is>
          <t>0.20689655172413793</t>
        </is>
      </c>
      <c r="O265" t="n">
        <v>15.0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inlineStr">
        <is>
          <t/>
        </is>
      </c>
      <c r="X265" t="n">
        <v>0.0</v>
      </c>
      <c r="Y265" t="n">
        <v>4.0</v>
      </c>
      <c r="Z265" t="n">
        <v>2.0</v>
      </c>
      <c r="AA265" t="n">
        <v>0.0</v>
      </c>
      <c r="AB265" t="n">
        <v>0.0</v>
      </c>
      <c r="AC265" t="n">
        <v>0.0</v>
      </c>
      <c r="AD265" t="n">
        <v>87.0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12.10344827586207</v>
      </c>
      <c r="AL265" t="inlineStr">
        <is>
          <t/>
        </is>
      </c>
    </row>
    <row r="266">
      <c r="A266" t="inlineStr">
        <is>
          <t>69块吃不了一顿火锅，但承包我一周减脂餐！</t>
        </is>
      </c>
      <c r="B266" t="inlineStr">
        <is>
          <t>69e857a4000000001a02e5de</t>
        </is>
      </c>
      <c r="C266" s="265" t="n">
        <f>HYPERLINK("https://www.xiaohongshu.com/explore/69e857a4000000001a02e5de?xsec_token=TBrsJGfbmdICsvnXoyd4QdRvetXUw3DAd5bJR48n2mfDo=&amp;xsec_source=pc_trdark","https://www.xiaohongshu.com/explore/69e857a4000000001a02e5de?xsec_token=TBrsJGfbmdICsvnXoyd4QdRvetXUw3DAd5bJR48n2mfDo=&amp;xsec_source=pc_trdark")</f>
        <v>0.0</v>
      </c>
      <c r="D266" t="inlineStr">
        <is>
          <t>菲菲上班吃什么</t>
        </is>
      </c>
      <c r="E266" t="inlineStr">
        <is>
          <t>49936530607</t>
        </is>
      </c>
      <c r="F266" t="inlineStr">
        <is>
          <t>2026-04-22 13:07:48</t>
        </is>
      </c>
      <c r="G266" t="inlineStr">
        <is>
          <t>图文</t>
        </is>
      </c>
      <c r="H266" t="inlineStr">
        <is>
          <t>手剥虾仁 无冰衣无添加 低脂餐一人食 上班带饭 顺丰包邮 5盒装</t>
        </is>
      </c>
      <c r="I266" t="inlineStr">
        <is>
          <t>694baba01d450d00013662f0</t>
        </is>
      </c>
      <c r="J266" t="inlineStr">
        <is>
          <t/>
        </is>
      </c>
      <c r="K266" t="n">
        <v>197.0</v>
      </c>
      <c r="L266" t="n">
        <v>2.0</v>
      </c>
      <c r="M266" t="n">
        <v>19.0</v>
      </c>
      <c r="N266" t="inlineStr">
        <is>
          <t>0.22093023255813954</t>
        </is>
      </c>
      <c r="O266" t="n">
        <v>16.0</v>
      </c>
      <c r="P266" t="n">
        <v>2.0</v>
      </c>
      <c r="Q266" t="inlineStr">
        <is>
          <t>0.10526315789473684</t>
        </is>
      </c>
      <c r="R266" t="n">
        <v>0.125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2.0</v>
      </c>
      <c r="Z266" t="n">
        <v>5.0</v>
      </c>
      <c r="AA266" t="n">
        <v>128.0</v>
      </c>
      <c r="AB266" t="n">
        <v>0.0</v>
      </c>
      <c r="AC266" t="n">
        <v>0.0</v>
      </c>
      <c r="AD266" t="n">
        <v>86.0</v>
      </c>
      <c r="AE266" t="n">
        <v>2.0</v>
      </c>
      <c r="AF266" t="n">
        <v>0.0</v>
      </c>
      <c r="AG266" t="n">
        <v>0.0</v>
      </c>
      <c r="AH266" t="n">
        <v>1.0</v>
      </c>
      <c r="AI266" t="n">
        <v>0.0</v>
      </c>
      <c r="AJ266" t="n">
        <v>0.0</v>
      </c>
      <c r="AK266" t="n">
        <v>13.406976744186046</v>
      </c>
      <c r="AL266" t="inlineStr">
        <is>
          <t/>
        </is>
      </c>
    </row>
    <row r="267">
      <c r="A267" t="inlineStr">
        <is>
          <t>听劝！被粉丝催爆的一人食小包装虾仁🍤</t>
        </is>
      </c>
      <c r="B267" t="inlineStr">
        <is>
          <t>69e72811000000001b002edd</t>
        </is>
      </c>
      <c r="C267" s="266" t="n">
        <f>HYPERLINK("https://www.xiaohongshu.com/explore/69e72811000000001b002edd?xsec_token=TBxJD1S06w8M0Ib6UdHEwWiASi3rzqUhkhjJvxEH0M_1w=&amp;xsec_source=pc_trdark","https://www.xiaohongshu.com/explore/69e72811000000001b002edd?xsec_token=TBxJD1S06w8M0Ib6UdHEwWiASi3rzqUhkhjJvxEH0M_1w=&amp;xsec_source=pc_trdark")</f>
        <v>0.0</v>
      </c>
      <c r="D267" t="inlineStr">
        <is>
          <t>鲜水湾甄选</t>
        </is>
      </c>
      <c r="E267" t="inlineStr">
        <is>
          <t>27401929161</t>
        </is>
      </c>
      <c r="F267" t="inlineStr">
        <is>
          <t>2026-04-22 11:30:00</t>
        </is>
      </c>
      <c r="G267" t="inlineStr">
        <is>
          <t>图文</t>
        </is>
      </c>
      <c r="H267" t="inlineStr">
        <is>
          <t>手剥虾仁 无冰衣无添加 低脂餐一人食 上班带饭 顺丰包邮 5盒装</t>
        </is>
      </c>
      <c r="I267" t="inlineStr">
        <is>
          <t>694baba01d450d00013662f0</t>
        </is>
      </c>
      <c r="J267" t="inlineStr">
        <is>
          <t/>
        </is>
      </c>
      <c r="K267" t="n">
        <v>0.0</v>
      </c>
      <c r="L267" t="n">
        <v>0.0</v>
      </c>
      <c r="M267" t="n">
        <v>4.0</v>
      </c>
      <c r="N267" t="inlineStr">
        <is>
          <t>0.046511627906976744</t>
        </is>
      </c>
      <c r="O267" t="n">
        <v>4.0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inlineStr">
        <is>
          <t/>
        </is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86.0</v>
      </c>
      <c r="AE267" t="n">
        <v>0.0</v>
      </c>
      <c r="AF267" t="n">
        <v>0.0</v>
      </c>
      <c r="AG267" t="n">
        <v>0.0</v>
      </c>
      <c r="AH267" t="n">
        <v>2.0</v>
      </c>
      <c r="AI267" t="n">
        <v>0.0</v>
      </c>
      <c r="AJ267" t="n">
        <v>0.0</v>
      </c>
      <c r="AK267" t="n">
        <v>9.511627906976743</v>
      </c>
      <c r="AL267" t="inlineStr">
        <is>
          <t/>
        </is>
      </c>
    </row>
    <row r="268">
      <c r="A268" t="inlineStr">
        <is>
          <t>别拿⛰️姆🎁马跟我比，真就不够打</t>
        </is>
      </c>
      <c r="B268" t="inlineStr">
        <is>
          <t>69c24d14000000001b020d51</t>
        </is>
      </c>
      <c r="C268" s="267" t="n">
        <f>HYPERLINK("https://www.xiaohongshu.com/explore/69c24d14000000001b020d51?xsec_token=TBUqBR5MVQnv6JPS0VJV95uNg_KoVE1NQXO2y-tC5iPj4=&amp;xsec_source=pc_trdark","https://www.xiaohongshu.com/explore/69c24d14000000001b020d51?xsec_token=TBUqBR5MVQnv6JPS0VJV95uNg_KoVE1NQXO2y-tC5iPj4=&amp;xsec_source=pc_trdark")</f>
        <v>0.0</v>
      </c>
      <c r="D268" t="inlineStr">
        <is>
          <t>鲜水湾</t>
        </is>
      </c>
      <c r="E268" t="inlineStr">
        <is>
          <t>49316638994</t>
        </is>
      </c>
      <c r="F268" t="inlineStr">
        <is>
          <t>2026-03-24 16:36:36</t>
        </is>
      </c>
      <c r="G268" t="inlineStr">
        <is>
          <t>图文</t>
        </is>
      </c>
      <c r="H268" t="inlineStr">
        <is>
          <t>手剥虾仁 无冰衣无添加 低脂餐一人食 上班带饭 顺丰包邮 5盒装</t>
        </is>
      </c>
      <c r="I268" t="inlineStr">
        <is>
          <t>694baba01d450d00013662f0</t>
        </is>
      </c>
      <c r="J268" t="inlineStr">
        <is>
          <t/>
        </is>
      </c>
      <c r="K268" t="n">
        <v>69.0</v>
      </c>
      <c r="L268" t="n">
        <v>1.0</v>
      </c>
      <c r="M268" t="n">
        <v>15.0</v>
      </c>
      <c r="N268" t="n">
        <v>0.1744186046511628</v>
      </c>
      <c r="O268" t="n">
        <v>14.0</v>
      </c>
      <c r="P268" t="n">
        <v>1.0</v>
      </c>
      <c r="Q268" t="inlineStr">
        <is>
          <t>0.06666666666666667</t>
        </is>
      </c>
      <c r="R268" t="inlineStr">
        <is>
          <t>0.07142857142857142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5.0</v>
      </c>
      <c r="Z268" t="n">
        <v>4.0</v>
      </c>
      <c r="AA268" t="n">
        <v>0.0</v>
      </c>
      <c r="AB268" t="n">
        <v>0.0</v>
      </c>
      <c r="AC268" t="n">
        <v>0.0</v>
      </c>
      <c r="AD268" t="n">
        <v>86.0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11.848837209302326</v>
      </c>
      <c r="AL268" t="inlineStr">
        <is>
          <t/>
        </is>
      </c>
    </row>
    <row r="269">
      <c r="A269" t="inlineStr">
        <is>
          <t>给孩子买了一整条三文鱼补营养！</t>
        </is>
      </c>
      <c r="B269" t="inlineStr">
        <is>
          <t>698aa5f5000000000903b245</t>
        </is>
      </c>
      <c r="C269" s="268" t="n">
        <f>HYPERLINK("https://www.xiaohongshu.com/explore/698aa5f5000000000903b245?xsec_token=TBG0mKfxVH0N0QJz26OSUyhYnNDz9X11dGMwAn1wQfsDs=&amp;xsec_source=pc_trdark","https://www.xiaohongshu.com/explore/698aa5f5000000000903b245?xsec_token=TBG0mKfxVH0N0QJz26OSUyhYnNDz9X11dGMwAn1wQfsDs=&amp;xsec_source=pc_trdark")</f>
        <v>0.0</v>
      </c>
      <c r="D269" t="inlineStr">
        <is>
          <t>鲜水湾甄选</t>
        </is>
      </c>
      <c r="E269" t="inlineStr">
        <is>
          <t>27401929161</t>
        </is>
      </c>
      <c r="F269" t="inlineStr">
        <is>
          <t>2026-02-10 11:28:53</t>
        </is>
      </c>
      <c r="G269" t="inlineStr">
        <is>
          <t>图文</t>
        </is>
      </c>
      <c r="H269" t="inlineStr">
        <is>
          <t>智利三文鱼切块·整条三文鱼·深海鱼一人食健康饮食</t>
        </is>
      </c>
      <c r="I269" t="inlineStr">
        <is>
          <t>691ac562a524ee0001b51d7b</t>
        </is>
      </c>
      <c r="J269" t="inlineStr">
        <is>
          <t/>
        </is>
      </c>
      <c r="K269" t="n">
        <v>0.0</v>
      </c>
      <c r="L269" t="n">
        <v>0.0</v>
      </c>
      <c r="M269" t="n">
        <v>7.0</v>
      </c>
      <c r="N269" t="inlineStr">
        <is>
          <t>0.08139534883720931</t>
        </is>
      </c>
      <c r="O269" t="n">
        <v>7.0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inlineStr">
        <is>
          <t/>
        </is>
      </c>
      <c r="X269" t="n">
        <v>0.0</v>
      </c>
      <c r="Y269" t="n">
        <v>0.0</v>
      </c>
      <c r="Z269" t="n">
        <v>6.0</v>
      </c>
      <c r="AA269" t="n">
        <v>0.0</v>
      </c>
      <c r="AB269" t="n">
        <v>0.0</v>
      </c>
      <c r="AC269" t="n">
        <v>0.0</v>
      </c>
      <c r="AD269" t="n">
        <v>86.0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8.604651162790697</v>
      </c>
      <c r="AL269" t="inlineStr">
        <is>
          <t/>
        </is>
      </c>
    </row>
    <row r="270">
      <c r="A270" t="inlineStr">
        <is>
          <t>以为海捕虾仁很贵，结果128块够我吃一个月</t>
        </is>
      </c>
      <c r="B270" t="inlineStr">
        <is>
          <t>69ec5a2c000000001f0014aa</t>
        </is>
      </c>
      <c r="C270" s="269" t="n">
        <f>HYPERLINK("https://www.xiaohongshu.com/explore/69ec5a2c000000001f0014aa?xsec_token=TBnoSF_--XRDuLtfF77lVqP4WeyUZubqJ7tKsza5UeDkI=&amp;xsec_source=pc_trdark","https://www.xiaohongshu.com/explore/69ec5a2c000000001f0014aa?xsec_token=TBnoSF_--XRDuLtfF77lVqP4WeyUZubqJ7tKsza5UeDkI=&amp;xsec_source=pc_trdark")</f>
        <v>0.0</v>
      </c>
      <c r="D270" t="inlineStr">
        <is>
          <t>鲜水湾</t>
        </is>
      </c>
      <c r="E270" t="inlineStr">
        <is>
          <t>49316638994</t>
        </is>
      </c>
      <c r="F270" t="inlineStr">
        <is>
          <t>2026-04-25 14:07:40</t>
        </is>
      </c>
      <c r="G270" t="inlineStr">
        <is>
          <t>图文</t>
        </is>
      </c>
      <c r="H270" t="inlineStr">
        <is>
          <t>手剥虾仁 无冰衣无添加 低脂餐一人食 上班带饭 顺丰包邮 5盒装</t>
        </is>
      </c>
      <c r="I270" t="inlineStr">
        <is>
          <t>694baba01d450d00013662f0</t>
        </is>
      </c>
      <c r="J270" t="inlineStr">
        <is>
          <t/>
        </is>
      </c>
      <c r="K270" t="n">
        <v>69.0</v>
      </c>
      <c r="L270" t="n">
        <v>1.0</v>
      </c>
      <c r="M270" t="n">
        <v>11.0</v>
      </c>
      <c r="N270" t="inlineStr">
        <is>
          <t>0.12941176470588237</t>
        </is>
      </c>
      <c r="O270" t="n">
        <v>10.0</v>
      </c>
      <c r="P270" t="n">
        <v>1.0</v>
      </c>
      <c r="Q270" t="inlineStr">
        <is>
          <t>0.09090909090909091</t>
        </is>
      </c>
      <c r="R270" t="n">
        <v>0.1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2.0</v>
      </c>
      <c r="Z270" t="n">
        <v>0.0</v>
      </c>
      <c r="AA270" t="n">
        <v>0.0</v>
      </c>
      <c r="AB270" t="n">
        <v>0.0</v>
      </c>
      <c r="AC270" t="n">
        <v>0.0</v>
      </c>
      <c r="AD270" t="n">
        <v>85.0</v>
      </c>
      <c r="AE270" t="n">
        <v>3.0</v>
      </c>
      <c r="AF270" t="n">
        <v>0.0</v>
      </c>
      <c r="AG270" t="n">
        <v>0.0</v>
      </c>
      <c r="AH270" t="n">
        <v>2.0</v>
      </c>
      <c r="AI270" t="n">
        <v>0.0</v>
      </c>
      <c r="AJ270" t="n">
        <v>0.0</v>
      </c>
      <c r="AK270" t="n">
        <v>24.352941176470587</v>
      </c>
      <c r="AL270" t="inlineStr">
        <is>
          <t/>
        </is>
      </c>
    </row>
    <row r="271">
      <c r="A271" t="inlineStr">
        <is>
          <t>打工人带饭续命🍤百元囤虾仁太香了</t>
        </is>
      </c>
      <c r="B271" t="inlineStr">
        <is>
          <t>69eecd09000000001b023abd</t>
        </is>
      </c>
      <c r="C271" s="270" t="n">
        <f>HYPERLINK("https://www.xiaohongshu.com/explore/69eecd09000000001b023abd?xsec_token=TB3JCI8OO3ItJ5gw9_OIE0bBAbSvAey4tWsnfr8u5jOsI=&amp;xsec_source=pc_trdark","https://www.xiaohongshu.com/explore/69eecd09000000001b023abd?xsec_token=TB3JCI8OO3ItJ5gw9_OIE0bBAbSvAey4tWsnfr8u5jOsI=&amp;xsec_source=pc_trdark")</f>
        <v>0.0</v>
      </c>
      <c r="D271" t="inlineStr">
        <is>
          <t>菲菲上班吃什么</t>
        </is>
      </c>
      <c r="E271" t="inlineStr">
        <is>
          <t>49936530607</t>
        </is>
      </c>
      <c r="F271" t="inlineStr">
        <is>
          <t>2026-04-27 10:42:18</t>
        </is>
      </c>
      <c r="G271" t="inlineStr">
        <is>
          <t>图文</t>
        </is>
      </c>
      <c r="H271" t="inlineStr">
        <is>
          <t>手剥虾仁 无冰衣无添加 低脂餐一人食 上班带饭 顺丰包邮 5盒装</t>
        </is>
      </c>
      <c r="I271" t="inlineStr">
        <is>
          <t>694baba01d450d00013662f0</t>
        </is>
      </c>
      <c r="J271" t="inlineStr">
        <is>
          <t/>
        </is>
      </c>
      <c r="K271" t="n">
        <v>128.0</v>
      </c>
      <c r="L271" t="n">
        <v>1.0</v>
      </c>
      <c r="M271" t="n">
        <v>9.0</v>
      </c>
      <c r="N271" t="inlineStr">
        <is>
          <t>0.10714285714285714</t>
        </is>
      </c>
      <c r="O271" t="n">
        <v>8.0</v>
      </c>
      <c r="P271" t="n">
        <v>1.0</v>
      </c>
      <c r="Q271" t="n">
        <v>0.1111111111111111</v>
      </c>
      <c r="R271" t="n">
        <v>0.125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3.0</v>
      </c>
      <c r="Z271" t="n">
        <v>3.0</v>
      </c>
      <c r="AA271" t="n">
        <v>0.0</v>
      </c>
      <c r="AB271" t="n">
        <v>0.0</v>
      </c>
      <c r="AC271" t="n">
        <v>0.0</v>
      </c>
      <c r="AD271" t="n">
        <v>84.0</v>
      </c>
      <c r="AE271" t="n">
        <v>2.0</v>
      </c>
      <c r="AF271" t="n">
        <v>0.0</v>
      </c>
      <c r="AG271" t="n">
        <v>0.0</v>
      </c>
      <c r="AH271" t="n">
        <v>1.0</v>
      </c>
      <c r="AI271" t="n">
        <v>0.0</v>
      </c>
      <c r="AJ271" t="n">
        <v>0.0</v>
      </c>
      <c r="AK271" t="n">
        <v>11.880952380952381</v>
      </c>
      <c r="AL271" t="inlineStr">
        <is>
          <t/>
        </is>
      </c>
    </row>
    <row r="272">
      <c r="A272" t="inlineStr">
        <is>
          <t>别拿某姆某马的虾仁跟我比，真不够打！</t>
        </is>
      </c>
      <c r="B272" t="inlineStr">
        <is>
          <t>69e4dde1000000001f00776c</t>
        </is>
      </c>
      <c r="C272" s="271" t="n">
        <f>HYPERLINK("https://www.xiaohongshu.com/explore/69e4dde1000000001f00776c?xsec_token=TBI6zUu_7YWKPdAT4Ivp_K1zFS1SkKHb5is4rezlzT5D0=&amp;xsec_source=pc_trdark","https://www.xiaohongshu.com/explore/69e4dde1000000001f00776c?xsec_token=TBI6zUu_7YWKPdAT4Ivp_K1zFS1SkKHb5is4rezlzT5D0=&amp;xsec_source=pc_trdark")</f>
        <v>0.0</v>
      </c>
      <c r="D272" t="inlineStr">
        <is>
          <t>鲜水湾</t>
        </is>
      </c>
      <c r="E272" t="inlineStr">
        <is>
          <t>49316638994</t>
        </is>
      </c>
      <c r="F272" t="inlineStr">
        <is>
          <t>2026-04-19 21:51:30</t>
        </is>
      </c>
      <c r="G272" t="inlineStr">
        <is>
          <t>图文</t>
        </is>
      </c>
      <c r="H272" t="inlineStr">
        <is>
          <t>手剥虾仁 无冰衣无添加 低脂餐一人食 上班带饭 顺丰包邮 5盒装</t>
        </is>
      </c>
      <c r="I272" t="inlineStr">
        <is>
          <t>694baba01d450d00013662f0</t>
        </is>
      </c>
      <c r="J272" t="inlineStr">
        <is>
          <t/>
        </is>
      </c>
      <c r="K272" t="n">
        <v>0.0</v>
      </c>
      <c r="L272" t="n">
        <v>0.0</v>
      </c>
      <c r="M272" t="n">
        <v>17.0</v>
      </c>
      <c r="N272" t="inlineStr">
        <is>
          <t>0.20238095238095238</t>
        </is>
      </c>
      <c r="O272" t="n">
        <v>15.0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inlineStr">
        <is>
          <t/>
        </is>
      </c>
      <c r="X272" t="n">
        <v>0.0</v>
      </c>
      <c r="Y272" t="n">
        <v>1.0</v>
      </c>
      <c r="Z272" t="n">
        <v>2.0</v>
      </c>
      <c r="AA272" t="n">
        <v>0.0</v>
      </c>
      <c r="AB272" t="n">
        <v>0.0</v>
      </c>
      <c r="AC272" t="n">
        <v>0.0</v>
      </c>
      <c r="AD272" t="n">
        <v>84.0</v>
      </c>
      <c r="AE272" t="n">
        <v>0.0</v>
      </c>
      <c r="AF272" t="n">
        <v>0.0</v>
      </c>
      <c r="AG272" t="n">
        <v>0.0</v>
      </c>
      <c r="AH272" t="n">
        <v>4.0</v>
      </c>
      <c r="AI272" t="n">
        <v>0.0</v>
      </c>
      <c r="AJ272" t="n">
        <v>0.0</v>
      </c>
      <c r="AK272" t="n">
        <v>10.119047619047619</v>
      </c>
      <c r="AL272" t="inlineStr">
        <is>
          <t/>
        </is>
      </c>
    </row>
    <row r="273">
      <c r="A273" t="inlineStr">
        <is>
          <t>脱脂牛马带饭启发</t>
        </is>
      </c>
      <c r="B273" t="inlineStr">
        <is>
          <t>69cbdd72000000002301f884</t>
        </is>
      </c>
      <c r="C273" s="272" t="n">
        <f>HYPERLINK("https://www.xiaohongshu.com/explore/69cbdd72000000002301f884?xsec_token=TBNvk7eB588c7ey-qUUMF7ORa2eWAAzo1x-Lkye20xOak=&amp;xsec_source=pc_trdark","https://www.xiaohongshu.com/explore/69cbdd72000000002301f884?xsec_token=TBNvk7eB588c7ey-qUUMF7ORa2eWAAzo1x-Lkye20xOak=&amp;xsec_source=pc_trdark")</f>
        <v>0.0</v>
      </c>
      <c r="D273" t="inlineStr">
        <is>
          <t>菲菲上班吃什么</t>
        </is>
      </c>
      <c r="E273" t="inlineStr">
        <is>
          <t>49936530607</t>
        </is>
      </c>
      <c r="F273" t="inlineStr">
        <is>
          <t>2026-03-31 22:42:58</t>
        </is>
      </c>
      <c r="G273" t="inlineStr">
        <is>
          <t>图文</t>
        </is>
      </c>
      <c r="H273" t="inlineStr">
        <is>
          <t>手剥虾仁 无冰衣无添加 低脂餐一人食 上班带饭 顺丰包邮 5盒装</t>
        </is>
      </c>
      <c r="I273" t="inlineStr">
        <is>
          <t>694baba01d450d00013662f0</t>
        </is>
      </c>
      <c r="J273" t="inlineStr">
        <is>
          <t/>
        </is>
      </c>
      <c r="K273" t="n">
        <v>138.0</v>
      </c>
      <c r="L273" t="n">
        <v>2.0</v>
      </c>
      <c r="M273" t="n">
        <v>9.0</v>
      </c>
      <c r="N273" t="inlineStr">
        <is>
          <t>0.10714285714285714</t>
        </is>
      </c>
      <c r="O273" t="n">
        <v>8.0</v>
      </c>
      <c r="P273" t="n">
        <v>2.0</v>
      </c>
      <c r="Q273" t="n">
        <v>0.2222222222222222</v>
      </c>
      <c r="R273" t="n">
        <v>0.25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1.0</v>
      </c>
      <c r="Z273" t="n">
        <v>1.0</v>
      </c>
      <c r="AA273" t="n">
        <v>0.0</v>
      </c>
      <c r="AB273" t="n">
        <v>0.0</v>
      </c>
      <c r="AC273" t="n">
        <v>0.0</v>
      </c>
      <c r="AD273" t="n">
        <v>84.0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8.678571428571429</v>
      </c>
      <c r="AL273" t="inlineStr">
        <is>
          <t/>
        </is>
      </c>
    </row>
    <row r="274">
      <c r="A274" t="inlineStr">
        <is>
          <t>69元的购买力，解决一周工作餐</t>
        </is>
      </c>
      <c r="B274" t="inlineStr">
        <is>
          <t>69f04016000000001a035b4b</t>
        </is>
      </c>
      <c r="C274" s="273" t="n">
        <f>HYPERLINK("https://www.xiaohongshu.com/explore/69f04016000000001a035b4b?xsec_token=TBvHxiGmj2CedfPdQHdLJBmKYFLlWKfNd1tBw1AtTh2NM=&amp;xsec_source=pc_trdark","https://www.xiaohongshu.com/explore/69f04016000000001a035b4b?xsec_token=TBvHxiGmj2CedfPdQHdLJBmKYFLlWKfNd1tBw1AtTh2NM=&amp;xsec_source=pc_trdark")</f>
        <v>0.0</v>
      </c>
      <c r="D274" t="inlineStr">
        <is>
          <t>菲菲上班吃什么</t>
        </is>
      </c>
      <c r="E274" t="inlineStr">
        <is>
          <t>49936530607</t>
        </is>
      </c>
      <c r="F274" t="inlineStr">
        <is>
          <t>2026-04-28 13:05:26</t>
        </is>
      </c>
      <c r="G274" t="inlineStr">
        <is>
          <t>图文</t>
        </is>
      </c>
      <c r="H274" t="inlineStr">
        <is>
          <t>手剥虾仁 无冰衣无添加 低脂餐一人食 上班带饭 顺丰包邮 5盒装</t>
        </is>
      </c>
      <c r="I274" t="inlineStr">
        <is>
          <t>694baba01d450d00013662f0</t>
        </is>
      </c>
      <c r="J274" t="inlineStr">
        <is>
          <t/>
        </is>
      </c>
      <c r="K274" t="n">
        <v>138.0</v>
      </c>
      <c r="L274" t="n">
        <v>2.0</v>
      </c>
      <c r="M274" t="n">
        <v>16.0</v>
      </c>
      <c r="N274" t="n">
        <v>0.1927710843373494</v>
      </c>
      <c r="O274" t="n">
        <v>14.0</v>
      </c>
      <c r="P274" t="n">
        <v>2.0</v>
      </c>
      <c r="Q274" t="n">
        <v>0.125</v>
      </c>
      <c r="R274" t="inlineStr">
        <is>
          <t>0.14285714285714285</t>
        </is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4.0</v>
      </c>
      <c r="Z274" t="n">
        <v>2.0</v>
      </c>
      <c r="AA274" t="n">
        <v>0.0</v>
      </c>
      <c r="AB274" t="n">
        <v>0.0</v>
      </c>
      <c r="AC274" t="n">
        <v>0.0</v>
      </c>
      <c r="AD274" t="n">
        <v>83.0</v>
      </c>
      <c r="AE274" t="n">
        <v>1.0</v>
      </c>
      <c r="AF274" t="n">
        <v>0.0</v>
      </c>
      <c r="AG274" t="n">
        <v>0.0</v>
      </c>
      <c r="AH274" t="n">
        <v>1.0</v>
      </c>
      <c r="AI274" t="n">
        <v>0.0</v>
      </c>
      <c r="AJ274" t="n">
        <v>0.0</v>
      </c>
      <c r="AK274" t="n">
        <v>17.55421686746988</v>
      </c>
      <c r="AL274" t="inlineStr">
        <is>
          <t/>
        </is>
      </c>
    </row>
    <row r="275">
      <c r="A275" t="inlineStr">
        <is>
          <t>区区69元，承包我一周减脂快乐😁</t>
        </is>
      </c>
      <c r="B275" t="inlineStr">
        <is>
          <t>69ef00850000000035023c95</t>
        </is>
      </c>
      <c r="C275" s="274" t="n">
        <f>HYPERLINK("https://www.xiaohongshu.com/explore/69ef00850000000035023c95?xsec_token=TB8YlxxIf2o_Xr_LAif13-vKDcD0Rc7g2gyaq52lqdqvI=&amp;xsec_source=pc_trdark","https://www.xiaohongshu.com/explore/69ef00850000000035023c95?xsec_token=TB8YlxxIf2o_Xr_LAif13-vKDcD0Rc7g2gyaq52lqdqvI=&amp;xsec_source=pc_trdark")</f>
        <v>0.0</v>
      </c>
      <c r="D275" t="inlineStr">
        <is>
          <t>鲜水湾甄选</t>
        </is>
      </c>
      <c r="E275" t="inlineStr">
        <is>
          <t>27401929161</t>
        </is>
      </c>
      <c r="F275" t="inlineStr">
        <is>
          <t>2026-04-27 14:21:57</t>
        </is>
      </c>
      <c r="G275" t="inlineStr">
        <is>
          <t>图文</t>
        </is>
      </c>
      <c r="H275" t="inlineStr">
        <is>
          <t>手剥虾仁 无冰衣无添加 低脂餐一人食 上班带饭 顺丰包邮 5盒装</t>
        </is>
      </c>
      <c r="I275" t="inlineStr">
        <is>
          <t>694baba01d450d00013662f0</t>
        </is>
      </c>
      <c r="J275" t="inlineStr">
        <is>
          <t/>
        </is>
      </c>
      <c r="K275" t="n">
        <v>138.0</v>
      </c>
      <c r="L275" t="n">
        <v>2.0</v>
      </c>
      <c r="M275" t="n">
        <v>14.0</v>
      </c>
      <c r="N275" t="n">
        <v>0.1686746987951807</v>
      </c>
      <c r="O275" t="n">
        <v>12.0</v>
      </c>
      <c r="P275" t="n">
        <v>2.0</v>
      </c>
      <c r="Q275" t="inlineStr">
        <is>
          <t>0.14285714285714285</t>
        </is>
      </c>
      <c r="R275" t="inlineStr">
        <is>
          <t>0.16666666666666666</t>
        </is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1.0</v>
      </c>
      <c r="AA275" t="n">
        <v>0.0</v>
      </c>
      <c r="AB275" t="n">
        <v>0.0</v>
      </c>
      <c r="AC275" t="n">
        <v>0.0</v>
      </c>
      <c r="AD275" t="n">
        <v>83.0</v>
      </c>
      <c r="AE275" t="n">
        <v>3.0</v>
      </c>
      <c r="AF275" t="n">
        <v>2.0</v>
      </c>
      <c r="AG275" t="n">
        <v>0.0</v>
      </c>
      <c r="AH275" t="n">
        <v>1.0</v>
      </c>
      <c r="AI275" t="n">
        <v>0.0</v>
      </c>
      <c r="AJ275" t="n">
        <v>0.0</v>
      </c>
      <c r="AK275" t="n">
        <v>11.951807228915662</v>
      </c>
      <c r="AL275" t="inlineStr">
        <is>
          <t/>
        </is>
      </c>
    </row>
    <row r="276">
      <c r="A276" t="inlineStr">
        <is>
          <t>对不起了⛰️姆，还是这种小包装更有性价比</t>
        </is>
      </c>
      <c r="B276" t="inlineStr">
        <is>
          <t>69ec21b8000000003501c7ee</t>
        </is>
      </c>
      <c r="C276" s="275" t="n">
        <f>HYPERLINK("https://www.xiaohongshu.com/explore/69ec21b8000000003501c7ee?xsec_token=TBnoSF_--XRDuLtfF77lVqP2K7jCanaXDmjIDUkya1ee4=&amp;xsec_source=pc_trdark","https://www.xiaohongshu.com/explore/69ec21b8000000003501c7ee?xsec_token=TBnoSF_--XRDuLtfF77lVqP2K7jCanaXDmjIDUkya1ee4=&amp;xsec_source=pc_trdark")</f>
        <v>0.0</v>
      </c>
      <c r="D276" t="inlineStr">
        <is>
          <t>鲜水湾甄选</t>
        </is>
      </c>
      <c r="E276" t="inlineStr">
        <is>
          <t>27401929161</t>
        </is>
      </c>
      <c r="F276" t="inlineStr">
        <is>
          <t>2026-04-25 10:06:49</t>
        </is>
      </c>
      <c r="G276" t="inlineStr">
        <is>
          <t>图文</t>
        </is>
      </c>
      <c r="H276" t="inlineStr">
        <is>
          <t>手剥虾仁 无冰衣无添加 低脂餐一人食 上班带饭 顺丰包邮 5盒装</t>
        </is>
      </c>
      <c r="I276" t="inlineStr">
        <is>
          <t>694baba01d450d00013662f0</t>
        </is>
      </c>
      <c r="J276" t="inlineStr">
        <is>
          <t/>
        </is>
      </c>
      <c r="K276" t="n">
        <v>0.0</v>
      </c>
      <c r="L276" t="n">
        <v>0.0</v>
      </c>
      <c r="M276" t="n">
        <v>5.0</v>
      </c>
      <c r="N276" t="inlineStr">
        <is>
          <t>0.060240963855421686</t>
        </is>
      </c>
      <c r="O276" t="n">
        <v>5.0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inlineStr">
        <is>
          <t/>
        </is>
      </c>
      <c r="X276" t="n">
        <v>0.0</v>
      </c>
      <c r="Y276" t="n">
        <v>0.0</v>
      </c>
      <c r="Z276" t="n">
        <v>8.0</v>
      </c>
      <c r="AA276" t="n">
        <v>0.0</v>
      </c>
      <c r="AB276" t="n">
        <v>0.0</v>
      </c>
      <c r="AC276" t="n">
        <v>0.0</v>
      </c>
      <c r="AD276" t="n">
        <v>83.0</v>
      </c>
      <c r="AE276" t="n">
        <v>1.0</v>
      </c>
      <c r="AF276" t="n">
        <v>3.0</v>
      </c>
      <c r="AG276" t="n">
        <v>0.0</v>
      </c>
      <c r="AH276" t="n">
        <v>2.0</v>
      </c>
      <c r="AI276" t="n">
        <v>0.0</v>
      </c>
      <c r="AJ276" t="n">
        <v>0.0</v>
      </c>
      <c r="AK276" t="n">
        <v>10.289156626506024</v>
      </c>
      <c r="AL276" t="inlineStr">
        <is>
          <t/>
        </is>
      </c>
    </row>
    <row r="277">
      <c r="A277" t="inlineStr">
        <is>
          <t>13r一袋！13r一袋！13r一袋！顺丰包邮</t>
        </is>
      </c>
      <c r="B277" t="inlineStr">
        <is>
          <t>69e10072000000002301d5a9</t>
        </is>
      </c>
      <c r="C277" s="276" t="n">
        <f>HYPERLINK("https://www.xiaohongshu.com/explore/69e10072000000002301d5a9?xsec_token=TB8N84m1IX58SDo_19LEXNL8k3cYFhDPW43qcW8OgwpFo=&amp;xsec_source=pc_trdark","https://www.xiaohongshu.com/explore/69e10072000000002301d5a9?xsec_token=TB8N84m1IX58SDo_19LEXNL8k3cYFhDPW43qcW8OgwpFo=&amp;xsec_source=pc_trdark")</f>
        <v>0.0</v>
      </c>
      <c r="D277" t="inlineStr">
        <is>
          <t>鲜水湾</t>
        </is>
      </c>
      <c r="E277" t="inlineStr">
        <is>
          <t>49316638994</t>
        </is>
      </c>
      <c r="F277" t="inlineStr">
        <is>
          <t>2026-04-16 23:29:54</t>
        </is>
      </c>
      <c r="G277" t="inlineStr">
        <is>
          <t>图文</t>
        </is>
      </c>
      <c r="H277" t="inlineStr">
        <is>
          <t>手剥虾仁 无冰衣无添加 低脂餐一人食 上班带饭 顺丰包邮 5盒装</t>
        </is>
      </c>
      <c r="I277" t="inlineStr">
        <is>
          <t>694baba01d450d00013662f0</t>
        </is>
      </c>
      <c r="J277" t="inlineStr">
        <is>
          <t/>
        </is>
      </c>
      <c r="K277" t="n">
        <v>98.0</v>
      </c>
      <c r="L277" t="n">
        <v>1.0</v>
      </c>
      <c r="M277" t="n">
        <v>17.0</v>
      </c>
      <c r="N277" t="n">
        <v>0.2073170731707317</v>
      </c>
      <c r="O277" t="n">
        <v>15.0</v>
      </c>
      <c r="P277" t="n">
        <v>1.0</v>
      </c>
      <c r="Q277" t="inlineStr">
        <is>
          <t>0.058823529411764705</t>
        </is>
      </c>
      <c r="R277" t="inlineStr">
        <is>
          <t>0.06666666666666667</t>
        </is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1.0</v>
      </c>
      <c r="Z277" t="n">
        <v>2.0</v>
      </c>
      <c r="AA277" t="n">
        <v>0.0</v>
      </c>
      <c r="AB277" t="n">
        <v>0.0</v>
      </c>
      <c r="AC277" t="n">
        <v>0.0</v>
      </c>
      <c r="AD277" t="n">
        <v>82.0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14.487804878048781</v>
      </c>
      <c r="AL277" t="inlineStr">
        <is>
          <t/>
        </is>
      </c>
    </row>
    <row r="278">
      <c r="A278" t="inlineStr">
        <is>
          <t>春日减脂，区区 69 块够吃一周了</t>
        </is>
      </c>
      <c r="B278" t="inlineStr">
        <is>
          <t>69d5f768000000001f006b9a</t>
        </is>
      </c>
      <c r="C278" s="277" t="n">
        <f>HYPERLINK("https://www.xiaohongshu.com/explore/69d5f768000000001f006b9a?xsec_token=TB8iwnyw3eAUAW6IHOsxIm-iCs-DnLAvSoNrh-yHLJ3B4=&amp;xsec_source=pc_trdark","https://www.xiaohongshu.com/explore/69d5f768000000001f006b9a?xsec_token=TB8iwnyw3eAUAW6IHOsxIm-iCs-DnLAvSoNrh-yHLJ3B4=&amp;xsec_source=pc_trdark")</f>
        <v>0.0</v>
      </c>
      <c r="D278" t="inlineStr">
        <is>
          <t>婉婉上班吃什么</t>
        </is>
      </c>
      <c r="E278" t="inlineStr">
        <is>
          <t>11434449706</t>
        </is>
      </c>
      <c r="F278" t="inlineStr">
        <is>
          <t>2026-04-08 14:36:24</t>
        </is>
      </c>
      <c r="G278" t="inlineStr">
        <is>
          <t>图文</t>
        </is>
      </c>
      <c r="H278" t="inlineStr">
        <is>
          <t>手剥虾仁 无冰衣无添加 低脂餐一人食 上班带饭 顺丰包邮 5盒装</t>
        </is>
      </c>
      <c r="I278" t="inlineStr">
        <is>
          <t>694baba01d450d00013662f0</t>
        </is>
      </c>
      <c r="J278" t="inlineStr">
        <is>
          <t/>
        </is>
      </c>
      <c r="K278" t="n">
        <v>69.0</v>
      </c>
      <c r="L278" t="n">
        <v>1.0</v>
      </c>
      <c r="M278" t="n">
        <v>19.0</v>
      </c>
      <c r="N278" t="n">
        <v>0.2345679012345679</v>
      </c>
      <c r="O278" t="n">
        <v>13.0</v>
      </c>
      <c r="P278" t="n">
        <v>1.0</v>
      </c>
      <c r="Q278" t="inlineStr">
        <is>
          <t>0.05263157894736842</t>
        </is>
      </c>
      <c r="R278" t="inlineStr">
        <is>
          <t>0.07692307692307693</t>
        </is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4.0</v>
      </c>
      <c r="Z278" t="n">
        <v>2.0</v>
      </c>
      <c r="AA278" t="n">
        <v>0.0</v>
      </c>
      <c r="AB278" t="n">
        <v>0.0</v>
      </c>
      <c r="AC278" t="n">
        <v>0.0</v>
      </c>
      <c r="AD278" t="n">
        <v>81.0</v>
      </c>
      <c r="AE278" t="n">
        <v>1.0</v>
      </c>
      <c r="AF278" t="n">
        <v>0.0</v>
      </c>
      <c r="AG278" t="n">
        <v>0.0</v>
      </c>
      <c r="AH278" t="n">
        <v>1.0</v>
      </c>
      <c r="AI278" t="n">
        <v>0.0</v>
      </c>
      <c r="AJ278" t="n">
        <v>0.0</v>
      </c>
      <c r="AK278" t="n">
        <v>13.049382716049383</v>
      </c>
      <c r="AL278" t="inlineStr">
        <is>
          <t/>
        </is>
      </c>
    </row>
    <row r="279">
      <c r="A279" t="inlineStr">
        <is>
          <t>周末吃太多了？这顿虾仁帮你排排水肿</t>
        </is>
      </c>
      <c r="B279" t="inlineStr">
        <is>
          <t>69d623fd000000001e00eff2</t>
        </is>
      </c>
      <c r="C279" s="278" t="n">
        <f>HYPERLINK("https://www.xiaohongshu.com/explore/69d623fd000000001e00eff2?xsec_token=TBvBxKrH7kcVQkSA7MMxNJOV3N4A0KGM9JILIjlCnoxZU=&amp;xsec_source=pc_trdark","https://www.xiaohongshu.com/explore/69d623fd000000001e00eff2?xsec_token=TBvBxKrH7kcVQkSA7MMxNJOV3N4A0KGM9JILIjlCnoxZU=&amp;xsec_source=pc_trdark")</f>
        <v>0.0</v>
      </c>
      <c r="D279" t="inlineStr">
        <is>
          <t>婉婉上班吃什么</t>
        </is>
      </c>
      <c r="E279" t="inlineStr">
        <is>
          <t>11434449706</t>
        </is>
      </c>
      <c r="F279" t="inlineStr">
        <is>
          <t>2026-04-08 17:46:37</t>
        </is>
      </c>
      <c r="G279" t="inlineStr">
        <is>
          <t>图文</t>
        </is>
      </c>
      <c r="H279" t="inlineStr">
        <is>
          <t>手剥虾仁 无冰衣无添加 低脂餐一人食 上班带饭 顺丰包邮 5盒装</t>
        </is>
      </c>
      <c r="I279" t="inlineStr">
        <is>
          <t>694baba01d450d00013662f0</t>
        </is>
      </c>
      <c r="J279" t="inlineStr">
        <is>
          <t/>
        </is>
      </c>
      <c r="K279" t="n">
        <v>0.0</v>
      </c>
      <c r="L279" t="n">
        <v>0.0</v>
      </c>
      <c r="M279" t="n">
        <v>4.0</v>
      </c>
      <c r="N279" t="n">
        <v>0.05</v>
      </c>
      <c r="O279" t="n">
        <v>3.0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inlineStr">
        <is>
          <t/>
        </is>
      </c>
      <c r="X279" t="n">
        <v>0.0</v>
      </c>
      <c r="Y279" t="n">
        <v>1.0</v>
      </c>
      <c r="Z279" t="n">
        <v>2.0</v>
      </c>
      <c r="AA279" t="n">
        <v>0.0</v>
      </c>
      <c r="AB279" t="n">
        <v>0.0</v>
      </c>
      <c r="AC279" t="n">
        <v>0.0</v>
      </c>
      <c r="AD279" t="n">
        <v>80.0</v>
      </c>
      <c r="AE279" t="n">
        <v>1.0</v>
      </c>
      <c r="AF279" t="n">
        <v>1.0</v>
      </c>
      <c r="AG279" t="n">
        <v>0.0</v>
      </c>
      <c r="AH279" t="n">
        <v>1.0</v>
      </c>
      <c r="AI279" t="n">
        <v>0.0</v>
      </c>
      <c r="AJ279" t="n">
        <v>0.0</v>
      </c>
      <c r="AK279" t="n">
        <v>5.9875</v>
      </c>
      <c r="AL279" t="inlineStr">
        <is>
          <t/>
        </is>
      </c>
    </row>
    <row r="280">
      <c r="A280" t="inlineStr">
        <is>
          <t>自律期主食吃虾仁！开窍了……</t>
        </is>
      </c>
      <c r="B280" t="inlineStr">
        <is>
          <t>69cf45d2000000001f005706</t>
        </is>
      </c>
      <c r="C280" s="279" t="n">
        <f>HYPERLINK("https://www.xiaohongshu.com/explore/69cf45d2000000001f005706?xsec_token=TBoE-rkVRcyUvvjX4oFaj2HfxoOJH_LSfXGgSf60PGJqI=&amp;xsec_source=pc_trdark","https://www.xiaohongshu.com/explore/69cf45d2000000001f005706?xsec_token=TBoE-rkVRcyUvvjX4oFaj2HfxoOJH_LSfXGgSf60PGJqI=&amp;xsec_source=pc_trdark")</f>
        <v>0.0</v>
      </c>
      <c r="D280" t="inlineStr">
        <is>
          <t>婉婉上班吃什么</t>
        </is>
      </c>
      <c r="E280" t="inlineStr">
        <is>
          <t>11434449706</t>
        </is>
      </c>
      <c r="F280" t="inlineStr">
        <is>
          <t>2026-04-03 12:45:06</t>
        </is>
      </c>
      <c r="G280" t="inlineStr">
        <is>
          <t>图文</t>
        </is>
      </c>
      <c r="H280" t="inlineStr">
        <is>
          <t>手剥虾仁 无冰衣无添加 低脂餐一人食 上班带饭 顺丰包邮 5盒装</t>
        </is>
      </c>
      <c r="I280" t="inlineStr">
        <is>
          <t>694baba01d450d00013662f0</t>
        </is>
      </c>
      <c r="J280" t="inlineStr">
        <is>
          <t/>
        </is>
      </c>
      <c r="K280" t="n">
        <v>69.0</v>
      </c>
      <c r="L280" t="n">
        <v>1.0</v>
      </c>
      <c r="M280" t="n">
        <v>17.0</v>
      </c>
      <c r="N280" t="inlineStr">
        <is>
          <t>0.21518987341772153</t>
        </is>
      </c>
      <c r="O280" t="n">
        <v>16.0</v>
      </c>
      <c r="P280" t="n">
        <v>1.0</v>
      </c>
      <c r="Q280" t="inlineStr">
        <is>
          <t>0.058823529411764705</t>
        </is>
      </c>
      <c r="R280" t="n">
        <v>0.0625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1.0</v>
      </c>
      <c r="Z280" t="n">
        <v>1.0</v>
      </c>
      <c r="AA280" t="n">
        <v>0.0</v>
      </c>
      <c r="AB280" t="n">
        <v>0.0</v>
      </c>
      <c r="AC280" t="n">
        <v>0.0</v>
      </c>
      <c r="AD280" t="n">
        <v>79.0</v>
      </c>
      <c r="AE280" t="n">
        <v>4.0</v>
      </c>
      <c r="AF280" t="n">
        <v>0.0</v>
      </c>
      <c r="AG280" t="n">
        <v>0.0</v>
      </c>
      <c r="AH280" t="n">
        <v>1.0</v>
      </c>
      <c r="AI280" t="n">
        <v>0.0</v>
      </c>
      <c r="AJ280" t="n">
        <v>0.0</v>
      </c>
      <c r="AK280" t="n">
        <v>15.291139240506329</v>
      </c>
      <c r="AL280" t="inlineStr">
        <is>
          <t/>
        </is>
      </c>
    </row>
    <row r="281">
      <c r="A281" t="inlineStr">
        <is>
          <t>这盘三文鱼餐，承包了我一天的快乐和营养✨</t>
        </is>
      </c>
      <c r="B281" t="inlineStr">
        <is>
          <t>69ae7fd10000000022038d18</t>
        </is>
      </c>
      <c r="C281" s="280" t="n">
        <f>HYPERLINK("https://www.xiaohongshu.com/explore/69ae7fd10000000022038d18?xsec_token=TBy3i3TfmyKE7XGojG_cT9hXwECPCaD8ci00LH0Aym15A=&amp;xsec_source=pc_trdark","https://www.xiaohongshu.com/explore/69ae7fd10000000022038d18?xsec_token=TBy3i3TfmyKE7XGojG_cT9hXwECPCaD8ci00LH0Aym15A=&amp;xsec_source=pc_trdark")</f>
        <v>0.0</v>
      </c>
      <c r="D281" t="inlineStr">
        <is>
          <t>鲜水湾甄选</t>
        </is>
      </c>
      <c r="E281" t="inlineStr">
        <is>
          <t>27401929161</t>
        </is>
      </c>
      <c r="F281" t="inlineStr">
        <is>
          <t>2026-03-09 16:07:45</t>
        </is>
      </c>
      <c r="G281" t="inlineStr">
        <is>
          <t>图文</t>
        </is>
      </c>
      <c r="H281" t="inlineStr">
        <is>
          <t>智利三文鱼切块·整条三文鱼·深海鱼一人食健康饮食</t>
        </is>
      </c>
      <c r="I281" t="inlineStr">
        <is>
          <t>691ac562a524ee0001b51d7b</t>
        </is>
      </c>
      <c r="J281" t="inlineStr">
        <is>
          <t/>
        </is>
      </c>
      <c r="K281" t="n">
        <v>0.0</v>
      </c>
      <c r="L281" t="n">
        <v>0.0</v>
      </c>
      <c r="M281" t="n">
        <v>3.0</v>
      </c>
      <c r="N281" t="inlineStr">
        <is>
          <t>0.03896103896103896</t>
        </is>
      </c>
      <c r="O281" t="n">
        <v>3.0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inlineStr">
        <is>
          <t/>
        </is>
      </c>
      <c r="X281" t="n">
        <v>0.0</v>
      </c>
      <c r="Y281" t="n">
        <v>0.0</v>
      </c>
      <c r="Z281" t="n">
        <v>1.0</v>
      </c>
      <c r="AA281" t="n">
        <v>0.0</v>
      </c>
      <c r="AB281" t="n">
        <v>0.0</v>
      </c>
      <c r="AC281" t="n">
        <v>0.0</v>
      </c>
      <c r="AD281" t="n">
        <v>77.0</v>
      </c>
      <c r="AE281" t="n">
        <v>2.0</v>
      </c>
      <c r="AF281" t="n">
        <v>2.0</v>
      </c>
      <c r="AG281" t="n">
        <v>0.0</v>
      </c>
      <c r="AH281" t="n">
        <v>0.0</v>
      </c>
      <c r="AI281" t="n">
        <v>0.0</v>
      </c>
      <c r="AJ281" t="n">
        <v>0.0</v>
      </c>
      <c r="AK281" t="n">
        <v>14.753246753246753</v>
      </c>
      <c r="AL281" t="inlineStr">
        <is>
          <t/>
        </is>
      </c>
    </row>
    <row r="282">
      <c r="A282" t="inlineStr">
        <is>
          <t>真的掉秤🍤减脂期直接锁死这虾仁！</t>
        </is>
      </c>
      <c r="B282" t="inlineStr">
        <is>
          <t>69f0b187000000001f003829</t>
        </is>
      </c>
      <c r="C282" s="281" t="n">
        <f>HYPERLINK("https://www.xiaohongshu.com/explore/69f0b187000000001f003829?xsec_token=TBvHxiGmj2CedfPdQHdLJBmFXch8Neo45hLYRspkSqSm4=&amp;xsec_source=pc_trdark","https://www.xiaohongshu.com/explore/69f0b187000000001f003829?xsec_token=TBvHxiGmj2CedfPdQHdLJBmFXch8Neo45hLYRspkSqSm4=&amp;xsec_source=pc_trdark")</f>
        <v>0.0</v>
      </c>
      <c r="D282" t="inlineStr">
        <is>
          <t>菲菲上班吃什么</t>
        </is>
      </c>
      <c r="E282" t="inlineStr">
        <is>
          <t>49936530607</t>
        </is>
      </c>
      <c r="F282" t="inlineStr">
        <is>
          <t>2026-04-28 21:09:27</t>
        </is>
      </c>
      <c r="G282" t="inlineStr">
        <is>
          <t>图文</t>
        </is>
      </c>
      <c r="H282" t="inlineStr">
        <is>
          <t>手剥虾仁 无冰衣无添加 低脂餐一人食 上班带饭 顺丰包邮 5盒装</t>
        </is>
      </c>
      <c r="I282" t="inlineStr">
        <is>
          <t>694baba01d450d00013662f0</t>
        </is>
      </c>
      <c r="J282" t="inlineStr">
        <is>
          <t/>
        </is>
      </c>
      <c r="K282" t="n">
        <v>0.0</v>
      </c>
      <c r="L282" t="n">
        <v>0.0</v>
      </c>
      <c r="M282" t="n">
        <v>7.0</v>
      </c>
      <c r="N282" t="inlineStr">
        <is>
          <t>0.09210526315789473</t>
        </is>
      </c>
      <c r="O282" t="n">
        <v>7.0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inlineStr">
        <is>
          <t/>
        </is>
      </c>
      <c r="X282" t="n">
        <v>0.0</v>
      </c>
      <c r="Y282" t="n">
        <v>1.0</v>
      </c>
      <c r="Z282" t="n">
        <v>1.0</v>
      </c>
      <c r="AA282" t="n">
        <v>0.0</v>
      </c>
      <c r="AB282" t="n">
        <v>0.0</v>
      </c>
      <c r="AC282" t="n">
        <v>0.0</v>
      </c>
      <c r="AD282" t="n">
        <v>76.0</v>
      </c>
      <c r="AE282" t="n">
        <v>1.0</v>
      </c>
      <c r="AF282" t="n">
        <v>1.0</v>
      </c>
      <c r="AG282" t="n">
        <v>0.0</v>
      </c>
      <c r="AH282" t="n">
        <v>1.0</v>
      </c>
      <c r="AI282" t="n">
        <v>0.0</v>
      </c>
      <c r="AJ282" t="n">
        <v>0.0</v>
      </c>
      <c r="AK282" t="n">
        <v>8.881578947368421</v>
      </c>
      <c r="AL282" t="inlineStr">
        <is>
          <t/>
        </is>
      </c>
    </row>
    <row r="283">
      <c r="A283" t="inlineStr">
        <is>
          <t>奉劝大家不要低估 100 块的购买力，够吃一周</t>
        </is>
      </c>
      <c r="B283" t="inlineStr">
        <is>
          <t>69ec44e6000000001e00e8da</t>
        </is>
      </c>
      <c r="C283" s="282" t="n">
        <f>HYPERLINK("https://www.xiaohongshu.com/explore/69ec44e6000000001e00e8da?xsec_token=TBnoSF_--XRDuLtfF77lVqP50AQR9lH4t32-BNKBYy9ys=&amp;xsec_source=pc_trdark","https://www.xiaohongshu.com/explore/69ec44e6000000001e00e8da?xsec_token=TBnoSF_--XRDuLtfF77lVqP50AQR9lH4t32-BNKBYy9ys=&amp;xsec_source=pc_trdark")</f>
        <v>0.0</v>
      </c>
      <c r="D283" t="inlineStr">
        <is>
          <t>婉婉上班吃什么</t>
        </is>
      </c>
      <c r="E283" t="inlineStr">
        <is>
          <t>11434449706</t>
        </is>
      </c>
      <c r="F283" t="inlineStr">
        <is>
          <t>2026-04-25 12:36:54</t>
        </is>
      </c>
      <c r="G283" t="inlineStr">
        <is>
          <t>图文</t>
        </is>
      </c>
      <c r="H283" t="inlineStr">
        <is>
          <t>手剥虾仁 无冰衣无添加 低脂餐一人食 上班带饭 顺丰包邮 5盒装</t>
        </is>
      </c>
      <c r="I283" t="inlineStr">
        <is>
          <t>694baba01d450d00013662f0</t>
        </is>
      </c>
      <c r="J283" t="inlineStr">
        <is>
          <t/>
        </is>
      </c>
      <c r="K283" t="n">
        <v>0.0</v>
      </c>
      <c r="L283" t="n">
        <v>0.0</v>
      </c>
      <c r="M283" t="n">
        <v>13.0</v>
      </c>
      <c r="N283" t="inlineStr">
        <is>
          <t>0.17105263157894737</t>
        </is>
      </c>
      <c r="O283" t="n">
        <v>12.0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inlineStr">
        <is>
          <t/>
        </is>
      </c>
      <c r="X283" t="n">
        <v>0.0</v>
      </c>
      <c r="Y283" t="n">
        <v>0.0</v>
      </c>
      <c r="Z283" t="n">
        <v>3.0</v>
      </c>
      <c r="AA283" t="n">
        <v>0.0</v>
      </c>
      <c r="AB283" t="n">
        <v>0.0</v>
      </c>
      <c r="AC283" t="n">
        <v>0.0</v>
      </c>
      <c r="AD283" t="n">
        <v>76.0</v>
      </c>
      <c r="AE283" t="n">
        <v>0.0</v>
      </c>
      <c r="AF283" t="n">
        <v>0.0</v>
      </c>
      <c r="AG283" t="n">
        <v>0.0</v>
      </c>
      <c r="AH283" t="n">
        <v>3.0</v>
      </c>
      <c r="AI283" t="n">
        <v>0.0</v>
      </c>
      <c r="AJ283" t="n">
        <v>0.0</v>
      </c>
      <c r="AK283" t="n">
        <v>16.32894736842105</v>
      </c>
      <c r="AL283" t="inlineStr">
        <is>
          <t/>
        </is>
      </c>
    </row>
    <row r="284">
      <c r="A284" t="inlineStr">
        <is>
          <t>刚吃完一袋，我妈叫我再买一箱……</t>
        </is>
      </c>
      <c r="B284" t="inlineStr">
        <is>
          <t>69e867ae000000002301360a</t>
        </is>
      </c>
      <c r="C284" s="283" t="n">
        <f>HYPERLINK("https://www.xiaohongshu.com/explore/69e867ae000000002301360a?xsec_token=TBrsJGfbmdICsvnXoyd4QdRjlaoCK8KPQNGlK5R_gC26I=&amp;xsec_source=pc_trdark","https://www.xiaohongshu.com/explore/69e867ae000000002301360a?xsec_token=TBrsJGfbmdICsvnXoyd4QdRjlaoCK8KPQNGlK5R_gC26I=&amp;xsec_source=pc_trdark")</f>
        <v>0.0</v>
      </c>
      <c r="D284" t="inlineStr">
        <is>
          <t>鲜水湾甄选</t>
        </is>
      </c>
      <c r="E284" t="inlineStr">
        <is>
          <t>27401929161</t>
        </is>
      </c>
      <c r="F284" t="inlineStr">
        <is>
          <t>2026-04-23 07:00:00</t>
        </is>
      </c>
      <c r="G284" t="inlineStr">
        <is>
          <t>图文</t>
        </is>
      </c>
      <c r="H284" t="inlineStr">
        <is>
          <t>手剥虾仁 无冰衣无添加 低脂餐一人食 上班带饭 顺丰包邮 5盒装</t>
        </is>
      </c>
      <c r="I284" t="inlineStr">
        <is>
          <t>694baba01d450d00013662f0</t>
        </is>
      </c>
      <c r="J284" t="inlineStr">
        <is>
          <t/>
        </is>
      </c>
      <c r="K284" t="n">
        <v>138.0</v>
      </c>
      <c r="L284" t="n">
        <v>2.0</v>
      </c>
      <c r="M284" t="n">
        <v>15.0</v>
      </c>
      <c r="N284" t="inlineStr">
        <is>
          <t>0.19736842105263158</t>
        </is>
      </c>
      <c r="O284" t="n">
        <v>13.0</v>
      </c>
      <c r="P284" t="n">
        <v>2.0</v>
      </c>
      <c r="Q284" t="inlineStr">
        <is>
          <t>0.13333333333333333</t>
        </is>
      </c>
      <c r="R284" t="inlineStr">
        <is>
          <t>0.15384615384615385</t>
        </is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4.0</v>
      </c>
      <c r="Z284" t="n">
        <v>3.0</v>
      </c>
      <c r="AA284" t="n">
        <v>0.0</v>
      </c>
      <c r="AB284" t="n">
        <v>0.0</v>
      </c>
      <c r="AC284" t="n">
        <v>0.0</v>
      </c>
      <c r="AD284" t="n">
        <v>76.0</v>
      </c>
      <c r="AE284" t="n">
        <v>2.0</v>
      </c>
      <c r="AF284" t="n">
        <v>0.0</v>
      </c>
      <c r="AG284" t="n">
        <v>0.0</v>
      </c>
      <c r="AH284" t="n">
        <v>1.0</v>
      </c>
      <c r="AI284" t="n">
        <v>0.0</v>
      </c>
      <c r="AJ284" t="n">
        <v>0.0</v>
      </c>
      <c r="AK284" t="n">
        <v>16.263157894736842</v>
      </c>
      <c r="AL284" t="inlineStr">
        <is>
          <t/>
        </is>
      </c>
    </row>
    <row r="285">
      <c r="A285" t="inlineStr">
        <is>
          <t>平台期三天没掉秤靠它直接破局</t>
        </is>
      </c>
      <c r="B285" t="inlineStr">
        <is>
          <t>69da31820000000022024842</t>
        </is>
      </c>
      <c r="C285" s="284" t="n">
        <f>HYPERLINK("https://www.xiaohongshu.com/explore/69da31820000000022024842?xsec_token=TBhxbjR_dqBsHKT9m13UeVym45yDwuD7v4TAOxSw50qNg=&amp;xsec_source=pc_trdark","https://www.xiaohongshu.com/explore/69da31820000000022024842?xsec_token=TBhxbjR_dqBsHKT9m13UeVym45yDwuD7v4TAOxSw50qNg=&amp;xsec_source=pc_trdark")</f>
        <v>0.0</v>
      </c>
      <c r="D285" t="inlineStr">
        <is>
          <t>婉婉上班吃什么</t>
        </is>
      </c>
      <c r="E285" t="inlineStr">
        <is>
          <t>11434449706</t>
        </is>
      </c>
      <c r="F285" t="inlineStr">
        <is>
          <t>2026-04-11 19:33:22</t>
        </is>
      </c>
      <c r="G285" t="inlineStr">
        <is>
          <t>图文</t>
        </is>
      </c>
      <c r="H285" t="inlineStr">
        <is>
          <t>手剥虾仁 无冰衣无添加 低脂餐一人食 上班带饭 顺丰包邮 5盒装</t>
        </is>
      </c>
      <c r="I285" t="inlineStr">
        <is>
          <t>694baba01d450d00013662f0</t>
        </is>
      </c>
      <c r="J285" t="inlineStr">
        <is>
          <t/>
        </is>
      </c>
      <c r="K285" t="n">
        <v>0.0</v>
      </c>
      <c r="L285" t="n">
        <v>0.0</v>
      </c>
      <c r="M285" t="n">
        <v>17.0</v>
      </c>
      <c r="N285" t="n">
        <v>0.2236842105263158</v>
      </c>
      <c r="O285" t="n">
        <v>15.0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inlineStr">
        <is>
          <t/>
        </is>
      </c>
      <c r="X285" t="n">
        <v>0.0</v>
      </c>
      <c r="Y285" t="n">
        <v>6.0</v>
      </c>
      <c r="Z285" t="n">
        <v>5.0</v>
      </c>
      <c r="AA285" t="n">
        <v>0.0</v>
      </c>
      <c r="AB285" t="n">
        <v>0.0</v>
      </c>
      <c r="AC285" t="n">
        <v>0.0</v>
      </c>
      <c r="AD285" t="n">
        <v>76.0</v>
      </c>
      <c r="AE285" t="n">
        <v>1.0</v>
      </c>
      <c r="AF285" t="n">
        <v>0.0</v>
      </c>
      <c r="AG285" t="n">
        <v>0.0</v>
      </c>
      <c r="AH285" t="n">
        <v>1.0</v>
      </c>
      <c r="AI285" t="n">
        <v>0.0</v>
      </c>
      <c r="AJ285" t="n">
        <v>0.0</v>
      </c>
      <c r="AK285" t="n">
        <v>13.328947368421053</v>
      </c>
      <c r="AL285" t="inlineStr">
        <is>
          <t/>
        </is>
      </c>
    </row>
    <row r="286">
      <c r="A286" t="inlineStr">
        <is>
          <t>为啥还去超市买虾？网上买真的便宜又实惠！</t>
        </is>
      </c>
      <c r="B286" t="inlineStr">
        <is>
          <t>69aaef50000000000e00d86f</t>
        </is>
      </c>
      <c r="C286" s="285" t="n">
        <f>HYPERLINK("https://www.xiaohongshu.com/explore/69aaef50000000000e00d86f?xsec_token=TB8xU8BGf5cxJmpLtWj3tacdza317oGd4fGjCaUsYSGsU=&amp;xsec_source=pc_trdark","https://www.xiaohongshu.com/explore/69aaef50000000000e00d86f?xsec_token=TB8xU8BGf5cxJmpLtWj3tacdza317oGd4fGjCaUsYSGsU=&amp;xsec_source=pc_trdark")</f>
        <v>0.0</v>
      </c>
      <c r="D286" t="inlineStr">
        <is>
          <t>鲜水湾</t>
        </is>
      </c>
      <c r="E286" t="inlineStr">
        <is>
          <t>49316638994</t>
        </is>
      </c>
      <c r="F286" t="inlineStr">
        <is>
          <t>2026-03-06 23:14:24</t>
        </is>
      </c>
      <c r="G286" t="inlineStr">
        <is>
          <t>图文</t>
        </is>
      </c>
      <c r="H286" t="inlineStr">
        <is>
          <t>大虾基围虾王牌大虾厄瓜多尔白虾盐冻虾仁海洋大虾送礼顺丰包邮</t>
        </is>
      </c>
      <c r="I286" t="inlineStr">
        <is>
          <t>690aeb7be379430001e686ac</t>
        </is>
      </c>
      <c r="J286" t="inlineStr">
        <is>
          <t/>
        </is>
      </c>
      <c r="K286" t="n">
        <v>0.0</v>
      </c>
      <c r="L286" t="n">
        <v>0.0</v>
      </c>
      <c r="M286" t="n">
        <v>14.0</v>
      </c>
      <c r="N286" t="inlineStr">
        <is>
          <t>0.18421052631578946</t>
        </is>
      </c>
      <c r="O286" t="n">
        <v>14.0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inlineStr">
        <is>
          <t/>
        </is>
      </c>
      <c r="X286" t="n">
        <v>0.0</v>
      </c>
      <c r="Y286" t="n">
        <v>1.0</v>
      </c>
      <c r="Z286" t="n">
        <v>2.0</v>
      </c>
      <c r="AA286" t="n">
        <v>0.0</v>
      </c>
      <c r="AB286" t="n">
        <v>0.0</v>
      </c>
      <c r="AC286" t="n">
        <v>0.0</v>
      </c>
      <c r="AD286" t="n">
        <v>76.0</v>
      </c>
      <c r="AE286" t="n">
        <v>0.0</v>
      </c>
      <c r="AF286" t="n">
        <v>0.0</v>
      </c>
      <c r="AG286" t="n">
        <v>1.0</v>
      </c>
      <c r="AH286" t="n">
        <v>0.0</v>
      </c>
      <c r="AI286" t="n">
        <v>0.0</v>
      </c>
      <c r="AJ286" t="n">
        <v>0.0</v>
      </c>
      <c r="AK286" t="n">
        <v>6.197368421052632</v>
      </c>
      <c r="AL286" t="inlineStr">
        <is>
          <t/>
        </is>
      </c>
    </row>
    <row r="287">
      <c r="A287" t="inlineStr">
        <is>
          <t>做了3年虾仁，最开心的事不是卖了多少单</t>
        </is>
      </c>
      <c r="B287" t="inlineStr">
        <is>
          <t>69d75d2c000000001e00dc20</t>
        </is>
      </c>
      <c r="C287" s="286" t="n">
        <f>HYPERLINK("https://www.xiaohongshu.com/explore/69d75d2c000000001e00dc20?xsec_token=TBabSJw1DqF320Z_FWL3yrQ9fZu9La1DkzLzYWZnYGnXI=&amp;xsec_source=pc_trdark","https://www.xiaohongshu.com/explore/69d75d2c000000001e00dc20?xsec_token=TBabSJw1DqF320Z_FWL3yrQ9fZu9La1DkzLzYWZnYGnXI=&amp;xsec_source=pc_trdark")</f>
        <v>0.0</v>
      </c>
      <c r="D287" t="inlineStr">
        <is>
          <t>鲜水湾</t>
        </is>
      </c>
      <c r="E287" t="inlineStr">
        <is>
          <t>49316638994</t>
        </is>
      </c>
      <c r="F287" t="inlineStr">
        <is>
          <t>2026-04-09 16:02:52</t>
        </is>
      </c>
      <c r="G287" t="inlineStr">
        <is>
          <t>图文</t>
        </is>
      </c>
      <c r="H287" t="inlineStr">
        <is>
          <t>手剥虾仁 无冰衣无添加 低脂餐一人食 上班带饭 顺丰包邮 5盒装</t>
        </is>
      </c>
      <c r="I287" t="inlineStr">
        <is>
          <t>694baba01d450d00013662f0</t>
        </is>
      </c>
      <c r="J287" t="inlineStr">
        <is>
          <t/>
        </is>
      </c>
      <c r="K287" t="n">
        <v>0.0</v>
      </c>
      <c r="L287" t="n">
        <v>0.0</v>
      </c>
      <c r="M287" t="n">
        <v>9.0</v>
      </c>
      <c r="N287" t="n">
        <v>0.12</v>
      </c>
      <c r="O287" t="n">
        <v>8.0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inlineStr">
        <is>
          <t/>
        </is>
      </c>
      <c r="X287" t="n">
        <v>0.0</v>
      </c>
      <c r="Y287" t="n">
        <v>2.0</v>
      </c>
      <c r="Z287" t="n">
        <v>2.0</v>
      </c>
      <c r="AA287" t="n">
        <v>0.0</v>
      </c>
      <c r="AB287" t="n">
        <v>0.0</v>
      </c>
      <c r="AC287" t="n">
        <v>0.0</v>
      </c>
      <c r="AD287" t="n">
        <v>75.0</v>
      </c>
      <c r="AE287" t="n">
        <v>2.0</v>
      </c>
      <c r="AF287" t="n">
        <v>0.0</v>
      </c>
      <c r="AG287" t="n">
        <v>0.0</v>
      </c>
      <c r="AH287" t="n">
        <v>3.0</v>
      </c>
      <c r="AI287" t="n">
        <v>0.0</v>
      </c>
      <c r="AJ287" t="n">
        <v>0.0</v>
      </c>
      <c r="AK287" t="n">
        <v>4.466666666666667</v>
      </c>
      <c r="AL287" t="inlineStr">
        <is>
          <t/>
        </is>
      </c>
    </row>
    <row r="288">
      <c r="A288" t="inlineStr">
        <is>
          <t>爸妈说我每天吃三文鱼很奢侈…</t>
        </is>
      </c>
      <c r="B288" t="inlineStr">
        <is>
          <t>69c8ea2b000000002301c4f4</t>
        </is>
      </c>
      <c r="C288" s="287" t="n">
        <f>HYPERLINK("https://www.xiaohongshu.com/explore/69c8ea2b000000002301c4f4?xsec_token=TBSs0bsvi6YGXB042lLCz_JOPvhpzBxCLcVvY7UKT8xhQ=&amp;xsec_source=pc_trdark","https://www.xiaohongshu.com/explore/69c8ea2b000000002301c4f4?xsec_token=TBSs0bsvi6YGXB042lLCz_JOPvhpzBxCLcVvY7UKT8xhQ=&amp;xsec_source=pc_trdark")</f>
        <v>0.0</v>
      </c>
      <c r="D288" t="inlineStr">
        <is>
          <t>菲菲上班吃什么</t>
        </is>
      </c>
      <c r="E288" t="inlineStr">
        <is>
          <t>49936530607</t>
        </is>
      </c>
      <c r="F288" t="inlineStr">
        <is>
          <t>2026-03-29 17:00:27</t>
        </is>
      </c>
      <c r="G288" t="inlineStr">
        <is>
          <t>图文</t>
        </is>
      </c>
      <c r="H288" t="inlineStr">
        <is>
          <t>智利三文鱼切块·整条三文鱼·深海鱼一人食健康饮食</t>
        </is>
      </c>
      <c r="I288" t="inlineStr">
        <is>
          <t>691ac562a524ee0001b51d7b</t>
        </is>
      </c>
      <c r="J288" t="inlineStr">
        <is>
          <t/>
        </is>
      </c>
      <c r="K288" t="n">
        <v>0.0</v>
      </c>
      <c r="L288" t="n">
        <v>0.0</v>
      </c>
      <c r="M288" t="n">
        <v>10.0</v>
      </c>
      <c r="N288" t="inlineStr">
        <is>
          <t>0.13333333333333333</t>
        </is>
      </c>
      <c r="O288" t="n">
        <v>9.0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inlineStr">
        <is>
          <t/>
        </is>
      </c>
      <c r="X288" t="n">
        <v>0.0</v>
      </c>
      <c r="Y288" t="n">
        <v>2.0</v>
      </c>
      <c r="Z288" t="n">
        <v>2.0</v>
      </c>
      <c r="AA288" t="n">
        <v>0.0</v>
      </c>
      <c r="AB288" t="n">
        <v>0.0</v>
      </c>
      <c r="AC288" t="n">
        <v>0.0</v>
      </c>
      <c r="AD288" t="n">
        <v>75.0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13.92</v>
      </c>
      <c r="AL288" t="inlineStr">
        <is>
          <t/>
        </is>
      </c>
    </row>
    <row r="289">
      <c r="A289" t="inlineStr">
        <is>
          <t>懒人极简带饭，69够吃一周的了</t>
        </is>
      </c>
      <c r="B289" t="inlineStr">
        <is>
          <t>69ec20f3000000001e00efb6</t>
        </is>
      </c>
      <c r="C289" s="288" t="n">
        <f>HYPERLINK("https://www.xiaohongshu.com/explore/69ec20f3000000001e00efb6?xsec_token=TBnoSF_--XRDuLtfF77lVqP6IHH3F0R61kdNhYuG8zNNo=&amp;xsec_source=pc_trdark","https://www.xiaohongshu.com/explore/69ec20f3000000001e00efb6?xsec_token=TBnoSF_--XRDuLtfF77lVqP6IHH3F0R61kdNhYuG8zNNo=&amp;xsec_source=pc_trdark")</f>
        <v>0.0</v>
      </c>
      <c r="D289" t="inlineStr">
        <is>
          <t>菲菲上班吃什么</t>
        </is>
      </c>
      <c r="E289" t="inlineStr">
        <is>
          <t>49936530607</t>
        </is>
      </c>
      <c r="F289" t="inlineStr">
        <is>
          <t>2026-04-25 10:03:31</t>
        </is>
      </c>
      <c r="G289" t="inlineStr">
        <is>
          <t>图文</t>
        </is>
      </c>
      <c r="H289" t="inlineStr">
        <is>
          <t>手剥虾仁 无冰衣无添加 低脂餐一人食 上班带饭 顺丰包邮 5盒装</t>
        </is>
      </c>
      <c r="I289" t="inlineStr">
        <is>
          <t>694baba01d450d00013662f0</t>
        </is>
      </c>
      <c r="J289" t="inlineStr">
        <is>
          <t/>
        </is>
      </c>
      <c r="K289" t="n">
        <v>0.0</v>
      </c>
      <c r="L289" t="n">
        <v>0.0</v>
      </c>
      <c r="M289" t="n">
        <v>9.0</v>
      </c>
      <c r="N289" t="inlineStr">
        <is>
          <t>0.12162162162162163</t>
        </is>
      </c>
      <c r="O289" t="n">
        <v>8.0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inlineStr">
        <is>
          <t/>
        </is>
      </c>
      <c r="X289" t="n">
        <v>0.0</v>
      </c>
      <c r="Y289" t="n">
        <v>2.0</v>
      </c>
      <c r="Z289" t="n">
        <v>8.0</v>
      </c>
      <c r="AA289" t="n">
        <v>0.0</v>
      </c>
      <c r="AB289" t="n">
        <v>0.0</v>
      </c>
      <c r="AC289" t="n">
        <v>0.0</v>
      </c>
      <c r="AD289" t="n">
        <v>74.0</v>
      </c>
      <c r="AE289" t="n">
        <v>3.0</v>
      </c>
      <c r="AF289" t="n">
        <v>3.0</v>
      </c>
      <c r="AG289" t="n">
        <v>0.0</v>
      </c>
      <c r="AH289" t="n">
        <v>2.0</v>
      </c>
      <c r="AI289" t="n">
        <v>0.0</v>
      </c>
      <c r="AJ289" t="n">
        <v>0.0</v>
      </c>
      <c r="AK289" t="n">
        <v>12.14864864864865</v>
      </c>
      <c r="AL289" t="inlineStr">
        <is>
          <t/>
        </is>
      </c>
    </row>
    <row r="290">
      <c r="A290" t="inlineStr">
        <is>
          <t>在网上买的虾仁，被婆婆夸了！</t>
        </is>
      </c>
      <c r="B290" t="inlineStr">
        <is>
          <t>69d4caf7000000001f004223</t>
        </is>
      </c>
      <c r="C290" s="289" t="n">
        <f>HYPERLINK("https://www.xiaohongshu.com/explore/69d4caf7000000001f004223?xsec_token=TBCfzrc-PQxdd2ruCVqHUjYprcZ1tg5jdXbHqsKxpiiGw=&amp;xsec_source=pc_trdark","https://www.xiaohongshu.com/explore/69d4caf7000000001f004223?xsec_token=TBCfzrc-PQxdd2ruCVqHUjYprcZ1tg5jdXbHqsKxpiiGw=&amp;xsec_source=pc_trdark")</f>
        <v>0.0</v>
      </c>
      <c r="D290" t="inlineStr">
        <is>
          <t>婉婉上班吃什么</t>
        </is>
      </c>
      <c r="E290" t="inlineStr">
        <is>
          <t>11434449706</t>
        </is>
      </c>
      <c r="F290" t="inlineStr">
        <is>
          <t>2026-04-07 17:14:31</t>
        </is>
      </c>
      <c r="G290" t="inlineStr">
        <is>
          <t>图文</t>
        </is>
      </c>
      <c r="H290" t="inlineStr">
        <is>
          <t>手剥虾仁 无冰衣无添加 低脂餐一人食 上班带饭 顺丰包邮 5盒装</t>
        </is>
      </c>
      <c r="I290" t="inlineStr">
        <is>
          <t>694baba01d450d00013662f0</t>
        </is>
      </c>
      <c r="J290" t="inlineStr">
        <is>
          <t/>
        </is>
      </c>
      <c r="K290" t="n">
        <v>69.0</v>
      </c>
      <c r="L290" t="n">
        <v>1.0</v>
      </c>
      <c r="M290" t="n">
        <v>12.0</v>
      </c>
      <c r="N290" t="inlineStr">
        <is>
          <t>0.16216216216216217</t>
        </is>
      </c>
      <c r="O290" t="n">
        <v>10.0</v>
      </c>
      <c r="P290" t="n">
        <v>1.0</v>
      </c>
      <c r="Q290" t="inlineStr">
        <is>
          <t>0.08333333333333333</t>
        </is>
      </c>
      <c r="R290" t="n">
        <v>0.1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1.0</v>
      </c>
      <c r="Z290" t="n">
        <v>0.0</v>
      </c>
      <c r="AA290" t="n">
        <v>0.0</v>
      </c>
      <c r="AB290" t="n">
        <v>0.0</v>
      </c>
      <c r="AC290" t="n">
        <v>0.0</v>
      </c>
      <c r="AD290" t="n">
        <v>74.0</v>
      </c>
      <c r="AE290" t="n">
        <v>1.0</v>
      </c>
      <c r="AF290" t="n">
        <v>0.0</v>
      </c>
      <c r="AG290" t="n">
        <v>0.0</v>
      </c>
      <c r="AH290" t="n">
        <v>1.0</v>
      </c>
      <c r="AI290" t="n">
        <v>0.0</v>
      </c>
      <c r="AJ290" t="n">
        <v>0.0</v>
      </c>
      <c r="AK290" t="n">
        <v>12.58108108108108</v>
      </c>
      <c r="AL290" t="inlineStr">
        <is>
          <t/>
        </is>
      </c>
    </row>
    <row r="291">
      <c r="A291" t="inlineStr">
        <is>
          <t>完全低估了300多的购买力…</t>
        </is>
      </c>
      <c r="B291" t="inlineStr">
        <is>
          <t>69ca9b20000000001b022f98</t>
        </is>
      </c>
      <c r="C291" s="290" t="n">
        <f>HYPERLINK("https://www.xiaohongshu.com/explore/69ca9b20000000001b022f98?xsec_token=TBZMwIQ43aS0K0DsaEHGlBqgg83skNUCe6chnhZXv2cU0=&amp;xsec_source=pc_trdark","https://www.xiaohongshu.com/explore/69ca9b20000000001b022f98?xsec_token=TBZMwIQ43aS0K0DsaEHGlBqgg83skNUCe6chnhZXv2cU0=&amp;xsec_source=pc_trdark")</f>
        <v>0.0</v>
      </c>
      <c r="D291" t="inlineStr">
        <is>
          <t>婉婉上班吃什么</t>
        </is>
      </c>
      <c r="E291" t="inlineStr">
        <is>
          <t>11434449706</t>
        </is>
      </c>
      <c r="F291" t="inlineStr">
        <is>
          <t>2026-03-30 23:47:44</t>
        </is>
      </c>
      <c r="G291" t="inlineStr">
        <is>
          <t>图文</t>
        </is>
      </c>
      <c r="H291" t="inlineStr">
        <is>
          <t>智利三文鱼切块·整条三文鱼·深海鱼一人食健康饮食</t>
        </is>
      </c>
      <c r="I291" t="inlineStr">
        <is>
          <t>691ac562a524ee0001b51d7b</t>
        </is>
      </c>
      <c r="J291" t="inlineStr">
        <is>
          <t/>
        </is>
      </c>
      <c r="K291" t="n">
        <v>0.0</v>
      </c>
      <c r="L291" t="n">
        <v>0.0</v>
      </c>
      <c r="M291" t="n">
        <v>8.0</v>
      </c>
      <c r="N291" t="n">
        <v>0.1095890410958904</v>
      </c>
      <c r="O291" t="n">
        <v>7.0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inlineStr">
        <is>
          <t/>
        </is>
      </c>
      <c r="X291" t="n">
        <v>0.0</v>
      </c>
      <c r="Y291" t="n">
        <v>1.0</v>
      </c>
      <c r="Z291" t="n">
        <v>1.0</v>
      </c>
      <c r="AA291" t="n">
        <v>0.0</v>
      </c>
      <c r="AB291" t="n">
        <v>0.0</v>
      </c>
      <c r="AC291" t="n">
        <v>0.0</v>
      </c>
      <c r="AD291" t="n">
        <v>73.0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6.109589041095891</v>
      </c>
      <c r="AL291" t="inlineStr">
        <is>
          <t/>
        </is>
      </c>
    </row>
    <row r="292">
      <c r="A292" t="inlineStr">
        <is>
          <t>备孕姐妹冲！我家冷水蚝 59.9 元 5 斤</t>
        </is>
      </c>
      <c r="B292" t="inlineStr">
        <is>
          <t>6915949e000000000703b57a</t>
        </is>
      </c>
      <c r="C292" s="291" t="n">
        <f>HYPERLINK("https://www.xiaohongshu.com/explore/6915949e000000000703b57a?xsec_token=TBAg-veJq-9HvX6LdnoJFXah9og5KD9gcwieVsF90eyPI=&amp;xsec_source=pc_trdark","https://www.xiaohongshu.com/explore/6915949e000000000703b57a?xsec_token=TBAg-veJq-9HvX6LdnoJFXah9og5KD9gcwieVsF90eyPI=&amp;xsec_source=pc_trdark")</f>
        <v>0.0</v>
      </c>
      <c r="D292" t="inlineStr">
        <is>
          <t>婉婉上班吃什么</t>
        </is>
      </c>
      <c r="E292" t="inlineStr">
        <is>
          <t>11434449706</t>
        </is>
      </c>
      <c r="F292" t="inlineStr">
        <is>
          <t>2025-11-13 16:19:42</t>
        </is>
      </c>
      <c r="G292" t="inlineStr">
        <is>
          <t>视频</t>
        </is>
      </c>
      <c r="H292" t="inlineStr">
        <is>
          <t>生蚝乳山生蚝海蛎子顺丰包邮</t>
        </is>
      </c>
      <c r="I292" t="inlineStr">
        <is>
          <t>690c70971b787900010866cc</t>
        </is>
      </c>
      <c r="J292" t="n">
        <v>14.0</v>
      </c>
      <c r="K292" t="n">
        <v>0.0</v>
      </c>
      <c r="L292" t="n">
        <v>0.0</v>
      </c>
      <c r="M292" t="n">
        <v>1.0</v>
      </c>
      <c r="N292" t="n">
        <v>0.0136986301369863</v>
      </c>
      <c r="O292" t="n">
        <v>1.0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inlineStr">
        <is>
          <t/>
        </is>
      </c>
      <c r="X292" t="n">
        <v>0.0</v>
      </c>
      <c r="Y292" t="n">
        <v>0.0</v>
      </c>
      <c r="Z292" t="n">
        <v>2.0</v>
      </c>
      <c r="AA292" t="n">
        <v>0.0</v>
      </c>
      <c r="AB292" t="n">
        <v>0.0</v>
      </c>
      <c r="AC292" t="n">
        <v>0.0</v>
      </c>
      <c r="AD292" t="n">
        <v>73.0</v>
      </c>
      <c r="AE292" t="n">
        <v>1.0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6.315068493150685</v>
      </c>
      <c r="AL292" t="inlineStr">
        <is>
          <t>0.14285714285714285</t>
        </is>
      </c>
    </row>
    <row r="293">
      <c r="A293" t="inlineStr">
        <is>
          <t>替我妈通知一下：69块五袋虾仁到货了😋</t>
        </is>
      </c>
      <c r="B293" t="inlineStr">
        <is>
          <t>69edaaaa000000001a034ae8</t>
        </is>
      </c>
      <c r="C293" s="292" t="n">
        <f>HYPERLINK("https://www.xiaohongshu.com/explore/69edaaaa000000001a034ae8?xsec_token=TB3T22OHPTz18Ew6RRyYsIrHn85FXBtG5Mc3QTqYIS0Bw=&amp;xsec_source=pc_trdark","https://www.xiaohongshu.com/explore/69edaaaa000000001a034ae8?xsec_token=TB3T22OHPTz18Ew6RRyYsIrHn85FXBtG5Mc3QTqYIS0Bw=&amp;xsec_source=pc_trdark")</f>
        <v>0.0</v>
      </c>
      <c r="D293" t="inlineStr">
        <is>
          <t>菲菲上班吃什么</t>
        </is>
      </c>
      <c r="E293" t="inlineStr">
        <is>
          <t>49936530607</t>
        </is>
      </c>
      <c r="F293" t="inlineStr">
        <is>
          <t>2026-04-26 14:03:22</t>
        </is>
      </c>
      <c r="G293" t="inlineStr">
        <is>
          <t>图文</t>
        </is>
      </c>
      <c r="H293" t="inlineStr">
        <is>
          <t>手剥虾仁 无冰衣无添加 低脂餐一人食 上班带饭 顺丰包邮 5盒装</t>
        </is>
      </c>
      <c r="I293" t="inlineStr">
        <is>
          <t>694baba01d450d00013662f0</t>
        </is>
      </c>
      <c r="J293" t="inlineStr">
        <is>
          <t/>
        </is>
      </c>
      <c r="K293" t="n">
        <v>69.0</v>
      </c>
      <c r="L293" t="n">
        <v>1.0</v>
      </c>
      <c r="M293" t="n">
        <v>7.0</v>
      </c>
      <c r="N293" t="inlineStr">
        <is>
          <t>0.09722222222222222</t>
        </is>
      </c>
      <c r="O293" t="n">
        <v>7.0</v>
      </c>
      <c r="P293" t="n">
        <v>1.0</v>
      </c>
      <c r="Q293" t="inlineStr">
        <is>
          <t>0.14285714285714285</t>
        </is>
      </c>
      <c r="R293" t="inlineStr">
        <is>
          <t>0.14285714285714285</t>
        </is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72.0</v>
      </c>
      <c r="AE293" t="n">
        <v>0.0</v>
      </c>
      <c r="AF293" t="n">
        <v>0.0</v>
      </c>
      <c r="AG293" t="n">
        <v>0.0</v>
      </c>
      <c r="AH293" t="n">
        <v>1.0</v>
      </c>
      <c r="AI293" t="n">
        <v>0.0</v>
      </c>
      <c r="AJ293" t="n">
        <v>0.0</v>
      </c>
      <c r="AK293" t="n">
        <v>10.527777777777779</v>
      </c>
      <c r="AL293" t="inlineStr">
        <is>
          <t/>
        </is>
      </c>
    </row>
    <row r="294">
      <c r="A294" t="inlineStr">
        <is>
          <t>管理期因为吃虾仁，被同事议论了</t>
        </is>
      </c>
      <c r="B294" t="inlineStr">
        <is>
          <t>69d20f8d000000001a02ea09</t>
        </is>
      </c>
      <c r="C294" s="293" t="n">
        <f>HYPERLINK("https://www.xiaohongshu.com/explore/69d20f8d000000001a02ea09?xsec_token=TBNrOxL8mRPP3W5KJU-iYJr3d1wr1dh4uTL_AWlsy8PRs=&amp;xsec_source=pc_trdark","https://www.xiaohongshu.com/explore/69d20f8d000000001a02ea09?xsec_token=TBNrOxL8mRPP3W5KJU-iYJr3d1wr1dh4uTL_AWlsy8PRs=&amp;xsec_source=pc_trdark")</f>
        <v>0.0</v>
      </c>
      <c r="D294" t="inlineStr">
        <is>
          <t>婉婉上班吃什么</t>
        </is>
      </c>
      <c r="E294" t="inlineStr">
        <is>
          <t>11434449706</t>
        </is>
      </c>
      <c r="F294" t="inlineStr">
        <is>
          <t>2026-04-05 15:30:21</t>
        </is>
      </c>
      <c r="G294" t="inlineStr">
        <is>
          <t>图文</t>
        </is>
      </c>
      <c r="H294" t="inlineStr">
        <is>
          <t>手剥虾仁 无冰衣无添加 低脂餐一人食 上班带饭 顺丰包邮 5盒装</t>
        </is>
      </c>
      <c r="I294" t="inlineStr">
        <is>
          <t>694baba01d450d00013662f0</t>
        </is>
      </c>
      <c r="J294" t="inlineStr">
        <is>
          <t/>
        </is>
      </c>
      <c r="K294" t="n">
        <v>0.0</v>
      </c>
      <c r="L294" t="n">
        <v>0.0</v>
      </c>
      <c r="M294" t="n">
        <v>4.0</v>
      </c>
      <c r="N294" t="inlineStr">
        <is>
          <t>0.05555555555555555</t>
        </is>
      </c>
      <c r="O294" t="n">
        <v>4.0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inlineStr">
        <is>
          <t/>
        </is>
      </c>
      <c r="X294" t="n">
        <v>0.0</v>
      </c>
      <c r="Y294" t="n">
        <v>2.0</v>
      </c>
      <c r="Z294" t="n">
        <v>0.0</v>
      </c>
      <c r="AA294" t="n">
        <v>0.0</v>
      </c>
      <c r="AB294" t="n">
        <v>0.0</v>
      </c>
      <c r="AC294" t="n">
        <v>0.0</v>
      </c>
      <c r="AD294" t="n">
        <v>72.0</v>
      </c>
      <c r="AE294" t="n">
        <v>2.0</v>
      </c>
      <c r="AF294" t="n">
        <v>0.0</v>
      </c>
      <c r="AG294" t="n">
        <v>0.0</v>
      </c>
      <c r="AH294" t="n">
        <v>1.0</v>
      </c>
      <c r="AI294" t="n">
        <v>0.0</v>
      </c>
      <c r="AJ294" t="n">
        <v>0.0</v>
      </c>
      <c r="AK294" t="n">
        <v>10.680555555555555</v>
      </c>
      <c r="AL294" t="inlineStr">
        <is>
          <t/>
        </is>
      </c>
    </row>
    <row r="295">
      <c r="A295" t="inlineStr">
        <is>
          <t>以为69没多少，结果够我吃一周控体餐了🥹</t>
        </is>
      </c>
      <c r="B295" t="inlineStr">
        <is>
          <t>69c136150000000023014524</t>
        </is>
      </c>
      <c r="C295" s="294" t="n">
        <f>HYPERLINK("https://www.xiaohongshu.com/explore/69c136150000000023014524?xsec_token=TBltfkQyXS0u_Ko7SgIzuBYhZpBDkUoNmGlgixHyIAFE0=&amp;xsec_source=pc_trdark","https://www.xiaohongshu.com/explore/69c136150000000023014524?xsec_token=TBltfkQyXS0u_Ko7SgIzuBYhZpBDkUoNmGlgixHyIAFE0=&amp;xsec_source=pc_trdark")</f>
        <v>0.0</v>
      </c>
      <c r="D295" t="inlineStr">
        <is>
          <t>鲜水湾</t>
        </is>
      </c>
      <c r="E295" t="inlineStr">
        <is>
          <t>49316638994</t>
        </is>
      </c>
      <c r="F295" t="inlineStr">
        <is>
          <t>2026-03-23 20:46:13</t>
        </is>
      </c>
      <c r="G295" t="inlineStr">
        <is>
          <t>图文</t>
        </is>
      </c>
      <c r="H295" t="inlineStr">
        <is>
          <t>手剥虾仁 无冰衣无添加 低脂餐一人食 上班带饭 顺丰包邮 5盒装</t>
        </is>
      </c>
      <c r="I295" t="inlineStr">
        <is>
          <t>694baba01d450d00013662f0</t>
        </is>
      </c>
      <c r="J295" t="inlineStr">
        <is>
          <t/>
        </is>
      </c>
      <c r="K295" t="n">
        <v>0.0</v>
      </c>
      <c r="L295" t="n">
        <v>0.0</v>
      </c>
      <c r="M295" t="n">
        <v>11.0</v>
      </c>
      <c r="N295" t="n">
        <v>0.1527777777777778</v>
      </c>
      <c r="O295" t="n">
        <v>10.0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inlineStr">
        <is>
          <t/>
        </is>
      </c>
      <c r="X295" t="n">
        <v>0.0</v>
      </c>
      <c r="Y295" t="n">
        <v>1.0</v>
      </c>
      <c r="Z295" t="n">
        <v>0.0</v>
      </c>
      <c r="AA295" t="n">
        <v>0.0</v>
      </c>
      <c r="AB295" t="n">
        <v>0.0</v>
      </c>
      <c r="AC295" t="n">
        <v>0.0</v>
      </c>
      <c r="AD295" t="n">
        <v>72.0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10.98611111111111</v>
      </c>
      <c r="AL295" t="inlineStr">
        <is>
          <t/>
        </is>
      </c>
    </row>
    <row r="296">
      <c r="A296" t="inlineStr">
        <is>
          <t>轻断食 真的会So！！！</t>
        </is>
      </c>
      <c r="B296" t="inlineStr">
        <is>
          <t>69ecb38d000000001f001453</t>
        </is>
      </c>
      <c r="C296" s="295" t="n">
        <f>HYPERLINK("https://www.xiaohongshu.com/explore/69ecb38d000000001f001453?xsec_token=TBnoSF_--XRDuLtfF77lVqPzmBP6txFLRe1sGAcnYMMuY=&amp;xsec_source=pc_trdark","https://www.xiaohongshu.com/explore/69ecb38d000000001f001453?xsec_token=TBnoSF_--XRDuLtfF77lVqPzmBP6txFLRe1sGAcnYMMuY=&amp;xsec_source=pc_trdark")</f>
        <v>0.0</v>
      </c>
      <c r="D296" t="inlineStr">
        <is>
          <t>菲菲上班吃什么</t>
        </is>
      </c>
      <c r="E296" t="inlineStr">
        <is>
          <t>49936530607</t>
        </is>
      </c>
      <c r="F296" t="inlineStr">
        <is>
          <t>2026-04-25 21:30:00</t>
        </is>
      </c>
      <c r="G296" t="inlineStr">
        <is>
          <t>图文</t>
        </is>
      </c>
      <c r="H296" t="inlineStr">
        <is>
          <t>手剥虾仁 无冰衣无添加 低脂餐一人食 上班带饭 顺丰包邮 5盒装</t>
        </is>
      </c>
      <c r="I296" t="inlineStr">
        <is>
          <t>694baba01d450d00013662f0</t>
        </is>
      </c>
      <c r="J296" t="inlineStr">
        <is>
          <t/>
        </is>
      </c>
      <c r="K296" t="n">
        <v>0.0</v>
      </c>
      <c r="L296" t="n">
        <v>0.0</v>
      </c>
      <c r="M296" t="n">
        <v>4.0</v>
      </c>
      <c r="N296" t="inlineStr">
        <is>
          <t>0.056338028169014086</t>
        </is>
      </c>
      <c r="O296" t="n">
        <v>4.0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inlineStr">
        <is>
          <t/>
        </is>
      </c>
      <c r="X296" t="n">
        <v>0.0</v>
      </c>
      <c r="Y296" t="n">
        <v>1.0</v>
      </c>
      <c r="Z296" t="n">
        <v>3.0</v>
      </c>
      <c r="AA296" t="n">
        <v>0.0</v>
      </c>
      <c r="AB296" t="n">
        <v>0.0</v>
      </c>
      <c r="AC296" t="n">
        <v>0.0</v>
      </c>
      <c r="AD296" t="n">
        <v>71.0</v>
      </c>
      <c r="AE296" t="n">
        <v>2.0</v>
      </c>
      <c r="AF296" t="n">
        <v>3.0</v>
      </c>
      <c r="AG296" t="n">
        <v>0.0</v>
      </c>
      <c r="AH296" t="n">
        <v>2.0</v>
      </c>
      <c r="AI296" t="n">
        <v>0.0</v>
      </c>
      <c r="AJ296" t="n">
        <v>0.0</v>
      </c>
      <c r="AK296" t="n">
        <v>15.661971830985916</v>
      </c>
      <c r="AL296" t="inlineStr">
        <is>
          <t/>
        </is>
      </c>
    </row>
    <row r="297">
      <c r="A297" t="inlineStr">
        <is>
          <t>和老爸商量了，推出适合减脂人的独立包装</t>
        </is>
      </c>
      <c r="B297" t="inlineStr">
        <is>
          <t>69d35f8b000000001f00250d</t>
        </is>
      </c>
      <c r="C297" s="296" t="n">
        <f>HYPERLINK("https://www.xiaohongshu.com/explore/69d35f8b000000001f00250d?xsec_token=TBhEDzysvLbwbBD8CIa_-jsbQLOB8GGIVRrN3PV_Ri-Co=&amp;xsec_source=pc_trdark","https://www.xiaohongshu.com/explore/69d35f8b000000001f00250d?xsec_token=TBhEDzysvLbwbBD8CIa_-jsbQLOB8GGIVRrN3PV_Ri-Co=&amp;xsec_source=pc_trdark")</f>
        <v>0.0</v>
      </c>
      <c r="D297" t="inlineStr">
        <is>
          <t>鲜水湾</t>
        </is>
      </c>
      <c r="E297" t="inlineStr">
        <is>
          <t>49316638994</t>
        </is>
      </c>
      <c r="F297" t="inlineStr">
        <is>
          <t>2026-04-06 15:23:55</t>
        </is>
      </c>
      <c r="G297" t="inlineStr">
        <is>
          <t>图文</t>
        </is>
      </c>
      <c r="H297" t="inlineStr">
        <is>
          <t>手剥虾仁 无冰衣无添加 低脂餐一人食 上班带饭 顺丰包邮 5盒装</t>
        </is>
      </c>
      <c r="I297" t="inlineStr">
        <is>
          <t>694baba01d450d00013662f0</t>
        </is>
      </c>
      <c r="J297" t="inlineStr">
        <is>
          <t/>
        </is>
      </c>
      <c r="K297" t="n">
        <v>0.0</v>
      </c>
      <c r="L297" t="n">
        <v>0.0</v>
      </c>
      <c r="M297" t="n">
        <v>8.0</v>
      </c>
      <c r="N297" t="inlineStr">
        <is>
          <t>0.11267605633802817</t>
        </is>
      </c>
      <c r="O297" t="n">
        <v>7.0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inlineStr">
        <is>
          <t/>
        </is>
      </c>
      <c r="X297" t="n">
        <v>0.0</v>
      </c>
      <c r="Y297" t="n">
        <v>2.0</v>
      </c>
      <c r="Z297" t="n">
        <v>3.0</v>
      </c>
      <c r="AA297" t="n">
        <v>0.0</v>
      </c>
      <c r="AB297" t="n">
        <v>0.0</v>
      </c>
      <c r="AC297" t="n">
        <v>0.0</v>
      </c>
      <c r="AD297" t="n">
        <v>71.0</v>
      </c>
      <c r="AE297" t="n">
        <v>1.0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9.774647887323944</v>
      </c>
      <c r="AL297" t="inlineStr">
        <is>
          <t/>
        </is>
      </c>
    </row>
    <row r="298">
      <c r="A298" t="inlineStr">
        <is>
          <t>在家煎三文鱼人均才20块，餐厅看了都沉默</t>
        </is>
      </c>
      <c r="B298" t="inlineStr">
        <is>
          <t>69d4a33b0000000023004b3e</t>
        </is>
      </c>
      <c r="C298" s="297" t="n">
        <f>HYPERLINK("https://www.xiaohongshu.com/explore/69d4a33b0000000023004b3e?xsec_token=TBCfzrc-PQxdd2ruCVqHUjYqiaX3rgrmhBrFXbYKfE57M=&amp;xsec_source=pc_trdark","https://www.xiaohongshu.com/explore/69d4a33b0000000023004b3e?xsec_token=TBCfzrc-PQxdd2ruCVqHUjYqiaX3rgrmhBrFXbYKfE57M=&amp;xsec_source=pc_trdark")</f>
        <v>0.0</v>
      </c>
      <c r="D298" t="inlineStr">
        <is>
          <t>鲜水湾</t>
        </is>
      </c>
      <c r="E298" t="inlineStr">
        <is>
          <t>49316638994</t>
        </is>
      </c>
      <c r="F298" t="inlineStr">
        <is>
          <t>2026-04-07 14:24:59</t>
        </is>
      </c>
      <c r="G298" t="inlineStr">
        <is>
          <t>图文</t>
        </is>
      </c>
      <c r="H298" t="inlineStr">
        <is>
          <t>智利三文鱼切块·整条三文鱼·深海鱼一人食健康饮食</t>
        </is>
      </c>
      <c r="I298" t="inlineStr">
        <is>
          <t>691ac562a524ee0001b51d7b</t>
        </is>
      </c>
      <c r="J298" t="inlineStr">
        <is>
          <t/>
        </is>
      </c>
      <c r="K298" t="n">
        <v>0.0</v>
      </c>
      <c r="L298" t="n">
        <v>0.0</v>
      </c>
      <c r="M298" t="n">
        <v>10.0</v>
      </c>
      <c r="N298" t="inlineStr">
        <is>
          <t>0.14285714285714285</t>
        </is>
      </c>
      <c r="O298" t="n">
        <v>8.0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inlineStr">
        <is>
          <t/>
        </is>
      </c>
      <c r="X298" t="n">
        <v>0.0</v>
      </c>
      <c r="Y298" t="n">
        <v>0.0</v>
      </c>
      <c r="Z298" t="n">
        <v>8.0</v>
      </c>
      <c r="AA298" t="n">
        <v>0.0</v>
      </c>
      <c r="AB298" t="n">
        <v>0.0</v>
      </c>
      <c r="AC298" t="n">
        <v>0.0</v>
      </c>
      <c r="AD298" t="n">
        <v>70.0</v>
      </c>
      <c r="AE298" t="n">
        <v>1.0</v>
      </c>
      <c r="AF298" t="n">
        <v>0.0</v>
      </c>
      <c r="AG298" t="n">
        <v>0.0</v>
      </c>
      <c r="AH298" t="n">
        <v>1.0</v>
      </c>
      <c r="AI298" t="n">
        <v>0.0</v>
      </c>
      <c r="AJ298" t="n">
        <v>0.0</v>
      </c>
      <c r="AK298" t="n">
        <v>12.314285714285715</v>
      </c>
      <c r="AL298" t="inlineStr">
        <is>
          <t/>
        </is>
      </c>
    </row>
    <row r="299">
      <c r="A299" t="inlineStr">
        <is>
          <t>健身搭子对我每天吃一盒虾，表示很奢侈</t>
        </is>
      </c>
      <c r="B299" t="inlineStr">
        <is>
          <t>69ce378a000000002200c76d</t>
        </is>
      </c>
      <c r="C299" s="298" t="n">
        <f>HYPERLINK("https://www.xiaohongshu.com/explore/69ce378a000000002200c76d?xsec_token=TBclHZuM5_fs2QanfU7vVSEnl4D22alXgV7PIETQ1a858=&amp;xsec_source=pc_trdark","https://www.xiaohongshu.com/explore/69ce378a000000002200c76d?xsec_token=TBclHZuM5_fs2QanfU7vVSEnl4D22alXgV7PIETQ1a858=&amp;xsec_source=pc_trdark")</f>
        <v>0.0</v>
      </c>
      <c r="D299" t="inlineStr">
        <is>
          <t>鲜水湾甄选</t>
        </is>
      </c>
      <c r="E299" t="inlineStr">
        <is>
          <t>27401929161</t>
        </is>
      </c>
      <c r="F299" t="inlineStr">
        <is>
          <t>2026-04-02 17:31:54</t>
        </is>
      </c>
      <c r="G299" t="inlineStr">
        <is>
          <t>图文</t>
        </is>
      </c>
      <c r="H299" t="inlineStr">
        <is>
          <t>手剥虾仁 无冰衣无添加 低脂餐一人食 上班带饭 顺丰包邮 5盒装</t>
        </is>
      </c>
      <c r="I299" t="inlineStr">
        <is>
          <t>694baba01d450d00013662f0</t>
        </is>
      </c>
      <c r="J299" t="inlineStr">
        <is>
          <t/>
        </is>
      </c>
      <c r="K299" t="n">
        <v>0.0</v>
      </c>
      <c r="L299" t="n">
        <v>0.0</v>
      </c>
      <c r="M299" t="n">
        <v>12.0</v>
      </c>
      <c r="N299" t="inlineStr">
        <is>
          <t>0.17142857142857143</t>
        </is>
      </c>
      <c r="O299" t="n">
        <v>11.0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inlineStr">
        <is>
          <t/>
        </is>
      </c>
      <c r="X299" t="n">
        <v>0.0</v>
      </c>
      <c r="Y299" t="n">
        <v>1.0</v>
      </c>
      <c r="Z299" t="n">
        <v>3.0</v>
      </c>
      <c r="AA299" t="n">
        <v>0.0</v>
      </c>
      <c r="AB299" t="n">
        <v>0.0</v>
      </c>
      <c r="AC299" t="n">
        <v>0.0</v>
      </c>
      <c r="AD299" t="n">
        <v>70.0</v>
      </c>
      <c r="AE299" t="n">
        <v>0.0</v>
      </c>
      <c r="AF299" t="n">
        <v>0.0</v>
      </c>
      <c r="AG299" t="n">
        <v>0.0</v>
      </c>
      <c r="AH299" t="n">
        <v>1.0</v>
      </c>
      <c r="AI299" t="n">
        <v>0.0</v>
      </c>
      <c r="AJ299" t="n">
        <v>0.0</v>
      </c>
      <c r="AK299" t="n">
        <v>12.085714285714285</v>
      </c>
      <c r="AL299" t="inlineStr">
        <is>
          <t/>
        </is>
      </c>
    </row>
    <row r="300">
      <c r="A300" t="inlineStr">
        <is>
          <t>现在的年轻人严重低估了69块的购买力</t>
        </is>
      </c>
      <c r="B300" t="inlineStr">
        <is>
          <t>69ca24df000000001b022c22</t>
        </is>
      </c>
      <c r="C300" s="299" t="n">
        <f>HYPERLINK("https://www.xiaohongshu.com/explore/69ca24df000000001b022c22?xsec_token=TBZMwIQ43aS0K0DsaEHGlBqosj0EBjgrntys_kzlYxhys=&amp;xsec_source=pc_trdark","https://www.xiaohongshu.com/explore/69ca24df000000001b022c22?xsec_token=TBZMwIQ43aS0K0DsaEHGlBqosj0EBjgrntys_kzlYxhys=&amp;xsec_source=pc_trdark")</f>
        <v>0.0</v>
      </c>
      <c r="D300" t="inlineStr">
        <is>
          <t>婉婉上班吃什么</t>
        </is>
      </c>
      <c r="E300" t="inlineStr">
        <is>
          <t>11434449706</t>
        </is>
      </c>
      <c r="F300" t="inlineStr">
        <is>
          <t>2026-03-30 15:23:11</t>
        </is>
      </c>
      <c r="G300" t="inlineStr">
        <is>
          <t>图文</t>
        </is>
      </c>
      <c r="H300" t="inlineStr">
        <is>
          <t>手剥虾仁 无冰衣无添加 低脂餐一人食 上班带饭 顺丰包邮 5盒装</t>
        </is>
      </c>
      <c r="I300" t="inlineStr">
        <is>
          <t>694baba01d450d00013662f0</t>
        </is>
      </c>
      <c r="J300" t="inlineStr">
        <is>
          <t/>
        </is>
      </c>
      <c r="K300" t="n">
        <v>0.0</v>
      </c>
      <c r="L300" t="n">
        <v>0.0</v>
      </c>
      <c r="M300" t="n">
        <v>17.0</v>
      </c>
      <c r="N300" t="inlineStr">
        <is>
          <t>0.24285714285714285</t>
        </is>
      </c>
      <c r="O300" t="n">
        <v>16.0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inlineStr">
        <is>
          <t/>
        </is>
      </c>
      <c r="X300" t="n">
        <v>0.0</v>
      </c>
      <c r="Y300" t="n">
        <v>4.0</v>
      </c>
      <c r="Z300" t="n">
        <v>3.0</v>
      </c>
      <c r="AA300" t="n">
        <v>0.0</v>
      </c>
      <c r="AB300" t="n">
        <v>0.0</v>
      </c>
      <c r="AC300" t="n">
        <v>0.0</v>
      </c>
      <c r="AD300" t="n">
        <v>70.0</v>
      </c>
      <c r="AE300" t="n">
        <v>1.0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13.914285714285715</v>
      </c>
      <c r="AL300" t="inlineStr">
        <is>
          <t/>
        </is>
      </c>
    </row>
    <row r="301">
      <c r="A301" t="inlineStr">
        <is>
          <t>以为100块没多少，结果够我自律期吃半个月了</t>
        </is>
      </c>
      <c r="B301" t="inlineStr">
        <is>
          <t>69c1f172000000001b0235d8</t>
        </is>
      </c>
      <c r="C301" s="300" t="n">
        <f>HYPERLINK("https://www.xiaohongshu.com/explore/69c1f172000000001b0235d8?xsec_token=TBltfkQyXS0u_Ko7SgIzuBYioy9b9lBs3Ey2ozWJqU_EQ=&amp;xsec_source=pc_trdark","https://www.xiaohongshu.com/explore/69c1f172000000001b0235d8?xsec_token=TBltfkQyXS0u_Ko7SgIzuBYioy9b9lBs3Ey2ozWJqU_EQ=&amp;xsec_source=pc_trdark")</f>
        <v>0.0</v>
      </c>
      <c r="D301" t="inlineStr">
        <is>
          <t>婉婉上班吃什么</t>
        </is>
      </c>
      <c r="E301" t="inlineStr">
        <is>
          <t>11434449706</t>
        </is>
      </c>
      <c r="F301" t="inlineStr">
        <is>
          <t>2026-03-24 10:05:38</t>
        </is>
      </c>
      <c r="G301" t="inlineStr">
        <is>
          <t>图文</t>
        </is>
      </c>
      <c r="H301" t="inlineStr">
        <is>
          <t>手剥虾仁 无冰衣无添加 低脂餐一人食 上班带饭 顺丰包邮 5盒装</t>
        </is>
      </c>
      <c r="I301" t="inlineStr">
        <is>
          <t>694baba01d450d00013662f0</t>
        </is>
      </c>
      <c r="J301" t="inlineStr">
        <is>
          <t/>
        </is>
      </c>
      <c r="K301" t="n">
        <v>0.0</v>
      </c>
      <c r="L301" t="n">
        <v>0.0</v>
      </c>
      <c r="M301" t="n">
        <v>29.0</v>
      </c>
      <c r="N301" t="n">
        <v>0.4142857142857143</v>
      </c>
      <c r="O301" t="n">
        <v>24.0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inlineStr">
        <is>
          <t/>
        </is>
      </c>
      <c r="X301" t="n">
        <v>0.0</v>
      </c>
      <c r="Y301" t="n">
        <v>3.0</v>
      </c>
      <c r="Z301" t="n">
        <v>7.0</v>
      </c>
      <c r="AA301" t="n">
        <v>0.0</v>
      </c>
      <c r="AB301" t="n">
        <v>0.0</v>
      </c>
      <c r="AC301" t="n">
        <v>0.0</v>
      </c>
      <c r="AD301" t="n">
        <v>70.0</v>
      </c>
      <c r="AE301" t="n">
        <v>0.0</v>
      </c>
      <c r="AF301" t="n">
        <v>1.0</v>
      </c>
      <c r="AG301" t="n">
        <v>0.0</v>
      </c>
      <c r="AH301" t="n">
        <v>0.0</v>
      </c>
      <c r="AI301" t="n">
        <v>0.0</v>
      </c>
      <c r="AJ301" t="n">
        <v>0.0</v>
      </c>
      <c r="AK301" t="n">
        <v>19.942857142857143</v>
      </c>
      <c r="AL301" t="inlineStr">
        <is>
          <t/>
        </is>
      </c>
    </row>
    <row r="302">
      <c r="A302" t="inlineStr">
        <is>
          <t>脱脂牛马的工作餐，终于又一次100斤了</t>
        </is>
      </c>
      <c r="B302" t="inlineStr">
        <is>
          <t>69d357b80000000022027ad8</t>
        </is>
      </c>
      <c r="C302" s="301" t="n">
        <f>HYPERLINK("https://www.xiaohongshu.com/explore/69d357b80000000022027ad8?xsec_token=TBhEDzysvLbwbBD8CIa_-jsQLs7WYqV5oZ0SqwtSVlqWo=&amp;xsec_source=pc_trdark","https://www.xiaohongshu.com/explore/69d357b80000000022027ad8?xsec_token=TBhEDzysvLbwbBD8CIa_-jsQLs7WYqV5oZ0SqwtSVlqWo=&amp;xsec_source=pc_trdark")</f>
        <v>0.0</v>
      </c>
      <c r="D302" t="inlineStr">
        <is>
          <t>婉婉上班吃什么</t>
        </is>
      </c>
      <c r="E302" t="inlineStr">
        <is>
          <t>11434449706</t>
        </is>
      </c>
      <c r="F302" t="inlineStr">
        <is>
          <t>2026-04-06 14:50:32</t>
        </is>
      </c>
      <c r="G302" t="inlineStr">
        <is>
          <t>图文</t>
        </is>
      </c>
      <c r="H302" t="inlineStr">
        <is>
          <t>手剥虾仁 无冰衣无添加 低脂餐一人食 上班带饭 顺丰包邮 5盒装</t>
        </is>
      </c>
      <c r="I302" t="inlineStr">
        <is>
          <t>694baba01d450d00013662f0</t>
        </is>
      </c>
      <c r="J302" t="inlineStr">
        <is>
          <t/>
        </is>
      </c>
      <c r="K302" t="n">
        <v>69.0</v>
      </c>
      <c r="L302" t="n">
        <v>1.0</v>
      </c>
      <c r="M302" t="n">
        <v>9.0</v>
      </c>
      <c r="N302" t="inlineStr">
        <is>
          <t>0.13043478260869565</t>
        </is>
      </c>
      <c r="O302" t="n">
        <v>8.0</v>
      </c>
      <c r="P302" t="n">
        <v>1.0</v>
      </c>
      <c r="Q302" t="n">
        <v>0.1111111111111111</v>
      </c>
      <c r="R302" t="n">
        <v>0.125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5.0</v>
      </c>
      <c r="AA302" t="n">
        <v>69.0</v>
      </c>
      <c r="AB302" t="n">
        <v>0.0</v>
      </c>
      <c r="AC302" t="n">
        <v>0.0</v>
      </c>
      <c r="AD302" t="n">
        <v>69.0</v>
      </c>
      <c r="AE302" t="n">
        <v>3.0</v>
      </c>
      <c r="AF302" t="n">
        <v>1.0</v>
      </c>
      <c r="AG302" t="n">
        <v>0.0</v>
      </c>
      <c r="AH302" t="n">
        <v>1.0</v>
      </c>
      <c r="AI302" t="n">
        <v>0.0</v>
      </c>
      <c r="AJ302" t="n">
        <v>0.0</v>
      </c>
      <c r="AK302" t="n">
        <v>13.405797101449275</v>
      </c>
      <c r="AL302" t="inlineStr">
        <is>
          <t/>
        </is>
      </c>
    </row>
    <row r="303">
      <c r="A303" t="inlineStr">
        <is>
          <t>本来不想买，奈何69够吃一周上班带饭</t>
        </is>
      </c>
      <c r="B303" t="inlineStr">
        <is>
          <t>69c8c36d0000000022026a5b</t>
        </is>
      </c>
      <c r="C303" s="302" t="n">
        <f>HYPERLINK("https://www.xiaohongshu.com/explore/69c8c36d0000000022026a5b?xsec_token=TBSs0bsvi6YGXB042lLCz_JDpFXOSy-8y1dXVT4VENTz8=&amp;xsec_source=pc_trdark","https://www.xiaohongshu.com/explore/69c8c36d0000000022026a5b?xsec_token=TBSs0bsvi6YGXB042lLCz_JDpFXOSy-8y1dXVT4VENTz8=&amp;xsec_source=pc_trdark")</f>
        <v>0.0</v>
      </c>
      <c r="D303" t="inlineStr">
        <is>
          <t>婉婉上班吃什么</t>
        </is>
      </c>
      <c r="E303" t="inlineStr">
        <is>
          <t>11434449706</t>
        </is>
      </c>
      <c r="F303" t="inlineStr">
        <is>
          <t>2026-03-29 14:15:09</t>
        </is>
      </c>
      <c r="G303" t="inlineStr">
        <is>
          <t>图文</t>
        </is>
      </c>
      <c r="H303" t="inlineStr">
        <is>
          <t>手剥虾仁 无冰衣无添加 低脂餐一人食 上班带饭 顺丰包邮 5盒装</t>
        </is>
      </c>
      <c r="I303" t="inlineStr">
        <is>
          <t>694baba01d450d00013662f0</t>
        </is>
      </c>
      <c r="J303" t="inlineStr">
        <is>
          <t/>
        </is>
      </c>
      <c r="K303" t="n">
        <v>0.0</v>
      </c>
      <c r="L303" t="n">
        <v>0.0</v>
      </c>
      <c r="M303" t="n">
        <v>12.0</v>
      </c>
      <c r="N303" t="inlineStr">
        <is>
          <t>0.17391304347826086</t>
        </is>
      </c>
      <c r="O303" t="n">
        <v>11.0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inlineStr">
        <is>
          <t/>
        </is>
      </c>
      <c r="X303" t="n">
        <v>0.0</v>
      </c>
      <c r="Y303" t="n">
        <v>2.0</v>
      </c>
      <c r="Z303" t="n">
        <v>4.0</v>
      </c>
      <c r="AA303" t="n">
        <v>0.0</v>
      </c>
      <c r="AB303" t="n">
        <v>0.0</v>
      </c>
      <c r="AC303" t="n">
        <v>0.0</v>
      </c>
      <c r="AD303" t="n">
        <v>69.0</v>
      </c>
      <c r="AE303" t="n">
        <v>1.0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15.768115942028986</v>
      </c>
      <c r="AL303" t="inlineStr">
        <is>
          <t/>
        </is>
      </c>
    </row>
    <row r="304">
      <c r="A304" t="inlineStr">
        <is>
          <t>100块搞定半个月轻食！</t>
        </is>
      </c>
      <c r="B304" t="inlineStr">
        <is>
          <t>69c160d200000000220286e8</t>
        </is>
      </c>
      <c r="C304" s="303" t="n">
        <f>HYPERLINK("https://www.xiaohongshu.com/explore/69c160d200000000220286e8?xsec_token=TBltfkQyXS0u_Ko7SgIzuBYswyYeIA_ICVuzn23_suCO8=&amp;xsec_source=pc_trdark","https://www.xiaohongshu.com/explore/69c160d200000000220286e8?xsec_token=TBltfkQyXS0u_Ko7SgIzuBYswyYeIA_ICVuzn23_suCO8=&amp;xsec_source=pc_trdark")</f>
        <v>0.0</v>
      </c>
      <c r="D304" t="inlineStr">
        <is>
          <t>婉婉上班吃什么</t>
        </is>
      </c>
      <c r="E304" t="inlineStr">
        <is>
          <t>11434449706</t>
        </is>
      </c>
      <c r="F304" t="inlineStr">
        <is>
          <t>2026-03-23 23:48:34</t>
        </is>
      </c>
      <c r="G304" t="inlineStr">
        <is>
          <t>图文</t>
        </is>
      </c>
      <c r="H304" t="inlineStr">
        <is>
          <t>手剥虾仁 无冰衣无添加 低脂餐一人食 上班带饭 顺丰包邮 5盒装</t>
        </is>
      </c>
      <c r="I304" t="inlineStr">
        <is>
          <t>694baba01d450d00013662f0</t>
        </is>
      </c>
      <c r="J304" t="inlineStr">
        <is>
          <t/>
        </is>
      </c>
      <c r="K304" t="n">
        <v>128.0</v>
      </c>
      <c r="L304" t="n">
        <v>1.0</v>
      </c>
      <c r="M304" t="n">
        <v>18.0</v>
      </c>
      <c r="N304" t="n">
        <v>0.2608695652173913</v>
      </c>
      <c r="O304" t="n">
        <v>17.0</v>
      </c>
      <c r="P304" t="n">
        <v>1.0</v>
      </c>
      <c r="Q304" t="inlineStr">
        <is>
          <t>0.05555555555555555</t>
        </is>
      </c>
      <c r="R304" t="inlineStr">
        <is>
          <t>0.058823529411764705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4.0</v>
      </c>
      <c r="Z304" t="n">
        <v>2.0</v>
      </c>
      <c r="AA304" t="n">
        <v>0.0</v>
      </c>
      <c r="AB304" t="n">
        <v>0.0</v>
      </c>
      <c r="AC304" t="n">
        <v>0.0</v>
      </c>
      <c r="AD304" t="n">
        <v>69.0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16.043478260869566</v>
      </c>
      <c r="AL304" t="inlineStr">
        <is>
          <t/>
        </is>
      </c>
    </row>
    <row r="305">
      <c r="A305" t="inlineStr">
        <is>
          <t>晚上只吃虾会变瘦是真的</t>
        </is>
      </c>
      <c r="B305" t="inlineStr">
        <is>
          <t>69aaca22000000000e03d2a2</t>
        </is>
      </c>
      <c r="C305" s="304" t="n">
        <f>HYPERLINK("https://www.xiaohongshu.com/explore/69aaca22000000000e03d2a2?xsec_token=TB8xU8BGf5cxJmpLtWj3tacacLC0Rmrw5mKoYR2flThQg=&amp;xsec_source=pc_trdark","https://www.xiaohongshu.com/explore/69aaca22000000000e03d2a2?xsec_token=TB8xU8BGf5cxJmpLtWj3tacacLC0Rmrw5mKoYR2flThQg=&amp;xsec_source=pc_trdark")</f>
        <v>0.0</v>
      </c>
      <c r="D305" t="inlineStr">
        <is>
          <t>婉婉上班吃什么</t>
        </is>
      </c>
      <c r="E305" t="inlineStr">
        <is>
          <t>11434449706</t>
        </is>
      </c>
      <c r="F305" t="inlineStr">
        <is>
          <t>2026-03-06 20:35:46</t>
        </is>
      </c>
      <c r="G305" t="inlineStr">
        <is>
          <t>图文</t>
        </is>
      </c>
      <c r="H305" t="inlineStr">
        <is>
          <t>大虾基围虾王牌大虾厄瓜多尔白虾盐冻虾仁海洋大虾送礼顺丰包邮</t>
        </is>
      </c>
      <c r="I305" t="inlineStr">
        <is>
          <t>690aeb7be379430001e686ac</t>
        </is>
      </c>
      <c r="J305" t="inlineStr">
        <is>
          <t/>
        </is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inlineStr">
        <is>
          <t/>
        </is>
      </c>
      <c r="R305" t="inlineStr">
        <is>
          <t/>
        </is>
      </c>
      <c r="S305" t="n">
        <v>0.0</v>
      </c>
      <c r="T305" t="n">
        <v>0.0</v>
      </c>
      <c r="U305" t="n">
        <v>0.0</v>
      </c>
      <c r="V305" t="n">
        <v>0.0</v>
      </c>
      <c r="W305" t="inlineStr">
        <is>
          <t/>
        </is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69.0</v>
      </c>
      <c r="AE305" t="n">
        <v>1.0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9.246376811594203</v>
      </c>
      <c r="AL305" t="inlineStr">
        <is>
          <t/>
        </is>
      </c>
    </row>
    <row r="306">
      <c r="A306" t="inlineStr">
        <is>
          <t>找遍山🪵没找到的虾仁，我在小红书上找到了！</t>
        </is>
      </c>
      <c r="B306" t="inlineStr">
        <is>
          <t>69edee670000000035020ef8</t>
        </is>
      </c>
      <c r="C306" s="305" t="n">
        <f>HYPERLINK("https://www.xiaohongshu.com/explore/69edee670000000035020ef8?xsec_token=TB3T22OHPTz18Ew6RRyYsIrGf32VFrti_afxIK2bUhs50=&amp;xsec_source=pc_trdark","https://www.xiaohongshu.com/explore/69edee670000000035020ef8?xsec_token=TB3T22OHPTz18Ew6RRyYsIrGf32VFrti_afxIK2bUhs50=&amp;xsec_source=pc_trdark")</f>
        <v>0.0</v>
      </c>
      <c r="D306" t="inlineStr">
        <is>
          <t>鲜水湾甄选</t>
        </is>
      </c>
      <c r="E306" t="inlineStr">
        <is>
          <t>27401929161</t>
        </is>
      </c>
      <c r="F306" t="inlineStr">
        <is>
          <t>2026-04-26 18:52:23</t>
        </is>
      </c>
      <c r="G306" t="inlineStr">
        <is>
          <t>图文</t>
        </is>
      </c>
      <c r="H306" t="inlineStr">
        <is>
          <t>手剥虾仁 无冰衣无添加 低脂餐一人食 上班带饭 顺丰包邮 5盒装</t>
        </is>
      </c>
      <c r="I306" t="inlineStr">
        <is>
          <t>694baba01d450d00013662f0</t>
        </is>
      </c>
      <c r="J306" t="inlineStr">
        <is>
          <t/>
        </is>
      </c>
      <c r="K306" t="n">
        <v>0.0</v>
      </c>
      <c r="L306" t="n">
        <v>0.0</v>
      </c>
      <c r="M306" t="n">
        <v>9.0</v>
      </c>
      <c r="N306" t="n">
        <v>0.1323529411764706</v>
      </c>
      <c r="O306" t="n">
        <v>8.0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inlineStr">
        <is>
          <t/>
        </is>
      </c>
      <c r="X306" t="n">
        <v>0.0</v>
      </c>
      <c r="Y306" t="n">
        <v>0.0</v>
      </c>
      <c r="Z306" t="n">
        <v>1.0</v>
      </c>
      <c r="AA306" t="n">
        <v>0.0</v>
      </c>
      <c r="AB306" t="n">
        <v>0.0</v>
      </c>
      <c r="AC306" t="n">
        <v>0.0</v>
      </c>
      <c r="AD306" t="n">
        <v>68.0</v>
      </c>
      <c r="AE306" t="n">
        <v>1.0</v>
      </c>
      <c r="AF306" t="n">
        <v>0.0</v>
      </c>
      <c r="AG306" t="n">
        <v>0.0</v>
      </c>
      <c r="AH306" t="n">
        <v>1.0</v>
      </c>
      <c r="AI306" t="n">
        <v>0.0</v>
      </c>
      <c r="AJ306" t="n">
        <v>0.0</v>
      </c>
      <c r="AK306" t="n">
        <v>11.544117647058824</v>
      </c>
      <c r="AL306" t="inlineStr">
        <is>
          <t/>
        </is>
      </c>
    </row>
    <row r="307">
      <c r="A307" t="inlineStr">
        <is>
          <t>感谢315，让我家0添加虾仁被越来越多人看到</t>
        </is>
      </c>
      <c r="B307" t="inlineStr">
        <is>
          <t>69ddd7ae000000001f006a68</t>
        </is>
      </c>
      <c r="C307" s="306" t="n">
        <f>HYPERLINK("https://www.xiaohongshu.com/explore/69ddd7ae000000001f006a68?xsec_token=TB8r3ufLA5jFsQMlCYrT2kPvWlka6fAotvMDRhuAEn8J0=&amp;xsec_source=pc_trdark","https://www.xiaohongshu.com/explore/69ddd7ae000000001f006a68?xsec_token=TB8r3ufLA5jFsQMlCYrT2kPvWlka6fAotvMDRhuAEn8J0=&amp;xsec_source=pc_trdark")</f>
        <v>0.0</v>
      </c>
      <c r="D307" t="inlineStr">
        <is>
          <t>鲜水湾</t>
        </is>
      </c>
      <c r="E307" t="inlineStr">
        <is>
          <t>49316638994</t>
        </is>
      </c>
      <c r="F307" t="inlineStr">
        <is>
          <t>2026-04-14 13:59:10</t>
        </is>
      </c>
      <c r="G307" t="inlineStr">
        <is>
          <t>图文</t>
        </is>
      </c>
      <c r="H307" t="inlineStr">
        <is>
          <t>手剥虾仁 无冰衣无添加 低脂餐一人食 上班带饭 顺丰包邮 5盒装</t>
        </is>
      </c>
      <c r="I307" t="inlineStr">
        <is>
          <t>694baba01d450d00013662f0</t>
        </is>
      </c>
      <c r="J307" t="inlineStr">
        <is>
          <t/>
        </is>
      </c>
      <c r="K307" t="n">
        <v>0.0</v>
      </c>
      <c r="L307" t="n">
        <v>0.0</v>
      </c>
      <c r="M307" t="n">
        <v>19.0</v>
      </c>
      <c r="N307" t="inlineStr">
        <is>
          <t>0.27941176470588236</t>
        </is>
      </c>
      <c r="O307" t="n">
        <v>18.0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inlineStr">
        <is>
          <t/>
        </is>
      </c>
      <c r="X307" t="n">
        <v>0.0</v>
      </c>
      <c r="Y307" t="n">
        <v>1.0</v>
      </c>
      <c r="Z307" t="n">
        <v>3.0</v>
      </c>
      <c r="AA307" t="n">
        <v>0.0</v>
      </c>
      <c r="AB307" t="n">
        <v>0.0</v>
      </c>
      <c r="AC307" t="n">
        <v>0.0</v>
      </c>
      <c r="AD307" t="n">
        <v>68.0</v>
      </c>
      <c r="AE307" t="n">
        <v>2.0</v>
      </c>
      <c r="AF307" t="n">
        <v>0.0</v>
      </c>
      <c r="AG307" t="n">
        <v>0.0</v>
      </c>
      <c r="AH307" t="n">
        <v>2.0</v>
      </c>
      <c r="AI307" t="n">
        <v>0.0</v>
      </c>
      <c r="AJ307" t="n">
        <v>0.0</v>
      </c>
      <c r="AK307" t="n">
        <v>11.426470588235293</v>
      </c>
      <c r="AL307" t="inlineStr">
        <is>
          <t/>
        </is>
      </c>
    </row>
    <row r="308">
      <c r="A308" t="inlineStr">
        <is>
          <t>带了虾仁便当去公司，同事以为我请了私厨</t>
        </is>
      </c>
      <c r="B308" t="inlineStr">
        <is>
          <t>69d7009700000000220286da</t>
        </is>
      </c>
      <c r="C308" s="307" t="n">
        <f>HYPERLINK("https://www.xiaohongshu.com/explore/69d7009700000000220286da?xsec_token=TBabSJw1DqF320Z_FWL3yrQ3EwZGtP4m5ZhmRu0SPIvAQ=&amp;xsec_source=pc_trdark","https://www.xiaohongshu.com/explore/69d7009700000000220286da?xsec_token=TBabSJw1DqF320Z_FWL3yrQ3EwZGtP4m5ZhmRu0SPIvAQ=&amp;xsec_source=pc_trdark")</f>
        <v>0.0</v>
      </c>
      <c r="D308" t="inlineStr">
        <is>
          <t>菲菲上班吃什么</t>
        </is>
      </c>
      <c r="E308" t="inlineStr">
        <is>
          <t>49936530607</t>
        </is>
      </c>
      <c r="F308" t="inlineStr">
        <is>
          <t>2026-04-09 09:27:51</t>
        </is>
      </c>
      <c r="G308" t="inlineStr">
        <is>
          <t>图文</t>
        </is>
      </c>
      <c r="H308" t="inlineStr">
        <is>
          <t>手剥虾仁 无冰衣无添加 低脂餐一人食 上班带饭 顺丰包邮 5盒装</t>
        </is>
      </c>
      <c r="I308" t="inlineStr">
        <is>
          <t>694baba01d450d00013662f0</t>
        </is>
      </c>
      <c r="J308" t="inlineStr">
        <is>
          <t/>
        </is>
      </c>
      <c r="K308" t="n">
        <v>0.0</v>
      </c>
      <c r="L308" t="n">
        <v>0.0</v>
      </c>
      <c r="M308" t="n">
        <v>2.0</v>
      </c>
      <c r="N308" t="inlineStr">
        <is>
          <t>0.029411764705882353</t>
        </is>
      </c>
      <c r="O308" t="n">
        <v>1.0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inlineStr">
        <is>
          <t/>
        </is>
      </c>
      <c r="X308" t="n">
        <v>0.0</v>
      </c>
      <c r="Y308" t="n">
        <v>0.0</v>
      </c>
      <c r="Z308" t="n">
        <v>2.0</v>
      </c>
      <c r="AA308" t="n">
        <v>0.0</v>
      </c>
      <c r="AB308" t="n">
        <v>0.0</v>
      </c>
      <c r="AC308" t="n">
        <v>0.0</v>
      </c>
      <c r="AD308" t="n">
        <v>68.0</v>
      </c>
      <c r="AE308" t="n">
        <v>1.0</v>
      </c>
      <c r="AF308" t="n">
        <v>0.0</v>
      </c>
      <c r="AG308" t="n">
        <v>0.0</v>
      </c>
      <c r="AH308" t="n">
        <v>1.0</v>
      </c>
      <c r="AI308" t="n">
        <v>0.0</v>
      </c>
      <c r="AJ308" t="n">
        <v>0.0</v>
      </c>
      <c r="AK308" t="n">
        <v>7.867647058823529</v>
      </c>
      <c r="AL308" t="inlineStr">
        <is>
          <t/>
        </is>
      </c>
    </row>
    <row r="309">
      <c r="A309" t="inlineStr">
        <is>
          <t>后台回购数据破防了，3年值了</t>
        </is>
      </c>
      <c r="B309" t="inlineStr">
        <is>
          <t>69df2643000000001a037919</t>
        </is>
      </c>
      <c r="C309" s="308" t="n">
        <f>HYPERLINK("https://www.xiaohongshu.com/explore/69df2643000000001a037919?xsec_token=TBbELi6fdmnK2TYKEzYY0fWh7HH__2NsZylHLqebR_Wy8=&amp;xsec_source=pc_trdark","https://www.xiaohongshu.com/explore/69df2643000000001a037919?xsec_token=TBbELi6fdmnK2TYKEzYY0fWh7HH__2NsZylHLqebR_Wy8=&amp;xsec_source=pc_trdark")</f>
        <v>0.0</v>
      </c>
      <c r="D309" t="inlineStr">
        <is>
          <t>鲜水湾</t>
        </is>
      </c>
      <c r="E309" t="inlineStr">
        <is>
          <t>49316638994</t>
        </is>
      </c>
      <c r="F309" t="inlineStr">
        <is>
          <t>2026-04-15 13:46:43</t>
        </is>
      </c>
      <c r="G309" t="inlineStr">
        <is>
          <t>图文</t>
        </is>
      </c>
      <c r="H309" t="inlineStr">
        <is>
          <t>手剥虾仁 无冰衣无添加 低脂餐一人食 上班带饭 顺丰包邮 5盒装</t>
        </is>
      </c>
      <c r="I309" t="inlineStr">
        <is>
          <t>694baba01d450d00013662f0</t>
        </is>
      </c>
      <c r="J309" t="inlineStr">
        <is>
          <t/>
        </is>
      </c>
      <c r="K309" t="n">
        <v>0.0</v>
      </c>
      <c r="L309" t="n">
        <v>0.0</v>
      </c>
      <c r="M309" t="n">
        <v>6.0</v>
      </c>
      <c r="N309" t="inlineStr">
        <is>
          <t>0.08955223880597014</t>
        </is>
      </c>
      <c r="O309" t="n">
        <v>6.0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inlineStr">
        <is>
          <t/>
        </is>
      </c>
      <c r="X309" t="n">
        <v>0.0</v>
      </c>
      <c r="Y309" t="n">
        <v>1.0</v>
      </c>
      <c r="Z309" t="n">
        <v>0.0</v>
      </c>
      <c r="AA309" t="n">
        <v>0.0</v>
      </c>
      <c r="AB309" t="n">
        <v>0.0</v>
      </c>
      <c r="AC309" t="n">
        <v>0.0</v>
      </c>
      <c r="AD309" t="n">
        <v>67.0</v>
      </c>
      <c r="AE309" t="n">
        <v>2.0</v>
      </c>
      <c r="AF309" t="n">
        <v>2.0</v>
      </c>
      <c r="AG309" t="n">
        <v>0.0</v>
      </c>
      <c r="AH309" t="n">
        <v>2.0</v>
      </c>
      <c r="AI309" t="n">
        <v>0.0</v>
      </c>
      <c r="AJ309" t="n">
        <v>0.0</v>
      </c>
      <c r="AK309" t="n">
        <v>7.895522388059701</v>
      </c>
      <c r="AL309" t="inlineStr">
        <is>
          <t/>
        </is>
      </c>
    </row>
    <row r="310">
      <c r="A310" t="inlineStr">
        <is>
          <t>以为 300 没多少，结果把整条三文鱼发来了😂</t>
        </is>
      </c>
      <c r="B310" t="inlineStr">
        <is>
          <t>69ce6d86000000001b023263</t>
        </is>
      </c>
      <c r="C310" s="309" t="n">
        <f>HYPERLINK("https://www.xiaohongshu.com/explore/69ce6d86000000001b023263?xsec_token=TBclHZuM5_fs2QanfU7vVSEp3OU_PNS7RY7VxqE-xzWJ0=&amp;xsec_source=pc_trdark","https://www.xiaohongshu.com/explore/69ce6d86000000001b023263?xsec_token=TBclHZuM5_fs2QanfU7vVSEp3OU_PNS7RY7VxqE-xzWJ0=&amp;xsec_source=pc_trdark")</f>
        <v>0.0</v>
      </c>
      <c r="D310" t="inlineStr">
        <is>
          <t>婉婉上班吃什么</t>
        </is>
      </c>
      <c r="E310" t="inlineStr">
        <is>
          <t>11434449706</t>
        </is>
      </c>
      <c r="F310" t="inlineStr">
        <is>
          <t>2026-04-02 21:22:14</t>
        </is>
      </c>
      <c r="G310" t="inlineStr">
        <is>
          <t>图文</t>
        </is>
      </c>
      <c r="H310" t="inlineStr">
        <is>
          <t>智利三文鱼切块·整条三文鱼·深海鱼一人食健康饮食</t>
        </is>
      </c>
      <c r="I310" t="inlineStr">
        <is>
          <t>691ac562a524ee0001b51d7b</t>
        </is>
      </c>
      <c r="J310" t="inlineStr">
        <is>
          <t/>
        </is>
      </c>
      <c r="K310" t="n">
        <v>0.0</v>
      </c>
      <c r="L310" t="n">
        <v>0.0</v>
      </c>
      <c r="M310" t="n">
        <v>17.0</v>
      </c>
      <c r="N310" t="n">
        <v>0.2537313432835821</v>
      </c>
      <c r="O310" t="n">
        <v>13.0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inlineStr">
        <is>
          <t/>
        </is>
      </c>
      <c r="X310" t="n">
        <v>0.0</v>
      </c>
      <c r="Y310" t="n">
        <v>3.0</v>
      </c>
      <c r="Z310" t="n">
        <v>6.0</v>
      </c>
      <c r="AA310" t="n">
        <v>0.0</v>
      </c>
      <c r="AB310" t="n">
        <v>0.0</v>
      </c>
      <c r="AC310" t="n">
        <v>0.0</v>
      </c>
      <c r="AD310" t="n">
        <v>67.0</v>
      </c>
      <c r="AE310" t="n">
        <v>2.0</v>
      </c>
      <c r="AF310" t="n">
        <v>1.0</v>
      </c>
      <c r="AG310" t="n">
        <v>0.0</v>
      </c>
      <c r="AH310" t="n">
        <v>1.0</v>
      </c>
      <c r="AI310" t="n">
        <v>0.0</v>
      </c>
      <c r="AJ310" t="n">
        <v>0.0</v>
      </c>
      <c r="AK310" t="n">
        <v>20.65671641791045</v>
      </c>
      <c r="AL310" t="inlineStr">
        <is>
          <t/>
        </is>
      </c>
    </row>
    <row r="311">
      <c r="A311" t="inlineStr">
        <is>
          <t>同事问我：天天带饭，是因为穷吗？</t>
        </is>
      </c>
      <c r="B311" t="inlineStr">
        <is>
          <t>69c0d9b80000000023017b7c</t>
        </is>
      </c>
      <c r="C311" s="310" t="n">
        <f>HYPERLINK("https://www.xiaohongshu.com/explore/69c0d9b80000000023017b7c?xsec_token=TBlSRAgxB_sBYkF02kEEKO5zTUqmQEvgLfWbtwclihx_0=&amp;xsec_source=pc_trdark","https://www.xiaohongshu.com/explore/69c0d9b80000000023017b7c?xsec_token=TBlSRAgxB_sBYkF02kEEKO5zTUqmQEvgLfWbtwclihx_0=&amp;xsec_source=pc_trdark")</f>
        <v>0.0</v>
      </c>
      <c r="D311" t="inlineStr">
        <is>
          <t>菲菲上班吃什么</t>
        </is>
      </c>
      <c r="E311" t="inlineStr">
        <is>
          <t>49936530607</t>
        </is>
      </c>
      <c r="F311" t="inlineStr">
        <is>
          <t>2026-03-23 14:12:08</t>
        </is>
      </c>
      <c r="G311" t="inlineStr">
        <is>
          <t>图文</t>
        </is>
      </c>
      <c r="H311" t="inlineStr">
        <is>
          <t>手剥虾仁 无冰衣无添加 低脂餐一人食 上班带饭 顺丰包邮 5盒装</t>
        </is>
      </c>
      <c r="I311" t="inlineStr">
        <is>
          <t>694baba01d450d00013662f0</t>
        </is>
      </c>
      <c r="J311" t="inlineStr">
        <is>
          <t/>
        </is>
      </c>
      <c r="K311" t="n">
        <v>0.0</v>
      </c>
      <c r="L311" t="n">
        <v>0.0</v>
      </c>
      <c r="M311" t="n">
        <v>8.0</v>
      </c>
      <c r="N311" t="inlineStr">
        <is>
          <t>0.11940298507462686</t>
        </is>
      </c>
      <c r="O311" t="n">
        <v>6.0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inlineStr">
        <is>
          <t/>
        </is>
      </c>
      <c r="X311" t="n">
        <v>0.0</v>
      </c>
      <c r="Y311" t="n">
        <v>2.0</v>
      </c>
      <c r="Z311" t="n">
        <v>0.0</v>
      </c>
      <c r="AA311" t="n">
        <v>0.0</v>
      </c>
      <c r="AB311" t="n">
        <v>0.0</v>
      </c>
      <c r="AC311" t="n">
        <v>0.0</v>
      </c>
      <c r="AD311" t="n">
        <v>67.0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13.805970149253731</v>
      </c>
      <c r="AL311" t="inlineStr">
        <is>
          <t/>
        </is>
      </c>
    </row>
    <row r="312">
      <c r="A312" t="inlineStr">
        <is>
          <t>自己赚钱后报复性吃虾吃到撑</t>
        </is>
      </c>
      <c r="B312" t="inlineStr">
        <is>
          <t>69ecb6880000000035031bc8</t>
        </is>
      </c>
      <c r="C312" s="311" t="n">
        <f>HYPERLINK("https://www.xiaohongshu.com/explore/69ecb6880000000035031bc8?xsec_token=TBnoSF_--XRDuLtfF77lVqP_MhUrYCJYed2f_H6r7mESE=&amp;xsec_source=pc_trdark","https://www.xiaohongshu.com/explore/69ecb6880000000035031bc8?xsec_token=TBnoSF_--XRDuLtfF77lVqP_MhUrYCJYed2f_H6r7mESE=&amp;xsec_source=pc_trdark")</f>
        <v>0.0</v>
      </c>
      <c r="D312" t="inlineStr">
        <is>
          <t>鲜水湾甄选</t>
        </is>
      </c>
      <c r="E312" t="inlineStr">
        <is>
          <t>27401929161</t>
        </is>
      </c>
      <c r="F312" t="inlineStr">
        <is>
          <t>2026-04-25 21:30:00</t>
        </is>
      </c>
      <c r="G312" t="inlineStr">
        <is>
          <t>图文</t>
        </is>
      </c>
      <c r="H312" t="inlineStr">
        <is>
          <t>手剥虾仁 无冰衣无添加 低脂餐一人食 上班带饭 顺丰包邮 5盒装</t>
        </is>
      </c>
      <c r="I312" t="inlineStr">
        <is>
          <t>694baba01d450d00013662f0</t>
        </is>
      </c>
      <c r="J312" t="inlineStr">
        <is>
          <t/>
        </is>
      </c>
      <c r="K312" t="n">
        <v>0.0</v>
      </c>
      <c r="L312" t="n">
        <v>0.0</v>
      </c>
      <c r="M312" t="n">
        <v>7.0</v>
      </c>
      <c r="N312" t="inlineStr">
        <is>
          <t>0.10606060606060606</t>
        </is>
      </c>
      <c r="O312" t="n">
        <v>5.0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inlineStr">
        <is>
          <t/>
        </is>
      </c>
      <c r="X312" t="n">
        <v>0.0</v>
      </c>
      <c r="Y312" t="n">
        <v>1.0</v>
      </c>
      <c r="Z312" t="n">
        <v>7.0</v>
      </c>
      <c r="AA312" t="n">
        <v>0.0</v>
      </c>
      <c r="AB312" t="n">
        <v>0.0</v>
      </c>
      <c r="AC312" t="n">
        <v>0.0</v>
      </c>
      <c r="AD312" t="n">
        <v>66.0</v>
      </c>
      <c r="AE312" t="n">
        <v>1.0</v>
      </c>
      <c r="AF312" t="n">
        <v>1.0</v>
      </c>
      <c r="AG312" t="n">
        <v>2.0</v>
      </c>
      <c r="AH312" t="n">
        <v>2.0</v>
      </c>
      <c r="AI312" t="n">
        <v>0.0</v>
      </c>
      <c r="AJ312" t="n">
        <v>0.0</v>
      </c>
      <c r="AK312" t="n">
        <v>11.651515151515152</v>
      </c>
      <c r="AL312" t="inlineStr">
        <is>
          <t/>
        </is>
      </c>
    </row>
    <row r="313">
      <c r="A313" t="inlineStr">
        <is>
          <t>给不健身的姐妹一点点震撼</t>
        </is>
      </c>
      <c r="B313" t="inlineStr">
        <is>
          <t>69d20edf000000001d01f258</t>
        </is>
      </c>
      <c r="C313" s="312" t="n">
        <f>HYPERLINK("https://www.xiaohongshu.com/explore/69d20edf000000001d01f258?xsec_token=TBNrOxL8mRPP3W5KJU-iYJrw72S-fCvNjmJE5oBgpEeO8=&amp;xsec_source=pc_trdark","https://www.xiaohongshu.com/explore/69d20edf000000001d01f258?xsec_token=TBNrOxL8mRPP3W5KJU-iYJrw72S-fCvNjmJE5oBgpEeO8=&amp;xsec_source=pc_trdark")</f>
        <v>0.0</v>
      </c>
      <c r="D313" t="inlineStr">
        <is>
          <t>鲜水湾甄选</t>
        </is>
      </c>
      <c r="E313" t="inlineStr">
        <is>
          <t>27401929161</t>
        </is>
      </c>
      <c r="F313" t="inlineStr">
        <is>
          <t>2026-04-05 15:27:27</t>
        </is>
      </c>
      <c r="G313" t="inlineStr">
        <is>
          <t>图文</t>
        </is>
      </c>
      <c r="H313" t="inlineStr">
        <is>
          <t>手剥虾仁 无冰衣无添加 低脂餐一人食 上班带饭 顺丰包邮 5盒装</t>
        </is>
      </c>
      <c r="I313" t="inlineStr">
        <is>
          <t>694baba01d450d00013662f0</t>
        </is>
      </c>
      <c r="J313" t="inlineStr">
        <is>
          <t/>
        </is>
      </c>
      <c r="K313" t="n">
        <v>128.0</v>
      </c>
      <c r="L313" t="n">
        <v>1.0</v>
      </c>
      <c r="M313" t="n">
        <v>14.0</v>
      </c>
      <c r="N313" t="inlineStr">
        <is>
          <t>0.21212121212121213</t>
        </is>
      </c>
      <c r="O313" t="n">
        <v>11.0</v>
      </c>
      <c r="P313" t="n">
        <v>1.0</v>
      </c>
      <c r="Q313" t="inlineStr">
        <is>
          <t>0.07142857142857142</t>
        </is>
      </c>
      <c r="R313" t="inlineStr">
        <is>
          <t>0.09090909090909091</t>
        </is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1.0</v>
      </c>
      <c r="Z313" t="n">
        <v>4.0</v>
      </c>
      <c r="AA313" t="n">
        <v>0.0</v>
      </c>
      <c r="AB313" t="n">
        <v>0.0</v>
      </c>
      <c r="AC313" t="n">
        <v>0.0</v>
      </c>
      <c r="AD313" t="n">
        <v>66.0</v>
      </c>
      <c r="AE313" t="n">
        <v>3.0</v>
      </c>
      <c r="AF313" t="n">
        <v>1.0</v>
      </c>
      <c r="AG313" t="n">
        <v>0.0</v>
      </c>
      <c r="AH313" t="n">
        <v>0.0</v>
      </c>
      <c r="AI313" t="n">
        <v>0.0</v>
      </c>
      <c r="AJ313" t="n">
        <v>0.0</v>
      </c>
      <c r="AK313" t="n">
        <v>9.333333333333334</v>
      </c>
      <c r="AL313" t="inlineStr">
        <is>
          <t/>
        </is>
      </c>
    </row>
    <row r="314">
      <c r="A314" t="inlineStr">
        <is>
          <t>老妈又夸我淘到宝了，说这个价格真不错</t>
        </is>
      </c>
      <c r="B314" t="inlineStr">
        <is>
          <t>69d46f22000000002301dc9d</t>
        </is>
      </c>
      <c r="C314" s="313" t="n">
        <f>HYPERLINK("https://www.xiaohongshu.com/explore/69d46f22000000002301dc9d?xsec_token=TBCfzrc-PQxdd2ruCVqHUjYuAij_zdJJD6NadqwOYCxm8=&amp;xsec_source=pc_trdark","https://www.xiaohongshu.com/explore/69d46f22000000002301dc9d?xsec_token=TBCfzrc-PQxdd2ruCVqHUjYuAij_zdJJD6NadqwOYCxm8=&amp;xsec_source=pc_trdark")</f>
        <v>0.0</v>
      </c>
      <c r="D314" t="inlineStr">
        <is>
          <t>婉婉上班吃什么</t>
        </is>
      </c>
      <c r="E314" t="inlineStr">
        <is>
          <t>11434449706</t>
        </is>
      </c>
      <c r="F314" t="inlineStr">
        <is>
          <t>2026-04-07 10:42:42</t>
        </is>
      </c>
      <c r="G314" t="inlineStr">
        <is>
          <t>图文</t>
        </is>
      </c>
      <c r="H314" t="inlineStr">
        <is>
          <t>手剥虾仁 无冰衣无添加 低脂餐一人食 上班带饭 顺丰包邮 5盒装</t>
        </is>
      </c>
      <c r="I314" t="inlineStr">
        <is>
          <t>694baba01d450d00013662f0</t>
        </is>
      </c>
      <c r="J314" t="inlineStr">
        <is>
          <t/>
        </is>
      </c>
      <c r="K314" t="n">
        <v>0.0</v>
      </c>
      <c r="L314" t="n">
        <v>0.0</v>
      </c>
      <c r="M314" t="n">
        <v>11.0</v>
      </c>
      <c r="N314" t="inlineStr">
        <is>
          <t>0.16923076923076924</t>
        </is>
      </c>
      <c r="O314" t="n">
        <v>8.0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inlineStr">
        <is>
          <t/>
        </is>
      </c>
      <c r="X314" t="n">
        <v>0.0</v>
      </c>
      <c r="Y314" t="n">
        <v>3.0</v>
      </c>
      <c r="Z314" t="n">
        <v>2.0</v>
      </c>
      <c r="AA314" t="n">
        <v>0.0</v>
      </c>
      <c r="AB314" t="n">
        <v>0.0</v>
      </c>
      <c r="AC314" t="n">
        <v>0.0</v>
      </c>
      <c r="AD314" t="n">
        <v>65.0</v>
      </c>
      <c r="AE314" t="n">
        <v>2.0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8.876923076923077</v>
      </c>
      <c r="AL314" t="inlineStr">
        <is>
          <t/>
        </is>
      </c>
    </row>
    <row r="315">
      <c r="A315" t="inlineStr">
        <is>
          <t>平平无奇但吃完很舒服</t>
        </is>
      </c>
      <c r="B315" t="inlineStr">
        <is>
          <t>69d1f844000000001e00f585</t>
        </is>
      </c>
      <c r="C315" s="314" t="n">
        <f>HYPERLINK("https://www.xiaohongshu.com/explore/69d1f844000000001e00f585?xsec_token=TBT5TAUGV3LcD_GYbSvfENi-ueZf4XdAqZx8uGWkxiGwE=&amp;xsec_source=pc_trdark","https://www.xiaohongshu.com/explore/69d1f844000000001e00f585?xsec_token=TBT5TAUGV3LcD_GYbSvfENi-ueZf4XdAqZx8uGWkxiGwE=&amp;xsec_source=pc_trdark")</f>
        <v>0.0</v>
      </c>
      <c r="D315" t="inlineStr">
        <is>
          <t>菲菲上班吃什么</t>
        </is>
      </c>
      <c r="E315" t="inlineStr">
        <is>
          <t>49936530607</t>
        </is>
      </c>
      <c r="F315" t="inlineStr">
        <is>
          <t>2026-04-05 13:51:00</t>
        </is>
      </c>
      <c r="G315" t="inlineStr">
        <is>
          <t>图文</t>
        </is>
      </c>
      <c r="H315" t="inlineStr">
        <is>
          <t>手剥虾仁 无冰衣无添加 低脂餐一人食 上班带饭 顺丰包邮 5盒装</t>
        </is>
      </c>
      <c r="I315" t="inlineStr">
        <is>
          <t>694baba01d450d00013662f0</t>
        </is>
      </c>
      <c r="J315" t="inlineStr">
        <is>
          <t/>
        </is>
      </c>
      <c r="K315" t="n">
        <v>0.0</v>
      </c>
      <c r="L315" t="n">
        <v>0.0</v>
      </c>
      <c r="M315" t="n">
        <v>3.0</v>
      </c>
      <c r="N315" t="inlineStr">
        <is>
          <t>0.046153846153846156</t>
        </is>
      </c>
      <c r="O315" t="n">
        <v>3.0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inlineStr">
        <is>
          <t/>
        </is>
      </c>
      <c r="X315" t="n">
        <v>0.0</v>
      </c>
      <c r="Y315" t="n">
        <v>2.0</v>
      </c>
      <c r="Z315" t="n">
        <v>2.0</v>
      </c>
      <c r="AA315" t="n">
        <v>0.0</v>
      </c>
      <c r="AB315" t="n">
        <v>0.0</v>
      </c>
      <c r="AC315" t="n">
        <v>0.0</v>
      </c>
      <c r="AD315" t="n">
        <v>65.0</v>
      </c>
      <c r="AE315" t="n">
        <v>2.0</v>
      </c>
      <c r="AF315" t="n">
        <v>0.0</v>
      </c>
      <c r="AG315" t="n">
        <v>0.0</v>
      </c>
      <c r="AH315" t="n">
        <v>1.0</v>
      </c>
      <c r="AI315" t="n">
        <v>0.0</v>
      </c>
      <c r="AJ315" t="n">
        <v>0.0</v>
      </c>
      <c r="AK315" t="n">
        <v>23.138461538461538</v>
      </c>
      <c r="AL315" t="inlineStr">
        <is>
          <t/>
        </is>
      </c>
    </row>
    <row r="316">
      <c r="A316" t="inlineStr">
        <is>
          <t>建议全国普及！春日推出独立小包装太方便了！</t>
        </is>
      </c>
      <c r="B316" t="inlineStr">
        <is>
          <t>69ce70180000000022025962</t>
        </is>
      </c>
      <c r="C316" s="315" t="n">
        <f>HYPERLINK("https://www.xiaohongshu.com/explore/69ce70180000000022025962?xsec_token=TBclHZuM5_fs2QanfU7vVSEjoLhcjUyGvG2aWCxGUA5ZI=&amp;xsec_source=pc_trdark","https://www.xiaohongshu.com/explore/69ce70180000000022025962?xsec_token=TBclHZuM5_fs2QanfU7vVSEjoLhcjUyGvG2aWCxGUA5ZI=&amp;xsec_source=pc_trdark")</f>
        <v>0.0</v>
      </c>
      <c r="D316" t="inlineStr">
        <is>
          <t>菲菲上班吃什么</t>
        </is>
      </c>
      <c r="E316" t="inlineStr">
        <is>
          <t>49936530607</t>
        </is>
      </c>
      <c r="F316" t="inlineStr">
        <is>
          <t>2026-04-02 21:33:12</t>
        </is>
      </c>
      <c r="G316" t="inlineStr">
        <is>
          <t>图文</t>
        </is>
      </c>
      <c r="H316" t="inlineStr">
        <is>
          <t>手剥虾仁 无冰衣无添加 低脂餐一人食 上班带饭 顺丰包邮 5盒装</t>
        </is>
      </c>
      <c r="I316" t="inlineStr">
        <is>
          <t>694baba01d450d00013662f0</t>
        </is>
      </c>
      <c r="J316" t="inlineStr">
        <is>
          <t/>
        </is>
      </c>
      <c r="K316" t="n">
        <v>0.0</v>
      </c>
      <c r="L316" t="n">
        <v>0.0</v>
      </c>
      <c r="M316" t="n">
        <v>9.0</v>
      </c>
      <c r="N316" t="inlineStr">
        <is>
          <t>0.13846153846153847</t>
        </is>
      </c>
      <c r="O316" t="n">
        <v>9.0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inlineStr">
        <is>
          <t/>
        </is>
      </c>
      <c r="X316" t="n">
        <v>0.0</v>
      </c>
      <c r="Y316" t="n">
        <v>2.0</v>
      </c>
      <c r="Z316" t="n">
        <v>1.0</v>
      </c>
      <c r="AA316" t="n">
        <v>0.0</v>
      </c>
      <c r="AB316" t="n">
        <v>0.0</v>
      </c>
      <c r="AC316" t="n">
        <v>0.0</v>
      </c>
      <c r="AD316" t="n">
        <v>65.0</v>
      </c>
      <c r="AE316" t="n">
        <v>1.0</v>
      </c>
      <c r="AF316" t="n">
        <v>1.0</v>
      </c>
      <c r="AG316" t="n">
        <v>0.0</v>
      </c>
      <c r="AH316" t="n">
        <v>1.0</v>
      </c>
      <c r="AI316" t="n">
        <v>0.0</v>
      </c>
      <c r="AJ316" t="n">
        <v>0.0</v>
      </c>
      <c r="AK316" t="n">
        <v>13.923076923076923</v>
      </c>
      <c r="AL316" t="inlineStr">
        <is>
          <t/>
        </is>
      </c>
    </row>
    <row r="317">
      <c r="A317" t="inlineStr">
        <is>
          <t>减脂期唯一蛋白质来源‼️</t>
        </is>
      </c>
      <c r="B317" t="inlineStr">
        <is>
          <t>69f2be070000000035033155</t>
        </is>
      </c>
      <c r="C317" s="316" t="n">
        <f>HYPERLINK("https://www.xiaohongshu.com/explore/69f2be070000000035033155?xsec_token=TBvWHBo3-qwEN9bVc9g-yUNTAohUy4jVU8OSfTedNoDdY=&amp;xsec_source=pc_trdark","https://www.xiaohongshu.com/explore/69f2be070000000035033155?xsec_token=TBvWHBo3-qwEN9bVc9g-yUNTAohUy4jVU8OSfTedNoDdY=&amp;xsec_source=pc_trdark")</f>
        <v>0.0</v>
      </c>
      <c r="D317" t="inlineStr">
        <is>
          <t>鲜水湾甄选</t>
        </is>
      </c>
      <c r="E317" t="inlineStr">
        <is>
          <t>27401929161</t>
        </is>
      </c>
      <c r="F317" t="inlineStr">
        <is>
          <t>2026-04-30 10:27:19</t>
        </is>
      </c>
      <c r="G317" t="inlineStr">
        <is>
          <t>图文</t>
        </is>
      </c>
      <c r="H317" t="inlineStr">
        <is>
          <t>手剥虾仁 无冰衣无添加 低脂餐一人食 上班带饭 顺丰包邮 5盒装</t>
        </is>
      </c>
      <c r="I317" t="inlineStr">
        <is>
          <t>694baba01d450d00013662f0</t>
        </is>
      </c>
      <c r="J317" t="inlineStr">
        <is>
          <t/>
        </is>
      </c>
      <c r="K317" t="n">
        <v>0.0</v>
      </c>
      <c r="L317" t="n">
        <v>0.0</v>
      </c>
      <c r="M317" t="n">
        <v>4.0</v>
      </c>
      <c r="N317" t="n">
        <v>0.0625</v>
      </c>
      <c r="O317" t="n">
        <v>4.0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inlineStr">
        <is>
          <t/>
        </is>
      </c>
      <c r="X317" t="n">
        <v>0.0</v>
      </c>
      <c r="Y317" t="n">
        <v>1.0</v>
      </c>
      <c r="Z317" t="n">
        <v>2.0</v>
      </c>
      <c r="AA317" t="n">
        <v>0.0</v>
      </c>
      <c r="AB317" t="n">
        <v>0.0</v>
      </c>
      <c r="AC317" t="n">
        <v>0.0</v>
      </c>
      <c r="AD317" t="n">
        <v>64.0</v>
      </c>
      <c r="AE317" t="n">
        <v>1.0</v>
      </c>
      <c r="AF317" t="n">
        <v>2.0</v>
      </c>
      <c r="AG317" t="n">
        <v>0.0</v>
      </c>
      <c r="AH317" t="n">
        <v>2.0</v>
      </c>
      <c r="AI317" t="n">
        <v>0.0</v>
      </c>
      <c r="AJ317" t="n">
        <v>0.0</v>
      </c>
      <c r="AK317" t="n">
        <v>7.625</v>
      </c>
      <c r="AL317" t="inlineStr">
        <is>
          <t/>
        </is>
      </c>
    </row>
    <row r="318">
      <c r="A318" t="inlineStr">
        <is>
          <t>告别⛰️姆大包装！小份虾仁才是独居福音</t>
        </is>
      </c>
      <c r="B318" t="inlineStr">
        <is>
          <t>69f01d81000000001a03791f</t>
        </is>
      </c>
      <c r="C318" s="317" t="n">
        <f>HYPERLINK("https://www.xiaohongshu.com/explore/69f01d81000000001a03791f?xsec_token=TBvHxiGmj2CedfPdQHdLJBmGmKOAqrU0XDxjyFk_L_6f0=&amp;xsec_source=pc_trdark","https://www.xiaohongshu.com/explore/69f01d81000000001a03791f?xsec_token=TBvHxiGmj2CedfPdQHdLJBmGmKOAqrU0XDxjyFk_L_6f0=&amp;xsec_source=pc_trdark")</f>
        <v>0.0</v>
      </c>
      <c r="D318" t="inlineStr">
        <is>
          <t>菲菲上班吃什么</t>
        </is>
      </c>
      <c r="E318" t="inlineStr">
        <is>
          <t>49936530607</t>
        </is>
      </c>
      <c r="F318" t="inlineStr">
        <is>
          <t>2026-04-28 10:37:53</t>
        </is>
      </c>
      <c r="G318" t="inlineStr">
        <is>
          <t>图文</t>
        </is>
      </c>
      <c r="H318" t="inlineStr">
        <is>
          <t>手剥虾仁 无冰衣无添加 低脂餐一人食 上班带饭 顺丰包邮 5盒装</t>
        </is>
      </c>
      <c r="I318" t="inlineStr">
        <is>
          <t>694baba01d450d00013662f0</t>
        </is>
      </c>
      <c r="J318" t="inlineStr">
        <is>
          <t/>
        </is>
      </c>
      <c r="K318" t="n">
        <v>0.0</v>
      </c>
      <c r="L318" t="n">
        <v>0.0</v>
      </c>
      <c r="M318" t="n">
        <v>5.0</v>
      </c>
      <c r="N318" t="n">
        <v>0.078125</v>
      </c>
      <c r="O318" t="n">
        <v>5.0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inlineStr">
        <is>
          <t/>
        </is>
      </c>
      <c r="X318" t="n">
        <v>0.0</v>
      </c>
      <c r="Y318" t="n">
        <v>1.0</v>
      </c>
      <c r="Z318" t="n">
        <v>1.0</v>
      </c>
      <c r="AA318" t="n">
        <v>0.0</v>
      </c>
      <c r="AB318" t="n">
        <v>0.0</v>
      </c>
      <c r="AC318" t="n">
        <v>0.0</v>
      </c>
      <c r="AD318" t="n">
        <v>64.0</v>
      </c>
      <c r="AE318" t="n">
        <v>1.0</v>
      </c>
      <c r="AF318" t="n">
        <v>0.0</v>
      </c>
      <c r="AG318" t="n">
        <v>0.0</v>
      </c>
      <c r="AH318" t="n">
        <v>1.0</v>
      </c>
      <c r="AI318" t="n">
        <v>0.0</v>
      </c>
      <c r="AJ318" t="n">
        <v>0.0</v>
      </c>
      <c r="AK318" t="n">
        <v>13.046875</v>
      </c>
      <c r="AL318" t="inlineStr">
        <is>
          <t/>
        </is>
      </c>
    </row>
    <row r="319">
      <c r="A319" t="inlineStr">
        <is>
          <t>我妈说我每天都吃虾仁太奢侈🥹</t>
        </is>
      </c>
      <c r="B319" t="inlineStr">
        <is>
          <t>69ee02870000000022026a6f</t>
        </is>
      </c>
      <c r="C319" s="318" t="n">
        <f>HYPERLINK("https://www.xiaohongshu.com/explore/69ee02870000000022026a6f?xsec_token=TB3JCI8OO3ItJ5gw9_OIE0bJ5zPSTaoVzVu3WuxrwLQLo=&amp;xsec_source=pc_trdark","https://www.xiaohongshu.com/explore/69ee02870000000022026a6f?xsec_token=TB3JCI8OO3ItJ5gw9_OIE0bJ5zPSTaoVzVu3WuxrwLQLo=&amp;xsec_source=pc_trdark")</f>
        <v>0.0</v>
      </c>
      <c r="D319" t="inlineStr">
        <is>
          <t>菲菲上班吃什么</t>
        </is>
      </c>
      <c r="E319" t="inlineStr">
        <is>
          <t>49936530607</t>
        </is>
      </c>
      <c r="F319" t="inlineStr">
        <is>
          <t>2026-04-26 20:18:15</t>
        </is>
      </c>
      <c r="G319" t="inlineStr">
        <is>
          <t>图文</t>
        </is>
      </c>
      <c r="H319" t="inlineStr">
        <is>
          <t>手剥虾仁 无冰衣无添加 低脂餐一人食 上班带饭 顺丰包邮 5盒装</t>
        </is>
      </c>
      <c r="I319" t="inlineStr">
        <is>
          <t>694baba01d450d00013662f0</t>
        </is>
      </c>
      <c r="J319" t="inlineStr">
        <is>
          <t/>
        </is>
      </c>
      <c r="K319" t="n">
        <v>0.0</v>
      </c>
      <c r="L319" t="n">
        <v>0.0</v>
      </c>
      <c r="M319" t="n">
        <v>6.0</v>
      </c>
      <c r="N319" t="n">
        <v>0.09375</v>
      </c>
      <c r="O319" t="n">
        <v>6.0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inlineStr">
        <is>
          <t/>
        </is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64.0</v>
      </c>
      <c r="AE319" t="n">
        <v>1.0</v>
      </c>
      <c r="AF319" t="n">
        <v>1.0</v>
      </c>
      <c r="AG319" t="n">
        <v>2.0</v>
      </c>
      <c r="AH319" t="n">
        <v>2.0</v>
      </c>
      <c r="AI319" t="n">
        <v>0.0</v>
      </c>
      <c r="AJ319" t="n">
        <v>0.0</v>
      </c>
      <c r="AK319" t="n">
        <v>13.4375</v>
      </c>
      <c r="AL319" t="inlineStr">
        <is>
          <t/>
        </is>
      </c>
    </row>
    <row r="320">
      <c r="A320" t="inlineStr">
        <is>
          <t>新手友好🔥外脆里嫩的香煎柠檬三文鱼</t>
        </is>
      </c>
      <c r="B320" t="inlineStr">
        <is>
          <t>69d3196c000000001f000597</t>
        </is>
      </c>
      <c r="C320" s="319" t="n">
        <f>HYPERLINK("https://www.xiaohongshu.com/explore/69d3196c000000001f000597?xsec_token=TBhEDzysvLbwbBD8CIa_-jsWP4H9Jm4hcqkNxBU2BPZlQ=&amp;xsec_source=pc_trdark","https://www.xiaohongshu.com/explore/69d3196c000000001f000597?xsec_token=TBhEDzysvLbwbBD8CIa_-jsWP4H9Jm4hcqkNxBU2BPZlQ=&amp;xsec_source=pc_trdark")</f>
        <v>0.0</v>
      </c>
      <c r="D320" t="inlineStr">
        <is>
          <t>婉婉上班吃什么</t>
        </is>
      </c>
      <c r="E320" t="inlineStr">
        <is>
          <t>11434449706</t>
        </is>
      </c>
      <c r="F320" t="inlineStr">
        <is>
          <t>2026-04-06 10:24:44</t>
        </is>
      </c>
      <c r="G320" t="inlineStr">
        <is>
          <t>图文</t>
        </is>
      </c>
      <c r="H320" t="inlineStr">
        <is>
          <t>智利三文鱼切块·整条三文鱼·深海鱼一人食健康饮食</t>
        </is>
      </c>
      <c r="I320" t="inlineStr">
        <is>
          <t>691ac562a524ee0001b51d7b</t>
        </is>
      </c>
      <c r="J320" t="inlineStr">
        <is>
          <t/>
        </is>
      </c>
      <c r="K320" t="n">
        <v>0.0</v>
      </c>
      <c r="L320" t="n">
        <v>0.0</v>
      </c>
      <c r="M320" t="n">
        <v>3.0</v>
      </c>
      <c r="N320" t="n">
        <v>0.046875</v>
      </c>
      <c r="O320" t="n">
        <v>3.0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inlineStr">
        <is>
          <t/>
        </is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64.0</v>
      </c>
      <c r="AE320" t="n">
        <v>1.0</v>
      </c>
      <c r="AF320" t="n">
        <v>0.0</v>
      </c>
      <c r="AG320" t="n">
        <v>0.0</v>
      </c>
      <c r="AH320" t="n">
        <v>1.0</v>
      </c>
      <c r="AI320" t="n">
        <v>0.0</v>
      </c>
      <c r="AJ320" t="n">
        <v>0.0</v>
      </c>
      <c r="AK320" t="n">
        <v>14.671875</v>
      </c>
      <c r="AL320" t="inlineStr">
        <is>
          <t/>
        </is>
      </c>
    </row>
    <row r="321">
      <c r="A321" t="inlineStr">
        <is>
          <t>疫情之后我习惯了囤货…</t>
        </is>
      </c>
      <c r="B321" t="inlineStr">
        <is>
          <t>69d76d42000000001a0366d2</t>
        </is>
      </c>
      <c r="C321" s="320" t="n">
        <f>HYPERLINK("https://www.xiaohongshu.com/explore/69d76d42000000001a0366d2?xsec_token=TBabSJw1DqF320Z_FWL3yrQ3DD-fAbn4BcCPcGW6AscIE=&amp;xsec_source=pc_trdark","https://www.xiaohongshu.com/explore/69d76d42000000001a0366d2?xsec_token=TBabSJw1DqF320Z_FWL3yrQ3DD-fAbn4BcCPcGW6AscIE=&amp;xsec_source=pc_trdark")</f>
        <v>0.0</v>
      </c>
      <c r="D321" t="inlineStr">
        <is>
          <t>婉婉上班吃什么</t>
        </is>
      </c>
      <c r="E321" t="inlineStr">
        <is>
          <t>11434449706</t>
        </is>
      </c>
      <c r="F321" t="inlineStr">
        <is>
          <t>2026-04-09 17:11:30</t>
        </is>
      </c>
      <c r="G321" t="inlineStr">
        <is>
          <t>图文</t>
        </is>
      </c>
      <c r="H321" t="inlineStr">
        <is>
          <t>手剥虾仁 无冰衣无添加 低脂餐一人食 上班带饭 顺丰包邮 5盒装</t>
        </is>
      </c>
      <c r="I321" t="inlineStr">
        <is>
          <t>694baba01d450d00013662f0</t>
        </is>
      </c>
      <c r="J321" t="inlineStr">
        <is>
          <t/>
        </is>
      </c>
      <c r="K321" t="n">
        <v>0.0</v>
      </c>
      <c r="L321" t="n">
        <v>0.0</v>
      </c>
      <c r="M321" t="n">
        <v>9.0</v>
      </c>
      <c r="N321" t="inlineStr">
        <is>
          <t>0.14285714285714285</t>
        </is>
      </c>
      <c r="O321" t="n">
        <v>8.0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inlineStr">
        <is>
          <t/>
        </is>
      </c>
      <c r="X321" t="n">
        <v>0.0</v>
      </c>
      <c r="Y321" t="n">
        <v>2.0</v>
      </c>
      <c r="Z321" t="n">
        <v>3.0</v>
      </c>
      <c r="AA321" t="n">
        <v>0.0</v>
      </c>
      <c r="AB321" t="n">
        <v>0.0</v>
      </c>
      <c r="AC321" t="n">
        <v>0.0</v>
      </c>
      <c r="AD321" t="n">
        <v>63.0</v>
      </c>
      <c r="AE321" t="n">
        <v>2.0</v>
      </c>
      <c r="AF321" t="n">
        <v>0.0</v>
      </c>
      <c r="AG321" t="n">
        <v>0.0</v>
      </c>
      <c r="AH321" t="n">
        <v>2.0</v>
      </c>
      <c r="AI321" t="n">
        <v>0.0</v>
      </c>
      <c r="AJ321" t="n">
        <v>0.0</v>
      </c>
      <c r="AK321" t="n">
        <v>10.952380952380953</v>
      </c>
      <c r="AL321" t="inlineStr">
        <is>
          <t/>
        </is>
      </c>
    </row>
    <row r="322">
      <c r="A322" t="inlineStr">
        <is>
          <t>晚上只吃虾，掉秤巨稳</t>
        </is>
      </c>
      <c r="B322" t="inlineStr">
        <is>
          <t>69a8f445000000002801d57d</t>
        </is>
      </c>
      <c r="C322" s="321" t="n">
        <f>HYPERLINK("https://www.xiaohongshu.com/explore/69a8f445000000002801d57d?xsec_token=TBoPbpeIhQUL4QR6_LMsKnIRXXf9-BsatbfrxCyb4eMEE=&amp;xsec_source=pc_trdark","https://www.xiaohongshu.com/explore/69a8f445000000002801d57d?xsec_token=TBoPbpeIhQUL4QR6_LMsKnIRXXf9-BsatbfrxCyb4eMEE=&amp;xsec_source=pc_trdark")</f>
        <v>0.0</v>
      </c>
      <c r="D322" t="inlineStr">
        <is>
          <t>鲜水湾</t>
        </is>
      </c>
      <c r="E322" t="inlineStr">
        <is>
          <t>49316638994</t>
        </is>
      </c>
      <c r="F322" t="inlineStr">
        <is>
          <t>2026-03-05 11:11:01</t>
        </is>
      </c>
      <c r="G322" t="inlineStr">
        <is>
          <t>图文</t>
        </is>
      </c>
      <c r="H322" t="inlineStr">
        <is>
          <t>大虾基围虾王牌大虾厄瓜多尔白虾盐冻虾仁海洋大虾送礼顺丰包邮</t>
        </is>
      </c>
      <c r="I322" t="inlineStr">
        <is>
          <t>690aeb7be379430001e686ac</t>
        </is>
      </c>
      <c r="J322" t="inlineStr">
        <is>
          <t/>
        </is>
      </c>
      <c r="K322" t="n">
        <v>0.0</v>
      </c>
      <c r="L322" t="n">
        <v>0.0</v>
      </c>
      <c r="M322" t="n">
        <v>2.0</v>
      </c>
      <c r="N322" t="inlineStr">
        <is>
          <t>0.031746031746031744</t>
        </is>
      </c>
      <c r="O322" t="n">
        <v>2.0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inlineStr">
        <is>
          <t/>
        </is>
      </c>
      <c r="X322" t="n">
        <v>0.0</v>
      </c>
      <c r="Y322" t="n">
        <v>0.0</v>
      </c>
      <c r="Z322" t="n">
        <v>3.0</v>
      </c>
      <c r="AA322" t="n">
        <v>0.0</v>
      </c>
      <c r="AB322" t="n">
        <v>0.0</v>
      </c>
      <c r="AC322" t="n">
        <v>0.0</v>
      </c>
      <c r="AD322" t="n">
        <v>63.0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7.920634920634921</v>
      </c>
      <c r="AL322" t="inlineStr">
        <is>
          <t/>
        </is>
      </c>
    </row>
    <row r="323">
      <c r="A323" t="inlineStr">
        <is>
          <t>不夸张，我在xhs买的虾仁从未失手过</t>
        </is>
      </c>
      <c r="B323" t="inlineStr">
        <is>
          <t>69ef149c0000000035022ac6</t>
        </is>
      </c>
      <c r="C323" s="322" t="n">
        <f>HYPERLINK("https://www.xiaohongshu.com/explore/69ef149c0000000035022ac6?xsec_token=TB8YlxxIf2o_Xr_LAif13-vO2SSM2wLcw6LcagAI2aS6M=&amp;xsec_source=pc_trdark","https://www.xiaohongshu.com/explore/69ef149c0000000035022ac6?xsec_token=TB8YlxxIf2o_Xr_LAif13-vO2SSM2wLcw6LcagAI2aS6M=&amp;xsec_source=pc_trdark")</f>
        <v>0.0</v>
      </c>
      <c r="D323" t="inlineStr">
        <is>
          <t>鲜水湾甄选</t>
        </is>
      </c>
      <c r="E323" t="inlineStr">
        <is>
          <t>27401929161</t>
        </is>
      </c>
      <c r="F323" t="inlineStr">
        <is>
          <t>2026-04-27 15:47:40</t>
        </is>
      </c>
      <c r="G323" t="inlineStr">
        <is>
          <t>图文</t>
        </is>
      </c>
      <c r="H323" t="inlineStr">
        <is>
          <t>手剥虾仁 无冰衣无添加 低脂餐一人食 上班带饭 顺丰包邮 5盒装</t>
        </is>
      </c>
      <c r="I323" t="inlineStr">
        <is>
          <t>694baba01d450d00013662f0</t>
        </is>
      </c>
      <c r="J323" t="inlineStr">
        <is>
          <t/>
        </is>
      </c>
      <c r="K323" t="n">
        <v>0.0</v>
      </c>
      <c r="L323" t="n">
        <v>0.0</v>
      </c>
      <c r="M323" t="n">
        <v>10.0</v>
      </c>
      <c r="N323" t="inlineStr">
        <is>
          <t>0.16129032258064516</t>
        </is>
      </c>
      <c r="O323" t="n">
        <v>10.0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inlineStr">
        <is>
          <t/>
        </is>
      </c>
      <c r="X323" t="n">
        <v>0.0</v>
      </c>
      <c r="Y323" t="n">
        <v>2.0</v>
      </c>
      <c r="Z323" t="n">
        <v>3.0</v>
      </c>
      <c r="AA323" t="n">
        <v>0.0</v>
      </c>
      <c r="AB323" t="n">
        <v>0.0</v>
      </c>
      <c r="AC323" t="n">
        <v>0.0</v>
      </c>
      <c r="AD323" t="n">
        <v>62.0</v>
      </c>
      <c r="AE323" t="n">
        <v>2.0</v>
      </c>
      <c r="AF323" t="n">
        <v>1.0</v>
      </c>
      <c r="AG323" t="n">
        <v>2.0</v>
      </c>
      <c r="AH323" t="n">
        <v>1.0</v>
      </c>
      <c r="AI323" t="n">
        <v>0.0</v>
      </c>
      <c r="AJ323" t="n">
        <v>0.0</v>
      </c>
      <c r="AK323" t="n">
        <v>14.370967741935484</v>
      </c>
      <c r="AL323" t="inlineStr">
        <is>
          <t/>
        </is>
      </c>
    </row>
    <row r="324">
      <c r="A324" t="inlineStr">
        <is>
          <t>谁懂啊…靠它！两周变化太明显了</t>
        </is>
      </c>
      <c r="B324" t="inlineStr">
        <is>
          <t>69e87d60000000001d01f604</t>
        </is>
      </c>
      <c r="C324" s="323" t="n">
        <f>HYPERLINK("https://www.xiaohongshu.com/explore/69e87d60000000001d01f604?xsec_token=TBrsJGfbmdICsvnXoyd4QdRmwa2I7UXPfK3JWjnsY_S8Y=&amp;xsec_source=pc_trdark","https://www.xiaohongshu.com/explore/69e87d60000000001d01f604?xsec_token=TBrsJGfbmdICsvnXoyd4QdRmwa2I7UXPfK3JWjnsY_S8Y=&amp;xsec_source=pc_trdark")</f>
        <v>0.0</v>
      </c>
      <c r="D324" t="inlineStr">
        <is>
          <t>鲜水湾甄选</t>
        </is>
      </c>
      <c r="E324" t="inlineStr">
        <is>
          <t>27401929161</t>
        </is>
      </c>
      <c r="F324" t="inlineStr">
        <is>
          <t>2026-04-23 10:00:00</t>
        </is>
      </c>
      <c r="G324" t="inlineStr">
        <is>
          <t>图文</t>
        </is>
      </c>
      <c r="H324" t="inlineStr">
        <is>
          <t>手剥虾仁 无冰衣无添加 低脂餐一人食 上班带饭 顺丰包邮 5盒装</t>
        </is>
      </c>
      <c r="I324" t="inlineStr">
        <is>
          <t>694baba01d450d00013662f0</t>
        </is>
      </c>
      <c r="J324" t="inlineStr">
        <is>
          <t/>
        </is>
      </c>
      <c r="K324" t="n">
        <v>128.0</v>
      </c>
      <c r="L324" t="n">
        <v>1.0</v>
      </c>
      <c r="M324" t="n">
        <v>5.0</v>
      </c>
      <c r="N324" t="inlineStr">
        <is>
          <t>0.08064516129032258</t>
        </is>
      </c>
      <c r="O324" t="n">
        <v>5.0</v>
      </c>
      <c r="P324" t="n">
        <v>1.0</v>
      </c>
      <c r="Q324" t="n">
        <v>0.2</v>
      </c>
      <c r="R324" t="n">
        <v>0.2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2.0</v>
      </c>
      <c r="AA324" t="n">
        <v>0.0</v>
      </c>
      <c r="AB324" t="n">
        <v>0.0</v>
      </c>
      <c r="AC324" t="n">
        <v>0.0</v>
      </c>
      <c r="AD324" t="n">
        <v>62.0</v>
      </c>
      <c r="AE324" t="n">
        <v>0.0</v>
      </c>
      <c r="AF324" t="n">
        <v>0.0</v>
      </c>
      <c r="AG324" t="n">
        <v>0.0</v>
      </c>
      <c r="AH324" t="n">
        <v>1.0</v>
      </c>
      <c r="AI324" t="n">
        <v>0.0</v>
      </c>
      <c r="AJ324" t="n">
        <v>0.0</v>
      </c>
      <c r="AK324" t="n">
        <v>12.241935483870968</v>
      </c>
      <c r="AL324" t="inlineStr">
        <is>
          <t/>
        </is>
      </c>
    </row>
    <row r="325">
      <c r="A325" t="inlineStr">
        <is>
          <t>区区 100 来块钱，承包了我一周轻食虾仁</t>
        </is>
      </c>
      <c r="B325" t="inlineStr">
        <is>
          <t>69d38497000000002003a7e2</t>
        </is>
      </c>
      <c r="C325" s="324" t="n">
        <f>HYPERLINK("https://www.xiaohongshu.com/explore/69d38497000000002003a7e2?xsec_token=TBhEDzysvLbwbBD8CIa_-jsQlm8gKfHsy5tK5s3x1HEdI=&amp;xsec_source=pc_trdark","https://www.xiaohongshu.com/explore/69d38497000000002003a7e2?xsec_token=TBhEDzysvLbwbBD8CIa_-jsQlm8gKfHsy5tK5s3x1HEdI=&amp;xsec_source=pc_trdark")</f>
        <v>0.0</v>
      </c>
      <c r="D325" t="inlineStr">
        <is>
          <t>鲜水湾</t>
        </is>
      </c>
      <c r="E325" t="inlineStr">
        <is>
          <t>49316638994</t>
        </is>
      </c>
      <c r="F325" t="inlineStr">
        <is>
          <t>2026-04-06 18:01:59</t>
        </is>
      </c>
      <c r="G325" t="inlineStr">
        <is>
          <t>图文</t>
        </is>
      </c>
      <c r="H325" t="inlineStr">
        <is>
          <t>手剥虾仁 无冰衣无添加 低脂餐一人食 上班带饭 顺丰包邮 5盒装</t>
        </is>
      </c>
      <c r="I325" t="inlineStr">
        <is>
          <t>694baba01d450d00013662f0</t>
        </is>
      </c>
      <c r="J325" t="inlineStr">
        <is>
          <t/>
        </is>
      </c>
      <c r="K325" t="n">
        <v>0.0</v>
      </c>
      <c r="L325" t="n">
        <v>0.0</v>
      </c>
      <c r="M325" t="n">
        <v>7.0</v>
      </c>
      <c r="N325" t="inlineStr">
        <is>
          <t>0.11290322580645161</t>
        </is>
      </c>
      <c r="O325" t="n">
        <v>7.0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inlineStr">
        <is>
          <t/>
        </is>
      </c>
      <c r="X325" t="n">
        <v>0.0</v>
      </c>
      <c r="Y325" t="n">
        <v>0.0</v>
      </c>
      <c r="Z325" t="n">
        <v>4.0</v>
      </c>
      <c r="AA325" t="n">
        <v>0.0</v>
      </c>
      <c r="AB325" t="n">
        <v>0.0</v>
      </c>
      <c r="AC325" t="n">
        <v>0.0</v>
      </c>
      <c r="AD325" t="n">
        <v>62.0</v>
      </c>
      <c r="AE325" t="n">
        <v>3.0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8.483870967741936</v>
      </c>
      <c r="AL325" t="inlineStr">
        <is>
          <t/>
        </is>
      </c>
    </row>
    <row r="326">
      <c r="A326" t="inlineStr">
        <is>
          <t>这么大的生蚝你能吃几个？</t>
        </is>
      </c>
      <c r="B326" t="inlineStr">
        <is>
          <t>69267780000000001e00ebe8</t>
        </is>
      </c>
      <c r="C326" s="325" t="n">
        <f>HYPERLINK("https://www.xiaohongshu.com/explore/69267780000000001e00ebe8?xsec_token=TBFGqkDRGUjajy3y4pB3XfUk7gFCFbQ7a9uJhZbleSDnM=&amp;xsec_source=pc_trdark","https://www.xiaohongshu.com/explore/69267780000000001e00ebe8?xsec_token=TBFGqkDRGUjajy3y4pB3XfUk7gFCFbQ7a9uJhZbleSDnM=&amp;xsec_source=pc_trdark")</f>
        <v>0.0</v>
      </c>
      <c r="D326" t="inlineStr">
        <is>
          <t>婉婉上班吃什么</t>
        </is>
      </c>
      <c r="E326" t="inlineStr">
        <is>
          <t>11434449706</t>
        </is>
      </c>
      <c r="F326" t="inlineStr">
        <is>
          <t>2025-11-26 11:44:00</t>
        </is>
      </c>
      <c r="G326" t="inlineStr">
        <is>
          <t>视频</t>
        </is>
      </c>
      <c r="H326" t="inlineStr">
        <is>
          <t>生蚝乳山生蚝海蛎子顺丰包邮</t>
        </is>
      </c>
      <c r="I326" t="inlineStr">
        <is>
          <t>690c70971b787900010866cc</t>
        </is>
      </c>
      <c r="J326" t="n">
        <v>16.0</v>
      </c>
      <c r="K326" t="n">
        <v>0.0</v>
      </c>
      <c r="L326" t="n">
        <v>0.0</v>
      </c>
      <c r="M326" t="n">
        <v>1.0</v>
      </c>
      <c r="N326" t="inlineStr">
        <is>
          <t>0.016129032258064516</t>
        </is>
      </c>
      <c r="O326" t="n">
        <v>1.0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inlineStr">
        <is>
          <t/>
        </is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62.0</v>
      </c>
      <c r="AE326" t="n">
        <v>1.0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6.403225806451613</v>
      </c>
      <c r="AL326" t="inlineStr">
        <is>
          <t>0.17333333333333334</t>
        </is>
      </c>
    </row>
    <row r="327">
      <c r="A327" t="inlineStr">
        <is>
          <t>健身群被问烦了，减脂虾仁链接放这了</t>
        </is>
      </c>
      <c r="B327" t="inlineStr">
        <is>
          <t>69ec534400000000200393d9</t>
        </is>
      </c>
      <c r="C327" s="326" t="n">
        <f>HYPERLINK("https://www.xiaohongshu.com/explore/69ec534400000000200393d9?xsec_token=TBnoSF_--XRDuLtfF77lVqPyzgcmlozgOuYQpHyX1sFus=&amp;xsec_source=pc_trdark","https://www.xiaohongshu.com/explore/69ec534400000000200393d9?xsec_token=TBnoSF_--XRDuLtfF77lVqPyzgcmlozgOuYQpHyX1sFus=&amp;xsec_source=pc_trdark")</f>
        <v>0.0</v>
      </c>
      <c r="D327" t="inlineStr">
        <is>
          <t>菲菲上班吃什么</t>
        </is>
      </c>
      <c r="E327" t="inlineStr">
        <is>
          <t>49936530607</t>
        </is>
      </c>
      <c r="F327" t="inlineStr">
        <is>
          <t>2026-04-25 13:38:12</t>
        </is>
      </c>
      <c r="G327" t="inlineStr">
        <is>
          <t>图文</t>
        </is>
      </c>
      <c r="H327" t="inlineStr">
        <is>
          <t>手剥虾仁 无冰衣无添加 低脂餐一人食 上班带饭 顺丰包邮 5盒装</t>
        </is>
      </c>
      <c r="I327" t="inlineStr">
        <is>
          <t>694baba01d450d00013662f0</t>
        </is>
      </c>
      <c r="J327" t="inlineStr">
        <is>
          <t/>
        </is>
      </c>
      <c r="K327" t="n">
        <v>0.0</v>
      </c>
      <c r="L327" t="n">
        <v>0.0</v>
      </c>
      <c r="M327" t="n">
        <v>4.0</v>
      </c>
      <c r="N327" t="inlineStr">
        <is>
          <t>0.06557377049180328</t>
        </is>
      </c>
      <c r="O327" t="n">
        <v>3.0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inlineStr">
        <is>
          <t/>
        </is>
      </c>
      <c r="X327" t="n">
        <v>0.0</v>
      </c>
      <c r="Y327" t="n">
        <v>0.0</v>
      </c>
      <c r="Z327" t="n">
        <v>1.0</v>
      </c>
      <c r="AA327" t="n">
        <v>0.0</v>
      </c>
      <c r="AB327" t="n">
        <v>0.0</v>
      </c>
      <c r="AC327" t="n">
        <v>0.0</v>
      </c>
      <c r="AD327" t="n">
        <v>61.0</v>
      </c>
      <c r="AE327" t="n">
        <v>1.0</v>
      </c>
      <c r="AF327" t="n">
        <v>1.0</v>
      </c>
      <c r="AG327" t="n">
        <v>0.0</v>
      </c>
      <c r="AH327" t="n">
        <v>1.0</v>
      </c>
      <c r="AI327" t="n">
        <v>0.0</v>
      </c>
      <c r="AJ327" t="n">
        <v>0.0</v>
      </c>
      <c r="AK327" t="n">
        <v>7.19672131147541</v>
      </c>
      <c r="AL327" t="inlineStr">
        <is>
          <t/>
        </is>
      </c>
    </row>
    <row r="328">
      <c r="A328" t="inlineStr">
        <is>
          <t>感谢小红书！我家虾仁24小时100人加购了</t>
        </is>
      </c>
      <c r="B328" t="inlineStr">
        <is>
          <t>69dcb6d4000000001f004579</t>
        </is>
      </c>
      <c r="C328" s="327" t="n">
        <f>HYPERLINK("https://www.xiaohongshu.com/explore/69dcb6d4000000001f004579?xsec_token=TBe8vKhJyviDCWrA3Jp-irCXGTZAWr6qy6ru-oiH_zaZ8=&amp;xsec_source=pc_trdark","https://www.xiaohongshu.com/explore/69dcb6d4000000001f004579?xsec_token=TBe8vKhJyviDCWrA3Jp-irCXGTZAWr6qy6ru-oiH_zaZ8=&amp;xsec_source=pc_trdark")</f>
        <v>0.0</v>
      </c>
      <c r="D328" t="inlineStr">
        <is>
          <t>鲜水湾</t>
        </is>
      </c>
      <c r="E328" t="inlineStr">
        <is>
          <t>49316638994</t>
        </is>
      </c>
      <c r="F328" t="inlineStr">
        <is>
          <t>2026-04-13 17:26:44</t>
        </is>
      </c>
      <c r="G328" t="inlineStr">
        <is>
          <t>图文</t>
        </is>
      </c>
      <c r="H328" t="inlineStr">
        <is>
          <t>手剥虾仁 无冰衣无添加 低脂餐一人食 上班带饭 顺丰包邮 5盒装</t>
        </is>
      </c>
      <c r="I328" t="inlineStr">
        <is>
          <t>694baba01d450d00013662f0</t>
        </is>
      </c>
      <c r="J328" t="inlineStr">
        <is>
          <t/>
        </is>
      </c>
      <c r="K328" t="n">
        <v>0.0</v>
      </c>
      <c r="L328" t="n">
        <v>0.0</v>
      </c>
      <c r="M328" t="n">
        <v>16.0</v>
      </c>
      <c r="N328" t="inlineStr">
        <is>
          <t>0.26229508196721313</t>
        </is>
      </c>
      <c r="O328" t="n">
        <v>13.0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inlineStr">
        <is>
          <t/>
        </is>
      </c>
      <c r="X328" t="n">
        <v>0.0</v>
      </c>
      <c r="Y328" t="n">
        <v>2.0</v>
      </c>
      <c r="Z328" t="n">
        <v>4.0</v>
      </c>
      <c r="AA328" t="n">
        <v>0.0</v>
      </c>
      <c r="AB328" t="n">
        <v>0.0</v>
      </c>
      <c r="AC328" t="n">
        <v>0.0</v>
      </c>
      <c r="AD328" t="n">
        <v>61.0</v>
      </c>
      <c r="AE328" t="n">
        <v>3.0</v>
      </c>
      <c r="AF328" t="n">
        <v>0.0</v>
      </c>
      <c r="AG328" t="n">
        <v>0.0</v>
      </c>
      <c r="AH328" t="n">
        <v>1.0</v>
      </c>
      <c r="AI328" t="n">
        <v>0.0</v>
      </c>
      <c r="AJ328" t="n">
        <v>0.0</v>
      </c>
      <c r="AK328" t="n">
        <v>11.60655737704918</v>
      </c>
      <c r="AL328" t="inlineStr">
        <is>
          <t/>
        </is>
      </c>
    </row>
    <row r="329">
      <c r="A329" t="inlineStr">
        <is>
          <t>感谢315！无科技狠活的虾仁才是真的好卖👍</t>
        </is>
      </c>
      <c r="B329" t="inlineStr">
        <is>
          <t>69d4c4650000000023015d59</t>
        </is>
      </c>
      <c r="C329" s="328" t="n">
        <f>HYPERLINK("https://www.xiaohongshu.com/explore/69d4c4650000000023015d59?xsec_token=TBCfzrc-PQxdd2ruCVqHUjYh2mW2-QPsGLmE6b_xNmFNI=&amp;xsec_source=pc_trdark","https://www.xiaohongshu.com/explore/69d4c4650000000023015d59?xsec_token=TBCfzrc-PQxdd2ruCVqHUjYh2mW2-QPsGLmE6b_xNmFNI=&amp;xsec_source=pc_trdark")</f>
        <v>0.0</v>
      </c>
      <c r="D329" t="inlineStr">
        <is>
          <t>鲜水湾</t>
        </is>
      </c>
      <c r="E329" t="inlineStr">
        <is>
          <t>49316638994</t>
        </is>
      </c>
      <c r="F329" t="inlineStr">
        <is>
          <t>2026-04-07 16:46:29</t>
        </is>
      </c>
      <c r="G329" t="inlineStr">
        <is>
          <t>图文</t>
        </is>
      </c>
      <c r="H329" t="inlineStr">
        <is>
          <t>手剥虾仁 无冰衣无添加 低脂餐一人食 上班带饭 顺丰包邮 5盒装</t>
        </is>
      </c>
      <c r="I329" t="inlineStr">
        <is>
          <t>694baba01d450d00013662f0</t>
        </is>
      </c>
      <c r="J329" t="inlineStr">
        <is>
          <t/>
        </is>
      </c>
      <c r="K329" t="n">
        <v>0.0</v>
      </c>
      <c r="L329" t="n">
        <v>0.0</v>
      </c>
      <c r="M329" t="n">
        <v>8.0</v>
      </c>
      <c r="N329" t="inlineStr">
        <is>
          <t>0.13333333333333333</t>
        </is>
      </c>
      <c r="O329" t="n">
        <v>7.0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inlineStr">
        <is>
          <t/>
        </is>
      </c>
      <c r="X329" t="n">
        <v>0.0</v>
      </c>
      <c r="Y329" t="n">
        <v>5.0</v>
      </c>
      <c r="Z329" t="n">
        <v>1.0</v>
      </c>
      <c r="AA329" t="n">
        <v>0.0</v>
      </c>
      <c r="AB329" t="n">
        <v>0.0</v>
      </c>
      <c r="AC329" t="n">
        <v>0.0</v>
      </c>
      <c r="AD329" t="n">
        <v>60.0</v>
      </c>
      <c r="AE329" t="n">
        <v>1.0</v>
      </c>
      <c r="AF329" t="n">
        <v>1.0</v>
      </c>
      <c r="AG329" t="n">
        <v>0.0</v>
      </c>
      <c r="AH329" t="n">
        <v>1.0</v>
      </c>
      <c r="AI329" t="n">
        <v>0.0</v>
      </c>
      <c r="AJ329" t="n">
        <v>0.0</v>
      </c>
      <c r="AK329" t="n">
        <v>8.183333333333334</v>
      </c>
      <c r="AL329" t="inlineStr">
        <is>
          <t/>
        </is>
      </c>
    </row>
    <row r="330">
      <c r="A330" t="inlineStr">
        <is>
          <t>在小红书买的😭在家就轻松复刻的日料大餐</t>
        </is>
      </c>
      <c r="B330" t="inlineStr">
        <is>
          <t>693580e4000000001e03479d</t>
        </is>
      </c>
      <c r="C330" s="329" t="n">
        <f>HYPERLINK("https://www.xiaohongshu.com/explore/693580e4000000001e03479d?xsec_token=TBVD2oNyykPWo5AeaDpfHB-rG1MeWtLMy1MHy2g2_Zb0o=&amp;xsec_source=pc_trdark","https://www.xiaohongshu.com/explore/693580e4000000001e03479d?xsec_token=TBVD2oNyykPWo5AeaDpfHB-rG1MeWtLMy1MHy2g2_Zb0o=&amp;xsec_source=pc_trdark")</f>
        <v>0.0</v>
      </c>
      <c r="D330" t="inlineStr">
        <is>
          <t>鲜水湾</t>
        </is>
      </c>
      <c r="E330" t="inlineStr">
        <is>
          <t>49316638994</t>
        </is>
      </c>
      <c r="F330" t="inlineStr">
        <is>
          <t>2025-12-07 21:28:04</t>
        </is>
      </c>
      <c r="G330" t="inlineStr">
        <is>
          <t>图文</t>
        </is>
      </c>
      <c r="H330" t="inlineStr">
        <is>
          <t>智利三文鱼切块·整条三文鱼·深海鱼一人食健康饮食</t>
        </is>
      </c>
      <c r="I330" t="inlineStr">
        <is>
          <t>691ac562a524ee0001b51d7b</t>
        </is>
      </c>
      <c r="J330" t="inlineStr">
        <is>
          <t/>
        </is>
      </c>
      <c r="K330" t="n">
        <v>0.0</v>
      </c>
      <c r="L330" t="n">
        <v>0.0</v>
      </c>
      <c r="M330" t="n">
        <v>5.0</v>
      </c>
      <c r="N330" t="inlineStr">
        <is>
          <t>0.08333333333333333</t>
        </is>
      </c>
      <c r="O330" t="n">
        <v>5.0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inlineStr">
        <is>
          <t/>
        </is>
      </c>
      <c r="X330" t="n">
        <v>0.0</v>
      </c>
      <c r="Y330" t="n">
        <v>1.0</v>
      </c>
      <c r="Z330" t="n">
        <v>1.0</v>
      </c>
      <c r="AA330" t="n">
        <v>0.0</v>
      </c>
      <c r="AB330" t="n">
        <v>0.0</v>
      </c>
      <c r="AC330" t="n">
        <v>0.0</v>
      </c>
      <c r="AD330" t="n">
        <v>60.0</v>
      </c>
      <c r="AE330" t="n">
        <v>1.0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12.716666666666667</v>
      </c>
      <c r="AL330" t="inlineStr">
        <is>
          <t/>
        </is>
      </c>
    </row>
    <row r="331">
      <c r="A331" t="inlineStr">
        <is>
          <t>普通人减脂省钱分享：100+吃半个月</t>
        </is>
      </c>
      <c r="B331" t="inlineStr">
        <is>
          <t>69f16b51000000003501f685</t>
        </is>
      </c>
      <c r="C331" s="330" t="n">
        <f>HYPERLINK("https://www.xiaohongshu.com/explore/69f16b51000000003501f685?xsec_token=TBLt8Y96Ok9n09b_UIgIegbk1U6kjZS4TbVFe4E6UCV4E=&amp;xsec_source=pc_trdark","https://www.xiaohongshu.com/explore/69f16b51000000003501f685?xsec_token=TBLt8Y96Ok9n09b_UIgIegbk1U6kjZS4TbVFe4E6UCV4E=&amp;xsec_source=pc_trdark")</f>
        <v>0.0</v>
      </c>
      <c r="D331" t="inlineStr">
        <is>
          <t>鲜水湾甄选</t>
        </is>
      </c>
      <c r="E331" t="inlineStr">
        <is>
          <t>27401929161</t>
        </is>
      </c>
      <c r="F331" t="inlineStr">
        <is>
          <t>2026-04-29 10:22:09</t>
        </is>
      </c>
      <c r="G331" t="inlineStr">
        <is>
          <t>图文</t>
        </is>
      </c>
      <c r="H331" t="inlineStr">
        <is>
          <t>手剥虾仁 无冰衣无添加 低脂餐一人食 上班带饭 顺丰包邮 5盒装</t>
        </is>
      </c>
      <c r="I331" t="inlineStr">
        <is>
          <t>694baba01d450d00013662f0</t>
        </is>
      </c>
      <c r="J331" t="inlineStr">
        <is>
          <t/>
        </is>
      </c>
      <c r="K331" t="n">
        <v>69.0</v>
      </c>
      <c r="L331" t="n">
        <v>1.0</v>
      </c>
      <c r="M331" t="n">
        <v>5.0</v>
      </c>
      <c r="N331" t="inlineStr">
        <is>
          <t>0.08620689655172414</t>
        </is>
      </c>
      <c r="O331" t="n">
        <v>5.0</v>
      </c>
      <c r="P331" t="n">
        <v>1.0</v>
      </c>
      <c r="Q331" t="n">
        <v>0.2</v>
      </c>
      <c r="R331" t="n">
        <v>0.2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2.0</v>
      </c>
      <c r="Z331" t="n">
        <v>2.0</v>
      </c>
      <c r="AA331" t="n">
        <v>0.0</v>
      </c>
      <c r="AB331" t="n">
        <v>0.0</v>
      </c>
      <c r="AC331" t="n">
        <v>0.0</v>
      </c>
      <c r="AD331" t="n">
        <v>58.0</v>
      </c>
      <c r="AE331" t="n">
        <v>5.0</v>
      </c>
      <c r="AF331" t="n">
        <v>1.0</v>
      </c>
      <c r="AG331" t="n">
        <v>0.0</v>
      </c>
      <c r="AH331" t="n">
        <v>1.0</v>
      </c>
      <c r="AI331" t="n">
        <v>0.0</v>
      </c>
      <c r="AJ331" t="n">
        <v>0.0</v>
      </c>
      <c r="AK331" t="n">
        <v>16.413793103448278</v>
      </c>
      <c r="AL331" t="inlineStr">
        <is>
          <t/>
        </is>
      </c>
    </row>
    <row r="332">
      <c r="A332" t="inlineStr">
        <is>
          <t>瘦都是我应得的！吃不腻的减脂餐</t>
        </is>
      </c>
      <c r="B332" t="inlineStr">
        <is>
          <t>69ee0ef7000000003501d209</t>
        </is>
      </c>
      <c r="C332" s="331" t="n">
        <f>HYPERLINK("https://www.xiaohongshu.com/explore/69ee0ef7000000003501d209?xsec_token=TB3JCI8OO3ItJ5gw9_OIE0bPmFnobP9frmjE_tldzCq18=&amp;xsec_source=pc_trdark","https://www.xiaohongshu.com/explore/69ee0ef7000000003501d209?xsec_token=TB3JCI8OO3ItJ5gw9_OIE0bPmFnobP9frmjE_tldzCq18=&amp;xsec_source=pc_trdark")</f>
        <v>0.0</v>
      </c>
      <c r="D332" t="inlineStr">
        <is>
          <t>鲜水湾甄选</t>
        </is>
      </c>
      <c r="E332" t="inlineStr">
        <is>
          <t>27401929161</t>
        </is>
      </c>
      <c r="F332" t="inlineStr">
        <is>
          <t>2026-04-26 21:11:19</t>
        </is>
      </c>
      <c r="G332" t="inlineStr">
        <is>
          <t>图文</t>
        </is>
      </c>
      <c r="H332" t="inlineStr">
        <is>
          <t>手剥虾仁 无冰衣无添加 低脂餐一人食 上班带饭 顺丰包邮 5盒装</t>
        </is>
      </c>
      <c r="I332" t="inlineStr">
        <is>
          <t>694baba01d450d00013662f0</t>
        </is>
      </c>
      <c r="J332" t="inlineStr">
        <is>
          <t/>
        </is>
      </c>
      <c r="K332" t="n">
        <v>128.0</v>
      </c>
      <c r="L332" t="n">
        <v>1.0</v>
      </c>
      <c r="M332" t="n">
        <v>8.0</v>
      </c>
      <c r="N332" t="inlineStr">
        <is>
          <t>0.13793103448275862</t>
        </is>
      </c>
      <c r="O332" t="n">
        <v>7.0</v>
      </c>
      <c r="P332" t="n">
        <v>1.0</v>
      </c>
      <c r="Q332" t="n">
        <v>0.125</v>
      </c>
      <c r="R332" t="inlineStr">
        <is>
          <t>0.14285714285714285</t>
        </is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1.0</v>
      </c>
      <c r="Z332" t="n">
        <v>1.0</v>
      </c>
      <c r="AA332" t="n">
        <v>0.0</v>
      </c>
      <c r="AB332" t="n">
        <v>0.0</v>
      </c>
      <c r="AC332" t="n">
        <v>0.0</v>
      </c>
      <c r="AD332" t="n">
        <v>58.0</v>
      </c>
      <c r="AE332" t="n">
        <v>2.0</v>
      </c>
      <c r="AF332" t="n">
        <v>0.0</v>
      </c>
      <c r="AG332" t="n">
        <v>0.0</v>
      </c>
      <c r="AH332" t="n">
        <v>1.0</v>
      </c>
      <c r="AI332" t="n">
        <v>0.0</v>
      </c>
      <c r="AJ332" t="n">
        <v>0.0</v>
      </c>
      <c r="AK332" t="n">
        <v>11.120689655172415</v>
      </c>
      <c r="AL332" t="inlineStr">
        <is>
          <t/>
        </is>
      </c>
    </row>
    <row r="333">
      <c r="A333" t="inlineStr">
        <is>
          <t>和爸妈商量后！为早八人定制的虾仁小包装✌️</t>
        </is>
      </c>
      <c r="B333" t="inlineStr">
        <is>
          <t>69edac45000000003501c9a7</t>
        </is>
      </c>
      <c r="C333" s="332" t="n">
        <f>HYPERLINK("https://www.xiaohongshu.com/explore/69edac45000000003501c9a7?xsec_token=TB3T22OHPTz18Ew6RRyYsIrLcZkKY270DY0KpR5-ZE9xc=&amp;xsec_source=pc_trdark","https://www.xiaohongshu.com/explore/69edac45000000003501c9a7?xsec_token=TB3T22OHPTz18Ew6RRyYsIrLcZkKY270DY0KpR5-ZE9xc=&amp;xsec_source=pc_trdark")</f>
        <v>0.0</v>
      </c>
      <c r="D333" t="inlineStr">
        <is>
          <t>鲜水湾甄选</t>
        </is>
      </c>
      <c r="E333" t="inlineStr">
        <is>
          <t>27401929161</t>
        </is>
      </c>
      <c r="F333" t="inlineStr">
        <is>
          <t>2026-04-26 14:10:13</t>
        </is>
      </c>
      <c r="G333" t="inlineStr">
        <is>
          <t>图文</t>
        </is>
      </c>
      <c r="H333" t="inlineStr">
        <is>
          <t>手剥虾仁 无冰衣无添加 低脂餐一人食 上班带饭 顺丰包邮 5盒装</t>
        </is>
      </c>
      <c r="I333" t="inlineStr">
        <is>
          <t>694baba01d450d00013662f0</t>
        </is>
      </c>
      <c r="J333" t="inlineStr">
        <is>
          <t/>
        </is>
      </c>
      <c r="K333" t="n">
        <v>0.0</v>
      </c>
      <c r="L333" t="n">
        <v>0.0</v>
      </c>
      <c r="M333" t="n">
        <v>5.0</v>
      </c>
      <c r="N333" t="inlineStr">
        <is>
          <t>0.08620689655172414</t>
        </is>
      </c>
      <c r="O333" t="n">
        <v>4.0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inlineStr">
        <is>
          <t/>
        </is>
      </c>
      <c r="X333" t="n">
        <v>0.0</v>
      </c>
      <c r="Y333" t="n">
        <v>2.0</v>
      </c>
      <c r="Z333" t="n">
        <v>1.0</v>
      </c>
      <c r="AA333" t="n">
        <v>0.0</v>
      </c>
      <c r="AB333" t="n">
        <v>0.0</v>
      </c>
      <c r="AC333" t="n">
        <v>0.0</v>
      </c>
      <c r="AD333" t="n">
        <v>58.0</v>
      </c>
      <c r="AE333" t="n">
        <v>1.0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10.913793103448276</v>
      </c>
      <c r="AL333" t="inlineStr">
        <is>
          <t/>
        </is>
      </c>
    </row>
    <row r="334">
      <c r="A334" t="inlineStr">
        <is>
          <t>同事以为我每天吃虾很奢侈...</t>
        </is>
      </c>
      <c r="B334" t="inlineStr">
        <is>
          <t>69de0fe6000000001b02377f</t>
        </is>
      </c>
      <c r="C334" s="333" t="n">
        <f>HYPERLINK("https://www.xiaohongshu.com/explore/69de0fe6000000001b02377f?xsec_token=TB59yoDgsQvcJ0I-utjSL7kJjbOuOIRi4BpEAhL1xiG_o=&amp;xsec_source=pc_trdark","https://www.xiaohongshu.com/explore/69de0fe6000000001b02377f?xsec_token=TB59yoDgsQvcJ0I-utjSL7kJjbOuOIRi4BpEAhL1xiG_o=&amp;xsec_source=pc_trdark")</f>
        <v>0.0</v>
      </c>
      <c r="D334" t="inlineStr">
        <is>
          <t>婉婉上班吃什么</t>
        </is>
      </c>
      <c r="E334" t="inlineStr">
        <is>
          <t>11434449706</t>
        </is>
      </c>
      <c r="F334" t="inlineStr">
        <is>
          <t>2026-04-14 17:59:02</t>
        </is>
      </c>
      <c r="G334" t="inlineStr">
        <is>
          <t>图文</t>
        </is>
      </c>
      <c r="H334" t="inlineStr">
        <is>
          <t>手剥虾仁 无冰衣无添加 低脂餐一人食 上班带饭 顺丰包邮 5盒装</t>
        </is>
      </c>
      <c r="I334" t="inlineStr">
        <is>
          <t>694baba01d450d00013662f0</t>
        </is>
      </c>
      <c r="J334" t="inlineStr">
        <is>
          <t/>
        </is>
      </c>
      <c r="K334" t="n">
        <v>0.0</v>
      </c>
      <c r="L334" t="n">
        <v>0.0</v>
      </c>
      <c r="M334" t="n">
        <v>5.0</v>
      </c>
      <c r="N334" t="inlineStr">
        <is>
          <t>0.08620689655172414</t>
        </is>
      </c>
      <c r="O334" t="n">
        <v>5.0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inlineStr">
        <is>
          <t/>
        </is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58.0</v>
      </c>
      <c r="AE334" t="n">
        <v>1.0</v>
      </c>
      <c r="AF334" t="n">
        <v>0.0</v>
      </c>
      <c r="AG334" t="n">
        <v>0.0</v>
      </c>
      <c r="AH334" t="n">
        <v>2.0</v>
      </c>
      <c r="AI334" t="n">
        <v>0.0</v>
      </c>
      <c r="AJ334" t="n">
        <v>0.0</v>
      </c>
      <c r="AK334" t="n">
        <v>9.879310344827585</v>
      </c>
      <c r="AL334" t="inlineStr">
        <is>
          <t/>
        </is>
      </c>
    </row>
    <row r="335">
      <c r="A335" t="inlineStr">
        <is>
          <t>以为 100 没多少，结果够吃半个月了😂</t>
        </is>
      </c>
      <c r="B335" t="inlineStr">
        <is>
          <t>69d72c7d000000001a035f19</t>
        </is>
      </c>
      <c r="C335" s="334" t="n">
        <f>HYPERLINK("https://www.xiaohongshu.com/explore/69d72c7d000000001a035f19?xsec_token=TBabSJw1DqF320Z_FWL3yrQx3Hcrv_5IUb-gXz4fg4wfY=&amp;xsec_source=pc_trdark","https://www.xiaohongshu.com/explore/69d72c7d000000001a035f19?xsec_token=TBabSJw1DqF320Z_FWL3yrQx3Hcrv_5IUb-gXz4fg4wfY=&amp;xsec_source=pc_trdark")</f>
        <v>0.0</v>
      </c>
      <c r="D335" t="inlineStr">
        <is>
          <t>婉婉上班吃什么</t>
        </is>
      </c>
      <c r="E335" t="inlineStr">
        <is>
          <t>11434449706</t>
        </is>
      </c>
      <c r="F335" t="inlineStr">
        <is>
          <t>2026-04-09 12:35:09</t>
        </is>
      </c>
      <c r="G335" t="inlineStr">
        <is>
          <t>图文</t>
        </is>
      </c>
      <c r="H335" t="inlineStr">
        <is>
          <t>手剥虾仁 无冰衣无添加 低脂餐一人食 上班带饭 顺丰包邮 5盒装</t>
        </is>
      </c>
      <c r="I335" t="inlineStr">
        <is>
          <t>694baba01d450d00013662f0</t>
        </is>
      </c>
      <c r="J335" t="inlineStr">
        <is>
          <t/>
        </is>
      </c>
      <c r="K335" t="n">
        <v>0.0</v>
      </c>
      <c r="L335" t="n">
        <v>0.0</v>
      </c>
      <c r="M335" t="n">
        <v>1.0</v>
      </c>
      <c r="N335" t="inlineStr">
        <is>
          <t>0.017241379310344827</t>
        </is>
      </c>
      <c r="O335" t="n">
        <v>1.0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inlineStr">
        <is>
          <t/>
        </is>
      </c>
      <c r="X335" t="n">
        <v>0.0</v>
      </c>
      <c r="Y335" t="n">
        <v>0.0</v>
      </c>
      <c r="Z335" t="n">
        <v>2.0</v>
      </c>
      <c r="AA335" t="n">
        <v>0.0</v>
      </c>
      <c r="AB335" t="n">
        <v>0.0</v>
      </c>
      <c r="AC335" t="n">
        <v>0.0</v>
      </c>
      <c r="AD335" t="n">
        <v>58.0</v>
      </c>
      <c r="AE335" t="n">
        <v>1.0</v>
      </c>
      <c r="AF335" t="n">
        <v>0.0</v>
      </c>
      <c r="AG335" t="n">
        <v>0.0</v>
      </c>
      <c r="AH335" t="n">
        <v>1.0</v>
      </c>
      <c r="AI335" t="n">
        <v>0.0</v>
      </c>
      <c r="AJ335" t="n">
        <v>0.0</v>
      </c>
      <c r="AK335" t="n">
        <v>10.551724137931034</v>
      </c>
      <c r="AL335" t="inlineStr">
        <is>
          <t/>
        </is>
      </c>
    </row>
    <row r="336">
      <c r="A336" t="inlineStr">
        <is>
          <t>奉劝那些天天喝蛋白粉健身的女孩……</t>
        </is>
      </c>
      <c r="B336" t="inlineStr">
        <is>
          <t>69ad877e000000002303acac</t>
        </is>
      </c>
      <c r="C336" s="335" t="n">
        <f>HYPERLINK("https://www.xiaohongshu.com/explore/69ad877e000000002303acac?xsec_token=TBsauhpT2AwjD8NBV7WI8gZPl1x6YHHkcolydKD-MIQp8=&amp;xsec_source=pc_trdark","https://www.xiaohongshu.com/explore/69ad877e000000002303acac?xsec_token=TBsauhpT2AwjD8NBV7WI8gZPl1x6YHHkcolydKD-MIQp8=&amp;xsec_source=pc_trdark")</f>
        <v>0.0</v>
      </c>
      <c r="D336" t="inlineStr">
        <is>
          <t>鲜水湾甄选</t>
        </is>
      </c>
      <c r="E336" t="inlineStr">
        <is>
          <t>27401929161</t>
        </is>
      </c>
      <c r="F336" t="inlineStr">
        <is>
          <t>2026-03-08 22:28:14</t>
        </is>
      </c>
      <c r="G336" t="inlineStr">
        <is>
          <t>图文</t>
        </is>
      </c>
      <c r="H336" t="inlineStr">
        <is>
          <t>大虾基围虾王牌大虾厄瓜多尔白虾盐冻虾仁海洋大虾送礼顺丰包邮</t>
        </is>
      </c>
      <c r="I336" t="inlineStr">
        <is>
          <t>690aeb7be379430001e686ac</t>
        </is>
      </c>
      <c r="J336" t="inlineStr">
        <is>
          <t/>
        </is>
      </c>
      <c r="K336" t="n">
        <v>0.0</v>
      </c>
      <c r="L336" t="n">
        <v>0.0</v>
      </c>
      <c r="M336" t="n">
        <v>3.0</v>
      </c>
      <c r="N336" t="inlineStr">
        <is>
          <t>0.05172413793103448</t>
        </is>
      </c>
      <c r="O336" t="n">
        <v>3.0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inlineStr">
        <is>
          <t/>
        </is>
      </c>
      <c r="X336" t="n">
        <v>0.0</v>
      </c>
      <c r="Y336" t="n">
        <v>0.0</v>
      </c>
      <c r="Z336" t="n">
        <v>2.0</v>
      </c>
      <c r="AA336" t="n">
        <v>0.0</v>
      </c>
      <c r="AB336" t="n">
        <v>0.0</v>
      </c>
      <c r="AC336" t="n">
        <v>0.0</v>
      </c>
      <c r="AD336" t="n">
        <v>58.0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5.5344827586206895</v>
      </c>
      <c r="AL336" t="inlineStr">
        <is>
          <t/>
        </is>
      </c>
    </row>
    <row r="337">
      <c r="A337" t="inlineStr">
        <is>
          <t>低估60多块的购买力了，不到一块💰一只</t>
        </is>
      </c>
      <c r="B337" t="inlineStr">
        <is>
          <t>69271d5b000000001e030027</t>
        </is>
      </c>
      <c r="C337" s="336" t="n">
        <f>HYPERLINK("https://www.xiaohongshu.com/explore/69271d5b000000001e030027?xsec_token=TBLaSXRlY1LuZckfwFBOoYph40dfB80hCcDYQn9fvVAKU=&amp;xsec_source=pc_trdark","https://www.xiaohongshu.com/explore/69271d5b000000001e030027?xsec_token=TBLaSXRlY1LuZckfwFBOoYph40dfB80hCcDYQn9fvVAKU=&amp;xsec_source=pc_trdark")</f>
        <v>0.0</v>
      </c>
      <c r="D337" t="inlineStr">
        <is>
          <t>鲜水湾</t>
        </is>
      </c>
      <c r="E337" t="inlineStr">
        <is>
          <t>49316638994</t>
        </is>
      </c>
      <c r="F337" t="inlineStr">
        <is>
          <t>2025-11-26 23:31:40</t>
        </is>
      </c>
      <c r="G337" t="inlineStr">
        <is>
          <t>图文</t>
        </is>
      </c>
      <c r="H337" t="inlineStr">
        <is>
          <t>大虾基围虾王牌大虾厄瓜多尔白虾盐冻虾仁海洋大虾送礼顺丰包邮</t>
        </is>
      </c>
      <c r="I337" t="inlineStr">
        <is>
          <t>690aeb7be379430001e686ac</t>
        </is>
      </c>
      <c r="J337" t="inlineStr">
        <is>
          <t/>
        </is>
      </c>
      <c r="K337" t="n">
        <v>69.0</v>
      </c>
      <c r="L337" t="n">
        <v>1.0</v>
      </c>
      <c r="M337" t="n">
        <v>12.0</v>
      </c>
      <c r="N337" t="inlineStr">
        <is>
          <t>0.20689655172413793</t>
        </is>
      </c>
      <c r="O337" t="n">
        <v>12.0</v>
      </c>
      <c r="P337" t="n">
        <v>1.0</v>
      </c>
      <c r="Q337" t="inlineStr">
        <is>
          <t>0.08333333333333333</t>
        </is>
      </c>
      <c r="R337" t="inlineStr">
        <is>
          <t>0.08333333333333333</t>
        </is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2.0</v>
      </c>
      <c r="AA337" t="n">
        <v>0.0</v>
      </c>
      <c r="AB337" t="n">
        <v>0.0</v>
      </c>
      <c r="AC337" t="n">
        <v>0.0</v>
      </c>
      <c r="AD337" t="n">
        <v>58.0</v>
      </c>
      <c r="AE337" t="n">
        <v>0.0</v>
      </c>
      <c r="AF337" t="n">
        <v>0.0</v>
      </c>
      <c r="AG337" t="n">
        <v>0.0</v>
      </c>
      <c r="AH337" t="n">
        <v>0.0</v>
      </c>
      <c r="AI337" t="n">
        <v>1.0</v>
      </c>
      <c r="AJ337" t="n">
        <v>0.0</v>
      </c>
      <c r="AK337" t="n">
        <v>6.9655172413793105</v>
      </c>
      <c r="AL337" t="inlineStr">
        <is>
          <t/>
        </is>
      </c>
    </row>
    <row r="338">
      <c r="A338" t="inlineStr">
        <is>
          <t>还有比虾仁更适合懒人的减脂餐嘛🫣</t>
        </is>
      </c>
      <c r="B338" t="inlineStr">
        <is>
          <t>69f042ce0000000035027aa1</t>
        </is>
      </c>
      <c r="C338" s="337" t="n">
        <f>HYPERLINK("https://www.xiaohongshu.com/explore/69f042ce0000000035027aa1?xsec_token=TBvHxiGmj2CedfPdQHdLJBmFZb4q9hkYgc_RBM2daPCEI=&amp;xsec_source=pc_trdark","https://www.xiaohongshu.com/explore/69f042ce0000000035027aa1?xsec_token=TBvHxiGmj2CedfPdQHdLJBmFZb4q9hkYgc_RBM2daPCEI=&amp;xsec_source=pc_trdark")</f>
        <v>0.0</v>
      </c>
      <c r="D338" t="inlineStr">
        <is>
          <t>鲜水湾甄选</t>
        </is>
      </c>
      <c r="E338" t="inlineStr">
        <is>
          <t>27401929161</t>
        </is>
      </c>
      <c r="F338" t="inlineStr">
        <is>
          <t>2026-04-28 13:17:02</t>
        </is>
      </c>
      <c r="G338" t="inlineStr">
        <is>
          <t>图文</t>
        </is>
      </c>
      <c r="H338" t="inlineStr">
        <is>
          <t>手剥虾仁 无冰衣无添加 低脂餐一人食 上班带饭 顺丰包邮 5盒装</t>
        </is>
      </c>
      <c r="I338" t="inlineStr">
        <is>
          <t>694baba01d450d00013662f0</t>
        </is>
      </c>
      <c r="J338" t="inlineStr">
        <is>
          <t/>
        </is>
      </c>
      <c r="K338" t="n">
        <v>0.0</v>
      </c>
      <c r="L338" t="n">
        <v>0.0</v>
      </c>
      <c r="M338" t="n">
        <v>7.0</v>
      </c>
      <c r="N338" t="inlineStr">
        <is>
          <t>0.12280701754385964</t>
        </is>
      </c>
      <c r="O338" t="n">
        <v>7.0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inlineStr">
        <is>
          <t/>
        </is>
      </c>
      <c r="X338" t="n">
        <v>0.0</v>
      </c>
      <c r="Y338" t="n">
        <v>0.0</v>
      </c>
      <c r="Z338" t="n">
        <v>4.0</v>
      </c>
      <c r="AA338" t="n">
        <v>0.0</v>
      </c>
      <c r="AB338" t="n">
        <v>0.0</v>
      </c>
      <c r="AC338" t="n">
        <v>0.0</v>
      </c>
      <c r="AD338" t="n">
        <v>57.0</v>
      </c>
      <c r="AE338" t="n">
        <v>2.0</v>
      </c>
      <c r="AF338" t="n">
        <v>0.0</v>
      </c>
      <c r="AG338" t="n">
        <v>0.0</v>
      </c>
      <c r="AH338" t="n">
        <v>1.0</v>
      </c>
      <c r="AI338" t="n">
        <v>0.0</v>
      </c>
      <c r="AJ338" t="n">
        <v>0.0</v>
      </c>
      <c r="AK338" t="n">
        <v>9.24561403508772</v>
      </c>
      <c r="AL338" t="inlineStr">
        <is>
          <t/>
        </is>
      </c>
    </row>
    <row r="339">
      <c r="A339" t="inlineStr">
        <is>
          <t>快看❗️原来降低物欲花128块可以囤一周的量</t>
        </is>
      </c>
      <c r="B339" t="inlineStr">
        <is>
          <t>69eca665000000003502f040</t>
        </is>
      </c>
      <c r="C339" s="338" t="n">
        <f>HYPERLINK("https://www.xiaohongshu.com/explore/69eca665000000003502f040?xsec_token=TBnoSF_--XRDuLtfF77lVqP12_NOu1ipAcg7O8Zh40kYI=&amp;xsec_source=pc_trdark","https://www.xiaohongshu.com/explore/69eca665000000003502f040?xsec_token=TBnoSF_--XRDuLtfF77lVqP12_NOu1ipAcg7O8Zh40kYI=&amp;xsec_source=pc_trdark")</f>
        <v>0.0</v>
      </c>
      <c r="D339" t="inlineStr">
        <is>
          <t>鲜水湾甄选</t>
        </is>
      </c>
      <c r="E339" t="inlineStr">
        <is>
          <t>27401929161</t>
        </is>
      </c>
      <c r="F339" t="inlineStr">
        <is>
          <t>2026-04-25 19:32:53</t>
        </is>
      </c>
      <c r="G339" t="inlineStr">
        <is>
          <t>图文</t>
        </is>
      </c>
      <c r="H339" t="inlineStr">
        <is>
          <t>手剥虾仁 无冰衣无添加 低脂餐一人食 上班带饭 顺丰包邮 5盒装</t>
        </is>
      </c>
      <c r="I339" t="inlineStr">
        <is>
          <t>694baba01d450d00013662f0</t>
        </is>
      </c>
      <c r="J339" t="inlineStr">
        <is>
          <t/>
        </is>
      </c>
      <c r="K339" t="n">
        <v>0.0</v>
      </c>
      <c r="L339" t="n">
        <v>0.0</v>
      </c>
      <c r="M339" t="n">
        <v>5.0</v>
      </c>
      <c r="N339" t="inlineStr">
        <is>
          <t>0.08771929824561403</t>
        </is>
      </c>
      <c r="O339" t="n">
        <v>5.0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inlineStr">
        <is>
          <t/>
        </is>
      </c>
      <c r="X339" t="n">
        <v>0.0</v>
      </c>
      <c r="Y339" t="n">
        <v>1.0</v>
      </c>
      <c r="Z339" t="n">
        <v>6.0</v>
      </c>
      <c r="AA339" t="n">
        <v>0.0</v>
      </c>
      <c r="AB339" t="n">
        <v>0.0</v>
      </c>
      <c r="AC339" t="n">
        <v>0.0</v>
      </c>
      <c r="AD339" t="n">
        <v>57.0</v>
      </c>
      <c r="AE339" t="n">
        <v>3.0</v>
      </c>
      <c r="AF339" t="n">
        <v>0.0</v>
      </c>
      <c r="AG339" t="n">
        <v>0.0</v>
      </c>
      <c r="AH339" t="n">
        <v>1.0</v>
      </c>
      <c r="AI339" t="n">
        <v>0.0</v>
      </c>
      <c r="AJ339" t="n">
        <v>0.0</v>
      </c>
      <c r="AK339" t="n">
        <v>11.771929824561404</v>
      </c>
      <c r="AL339" t="inlineStr">
        <is>
          <t/>
        </is>
      </c>
    </row>
    <row r="340">
      <c r="A340" t="inlineStr">
        <is>
          <t>一个人买，整个办公室都在跟着回购🙈</t>
        </is>
      </c>
      <c r="B340" t="inlineStr">
        <is>
          <t>69ec790a00000000360035a0</t>
        </is>
      </c>
      <c r="C340" s="339" t="n">
        <f>HYPERLINK("https://www.xiaohongshu.com/explore/69ec790a00000000360035a0?xsec_token=TBnoSF_--XRDuLtfF77lVqP7V-RY08hQmGHt7VsAUuMC0=&amp;xsec_source=pc_trdark","https://www.xiaohongshu.com/explore/69ec790a00000000360035a0?xsec_token=TBnoSF_--XRDuLtfF77lVqP7V-RY08hQmGHt7VsAUuMC0=&amp;xsec_source=pc_trdark")</f>
        <v>0.0</v>
      </c>
      <c r="D340" t="inlineStr">
        <is>
          <t>鲜水湾甄选</t>
        </is>
      </c>
      <c r="E340" t="inlineStr">
        <is>
          <t>27401929161</t>
        </is>
      </c>
      <c r="F340" t="inlineStr">
        <is>
          <t>2026-04-25 16:19:22</t>
        </is>
      </c>
      <c r="G340" t="inlineStr">
        <is>
          <t>图文</t>
        </is>
      </c>
      <c r="H340" t="inlineStr">
        <is>
          <t>手剥虾仁 无冰衣无添加 低脂餐一人食 上班带饭 顺丰包邮 5盒装</t>
        </is>
      </c>
      <c r="I340" t="inlineStr">
        <is>
          <t>694baba01d450d00013662f0</t>
        </is>
      </c>
      <c r="J340" t="inlineStr">
        <is>
          <t/>
        </is>
      </c>
      <c r="K340" t="n">
        <v>0.0</v>
      </c>
      <c r="L340" t="n">
        <v>0.0</v>
      </c>
      <c r="M340" t="n">
        <v>4.0</v>
      </c>
      <c r="N340" t="inlineStr">
        <is>
          <t>0.07017543859649122</t>
        </is>
      </c>
      <c r="O340" t="n">
        <v>2.0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inlineStr">
        <is>
          <t/>
        </is>
      </c>
      <c r="X340" t="n">
        <v>0.0</v>
      </c>
      <c r="Y340" t="n">
        <v>1.0</v>
      </c>
      <c r="Z340" t="n">
        <v>3.0</v>
      </c>
      <c r="AA340" t="n">
        <v>0.0</v>
      </c>
      <c r="AB340" t="n">
        <v>0.0</v>
      </c>
      <c r="AC340" t="n">
        <v>0.0</v>
      </c>
      <c r="AD340" t="n">
        <v>57.0</v>
      </c>
      <c r="AE340" t="n">
        <v>0.0</v>
      </c>
      <c r="AF340" t="n">
        <v>0.0</v>
      </c>
      <c r="AG340" t="n">
        <v>0.0</v>
      </c>
      <c r="AH340" t="n">
        <v>1.0</v>
      </c>
      <c r="AI340" t="n">
        <v>0.0</v>
      </c>
      <c r="AJ340" t="n">
        <v>0.0</v>
      </c>
      <c r="AK340" t="n">
        <v>10.508771929824562</v>
      </c>
      <c r="AL340" t="inlineStr">
        <is>
          <t/>
        </is>
      </c>
    </row>
    <row r="341">
      <c r="A341" t="inlineStr">
        <is>
          <t>爸妈对于我每天吃一盒虾仁表示很奢侈</t>
        </is>
      </c>
      <c r="B341" t="inlineStr">
        <is>
          <t>69e6efa900000000230217ee</t>
        </is>
      </c>
      <c r="C341" s="340" t="n">
        <f>HYPERLINK("https://www.xiaohongshu.com/explore/69e6efa900000000230217ee?xsec_token=TBXs2O6r9V_Qdtui9pffX9XanSLgC4PkJzybMYLFdFsyg=&amp;xsec_source=pc_trdark","https://www.xiaohongshu.com/explore/69e6efa900000000230217ee?xsec_token=TBXs2O6r9V_Qdtui9pffX9XanSLgC4PkJzybMYLFdFsyg=&amp;xsec_source=pc_trdark")</f>
        <v>0.0</v>
      </c>
      <c r="D341" t="inlineStr">
        <is>
          <t>鲜水湾甄选</t>
        </is>
      </c>
      <c r="E341" t="inlineStr">
        <is>
          <t>27401929161</t>
        </is>
      </c>
      <c r="F341" t="inlineStr">
        <is>
          <t>2026-04-21 14:30:00</t>
        </is>
      </c>
      <c r="G341" t="inlineStr">
        <is>
          <t>图文</t>
        </is>
      </c>
      <c r="H341" t="inlineStr">
        <is>
          <t>手剥虾仁 无冰衣无添加 低脂餐一人食 上班带饭 顺丰包邮 5盒装</t>
        </is>
      </c>
      <c r="I341" t="inlineStr">
        <is>
          <t>694baba01d450d00013662f0</t>
        </is>
      </c>
      <c r="J341" t="inlineStr">
        <is>
          <t/>
        </is>
      </c>
      <c r="K341" t="n">
        <v>0.0</v>
      </c>
      <c r="L341" t="n">
        <v>0.0</v>
      </c>
      <c r="M341" t="n">
        <v>13.0</v>
      </c>
      <c r="N341" t="inlineStr">
        <is>
          <t>0.22807017543859648</t>
        </is>
      </c>
      <c r="O341" t="n">
        <v>12.0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inlineStr">
        <is>
          <t/>
        </is>
      </c>
      <c r="X341" t="n">
        <v>0.0</v>
      </c>
      <c r="Y341" t="n">
        <v>4.0</v>
      </c>
      <c r="Z341" t="n">
        <v>3.0</v>
      </c>
      <c r="AA341" t="n">
        <v>0.0</v>
      </c>
      <c r="AB341" t="n">
        <v>0.0</v>
      </c>
      <c r="AC341" t="n">
        <v>0.0</v>
      </c>
      <c r="AD341" t="n">
        <v>57.0</v>
      </c>
      <c r="AE341" t="n">
        <v>2.0</v>
      </c>
      <c r="AF341" t="n">
        <v>0.0</v>
      </c>
      <c r="AG341" t="n">
        <v>0.0</v>
      </c>
      <c r="AH341" t="n">
        <v>1.0</v>
      </c>
      <c r="AI341" t="n">
        <v>0.0</v>
      </c>
      <c r="AJ341" t="n">
        <v>0.0</v>
      </c>
      <c r="AK341" t="n">
        <v>13.701754385964913</v>
      </c>
      <c r="AL341" t="inlineStr">
        <is>
          <t/>
        </is>
      </c>
    </row>
    <row r="342">
      <c r="A342" t="inlineStr">
        <is>
          <t>听老粉的话，推出了一人食小包装</t>
        </is>
      </c>
      <c r="B342" t="inlineStr">
        <is>
          <t>69da5875000000001e00f4e5</t>
        </is>
      </c>
      <c r="C342" s="341" t="n">
        <f>HYPERLINK("https://www.xiaohongshu.com/explore/69da5875000000001e00f4e5?xsec_token=TBhxbjR_dqBsHKT9m13UeVyrNo9Wty0PiWU2T5gm1MJto=&amp;xsec_source=pc_trdark","https://www.xiaohongshu.com/explore/69da5875000000001e00f4e5?xsec_token=TBhxbjR_dqBsHKT9m13UeVyrNo9Wty0PiWU2T5gm1MJto=&amp;xsec_source=pc_trdark")</f>
        <v>0.0</v>
      </c>
      <c r="D342" t="inlineStr">
        <is>
          <t>鲜水湾</t>
        </is>
      </c>
      <c r="E342" t="inlineStr">
        <is>
          <t>49316638994</t>
        </is>
      </c>
      <c r="F342" t="inlineStr">
        <is>
          <t>2026-04-11 22:19:33</t>
        </is>
      </c>
      <c r="G342" t="inlineStr">
        <is>
          <t>图文</t>
        </is>
      </c>
      <c r="H342" t="inlineStr">
        <is>
          <t>手剥虾仁 无冰衣无添加 低脂餐一人食 上班带饭 顺丰包邮 5盒装</t>
        </is>
      </c>
      <c r="I342" t="inlineStr">
        <is>
          <t>694baba01d450d00013662f0</t>
        </is>
      </c>
      <c r="J342" t="inlineStr">
        <is>
          <t/>
        </is>
      </c>
      <c r="K342" t="n">
        <v>0.0</v>
      </c>
      <c r="L342" t="n">
        <v>0.0</v>
      </c>
      <c r="M342" t="n">
        <v>12.0</v>
      </c>
      <c r="N342" t="inlineStr">
        <is>
          <t>0.21052631578947367</t>
        </is>
      </c>
      <c r="O342" t="n">
        <v>12.0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inlineStr">
        <is>
          <t/>
        </is>
      </c>
      <c r="X342" t="n">
        <v>0.0</v>
      </c>
      <c r="Y342" t="n">
        <v>3.0</v>
      </c>
      <c r="Z342" t="n">
        <v>0.0</v>
      </c>
      <c r="AA342" t="n">
        <v>0.0</v>
      </c>
      <c r="AB342" t="n">
        <v>0.0</v>
      </c>
      <c r="AC342" t="n">
        <v>0.0</v>
      </c>
      <c r="AD342" t="n">
        <v>57.0</v>
      </c>
      <c r="AE342" t="n">
        <v>1.0</v>
      </c>
      <c r="AF342" t="n">
        <v>0.0</v>
      </c>
      <c r="AG342" t="n">
        <v>0.0</v>
      </c>
      <c r="AH342" t="n">
        <v>1.0</v>
      </c>
      <c r="AI342" t="n">
        <v>0.0</v>
      </c>
      <c r="AJ342" t="n">
        <v>0.0</v>
      </c>
      <c r="AK342" t="n">
        <v>9.964912280701755</v>
      </c>
      <c r="AL342" t="inlineStr">
        <is>
          <t/>
        </is>
      </c>
    </row>
    <row r="343">
      <c r="A343" t="inlineStr">
        <is>
          <t>区区69块钱，竟然解决了我一周上班带饭</t>
        </is>
      </c>
      <c r="B343" t="inlineStr">
        <is>
          <t>69ec52e3000000003600103a</t>
        </is>
      </c>
      <c r="C343" s="342" t="n">
        <f>HYPERLINK("https://www.xiaohongshu.com/explore/69ec52e3000000003600103a?xsec_token=TBnoSF_--XRDuLtfF77lVqP6dSIyX6bSQqqAFfI_rxrQA=&amp;xsec_source=pc_trdark","https://www.xiaohongshu.com/explore/69ec52e3000000003600103a?xsec_token=TBnoSF_--XRDuLtfF77lVqP6dSIyX6bSQqqAFfI_rxrQA=&amp;xsec_source=pc_trdark")</f>
        <v>0.0</v>
      </c>
      <c r="D343" t="inlineStr">
        <is>
          <t>鲜水湾甄选</t>
        </is>
      </c>
      <c r="E343" t="inlineStr">
        <is>
          <t>27401929161</t>
        </is>
      </c>
      <c r="F343" t="inlineStr">
        <is>
          <t>2026-04-25 13:36:35</t>
        </is>
      </c>
      <c r="G343" t="inlineStr">
        <is>
          <t>图文</t>
        </is>
      </c>
      <c r="H343" t="inlineStr">
        <is>
          <t>手剥虾仁 无冰衣无添加 低脂餐一人食 上班带饭 顺丰包邮 5盒装</t>
        </is>
      </c>
      <c r="I343" t="inlineStr">
        <is>
          <t>694baba01d450d00013662f0</t>
        </is>
      </c>
      <c r="J343" t="inlineStr">
        <is>
          <t/>
        </is>
      </c>
      <c r="K343" t="n">
        <v>0.0</v>
      </c>
      <c r="L343" t="n">
        <v>0.0</v>
      </c>
      <c r="M343" t="n">
        <v>5.0</v>
      </c>
      <c r="N343" t="inlineStr">
        <is>
          <t>0.08928571428571429</t>
        </is>
      </c>
      <c r="O343" t="n">
        <v>5.0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inlineStr">
        <is>
          <t/>
        </is>
      </c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56.0</v>
      </c>
      <c r="AE343" t="n">
        <v>0.0</v>
      </c>
      <c r="AF343" t="n">
        <v>0.0</v>
      </c>
      <c r="AG343" t="n">
        <v>0.0</v>
      </c>
      <c r="AH343" t="n">
        <v>2.0</v>
      </c>
      <c r="AI343" t="n">
        <v>0.0</v>
      </c>
      <c r="AJ343" t="n">
        <v>0.0</v>
      </c>
      <c r="AK343" t="n">
        <v>14.017857142857142</v>
      </c>
      <c r="AL343" t="inlineStr">
        <is>
          <t/>
        </is>
      </c>
    </row>
    <row r="344">
      <c r="A344" t="inlineStr">
        <is>
          <t>我们的虾仁不是最便宜的，但是配料表最短的</t>
        </is>
      </c>
      <c r="B344" t="inlineStr">
        <is>
          <t>69d74349000000001a02d74f</t>
        </is>
      </c>
      <c r="C344" s="343" t="n">
        <f>HYPERLINK("https://www.xiaohongshu.com/explore/69d74349000000001a02d74f?xsec_token=TBabSJw1DqF320Z_FWL3yrQ8FO7xQiY-c2Y1nx91anQBs=&amp;xsec_source=pc_trdark","https://www.xiaohongshu.com/explore/69d74349000000001a02d74f?xsec_token=TBabSJw1DqF320Z_FWL3yrQ8FO7xQiY-c2Y1nx91anQBs=&amp;xsec_source=pc_trdark")</f>
        <v>0.0</v>
      </c>
      <c r="D344" t="inlineStr">
        <is>
          <t>鲜水湾</t>
        </is>
      </c>
      <c r="E344" t="inlineStr">
        <is>
          <t>49316638994</t>
        </is>
      </c>
      <c r="F344" t="inlineStr">
        <is>
          <t>2026-04-09 14:12:25</t>
        </is>
      </c>
      <c r="G344" t="inlineStr">
        <is>
          <t>图文</t>
        </is>
      </c>
      <c r="H344" t="inlineStr">
        <is>
          <t>手剥虾仁 无冰衣无添加 低脂餐一人食 上班带饭 顺丰包邮 5盒装</t>
        </is>
      </c>
      <c r="I344" t="inlineStr">
        <is>
          <t>694baba01d450d00013662f0</t>
        </is>
      </c>
      <c r="J344" t="inlineStr">
        <is>
          <t/>
        </is>
      </c>
      <c r="K344" t="n">
        <v>0.0</v>
      </c>
      <c r="L344" t="n">
        <v>0.0</v>
      </c>
      <c r="M344" t="n">
        <v>13.0</v>
      </c>
      <c r="N344" t="inlineStr">
        <is>
          <t>0.23214285714285715</t>
        </is>
      </c>
      <c r="O344" t="n">
        <v>10.0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inlineStr">
        <is>
          <t/>
        </is>
      </c>
      <c r="X344" t="n">
        <v>0.0</v>
      </c>
      <c r="Y344" t="n">
        <v>0.0</v>
      </c>
      <c r="Z344" t="n">
        <v>1.0</v>
      </c>
      <c r="AA344" t="n">
        <v>0.0</v>
      </c>
      <c r="AB344" t="n">
        <v>0.0</v>
      </c>
      <c r="AC344" t="n">
        <v>0.0</v>
      </c>
      <c r="AD344" t="n">
        <v>56.0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14.982142857142858</v>
      </c>
      <c r="AL344" t="inlineStr">
        <is>
          <t/>
        </is>
      </c>
    </row>
    <row r="345">
      <c r="A345" t="inlineStr">
        <is>
          <t>闺蜜说我减脂期吃虾仁很奢侈！？</t>
        </is>
      </c>
      <c r="B345" t="inlineStr">
        <is>
          <t>69ef621600000000350278b2</t>
        </is>
      </c>
      <c r="C345" s="344" t="n">
        <f>HYPERLINK("https://www.xiaohongshu.com/explore/69ef621600000000350278b2?xsec_token=TB8YlxxIf2o_Xr_LAif13-vEZb2ndBmFxKLGR9Be3YuJQ=&amp;xsec_source=pc_trdark","https://www.xiaohongshu.com/explore/69ef621600000000350278b2?xsec_token=TB8YlxxIf2o_Xr_LAif13-vEZb2ndBmFxKLGR9Be3YuJQ=&amp;xsec_source=pc_trdark")</f>
        <v>0.0</v>
      </c>
      <c r="D345" t="inlineStr">
        <is>
          <t>鲜水湾甄选</t>
        </is>
      </c>
      <c r="E345" t="inlineStr">
        <is>
          <t>27401929161</t>
        </is>
      </c>
      <c r="F345" t="inlineStr">
        <is>
          <t>2026-04-27 21:18:14</t>
        </is>
      </c>
      <c r="G345" t="inlineStr">
        <is>
          <t>图文</t>
        </is>
      </c>
      <c r="H345" t="inlineStr">
        <is>
          <t>手剥虾仁 无冰衣无添加 低脂餐一人食 上班带饭 顺丰包邮 5盒装</t>
        </is>
      </c>
      <c r="I345" t="inlineStr">
        <is>
          <t>694baba01d450d00013662f0</t>
        </is>
      </c>
      <c r="J345" t="inlineStr">
        <is>
          <t/>
        </is>
      </c>
      <c r="K345" t="n">
        <v>0.0</v>
      </c>
      <c r="L345" t="n">
        <v>0.0</v>
      </c>
      <c r="M345" t="n">
        <v>5.0</v>
      </c>
      <c r="N345" t="inlineStr">
        <is>
          <t>0.09090909090909091</t>
        </is>
      </c>
      <c r="O345" t="n">
        <v>3.0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inlineStr">
        <is>
          <t/>
        </is>
      </c>
      <c r="X345" t="n">
        <v>0.0</v>
      </c>
      <c r="Y345" t="n">
        <v>0.0</v>
      </c>
      <c r="Z345" t="n">
        <v>6.0</v>
      </c>
      <c r="AA345" t="n">
        <v>0.0</v>
      </c>
      <c r="AB345" t="n">
        <v>0.0</v>
      </c>
      <c r="AC345" t="n">
        <v>0.0</v>
      </c>
      <c r="AD345" t="n">
        <v>55.0</v>
      </c>
      <c r="AE345" t="n">
        <v>2.0</v>
      </c>
      <c r="AF345" t="n">
        <v>1.0</v>
      </c>
      <c r="AG345" t="n">
        <v>0.0</v>
      </c>
      <c r="AH345" t="n">
        <v>1.0</v>
      </c>
      <c r="AI345" t="n">
        <v>1.0</v>
      </c>
      <c r="AJ345" t="n">
        <v>0.0</v>
      </c>
      <c r="AK345" t="n">
        <v>11.4</v>
      </c>
      <c r="AL345" t="inlineStr">
        <is>
          <t/>
        </is>
      </c>
    </row>
    <row r="346">
      <c r="A346" t="inlineStr">
        <is>
          <t>感谢小红书，越来越多的人喜欢吃无添加虾仁</t>
        </is>
      </c>
      <c r="B346" t="inlineStr">
        <is>
          <t>69d1315400000000220255c4</t>
        </is>
      </c>
      <c r="C346" s="345" t="n">
        <f>HYPERLINK("https://www.xiaohongshu.com/explore/69d1315400000000220255c4?xsec_token=TBT5TAUGV3LcD_GYbSvfENi23GKL-udr9TvBbqhPwohLQ=&amp;xsec_source=pc_trdark","https://www.xiaohongshu.com/explore/69d1315400000000220255c4?xsec_token=TBT5TAUGV3LcD_GYbSvfENi23GKL-udr9TvBbqhPwohLQ=&amp;xsec_source=pc_trdark")</f>
        <v>0.0</v>
      </c>
      <c r="D346" t="inlineStr">
        <is>
          <t>鲜水湾</t>
        </is>
      </c>
      <c r="E346" t="inlineStr">
        <is>
          <t>49316638994</t>
        </is>
      </c>
      <c r="F346" t="inlineStr">
        <is>
          <t>2026-04-04 23:42:12</t>
        </is>
      </c>
      <c r="G346" t="inlineStr">
        <is>
          <t>图文</t>
        </is>
      </c>
      <c r="H346" t="inlineStr">
        <is>
          <t>手剥虾仁 无冰衣无添加 低脂餐一人食 上班带饭 顺丰包邮 5盒装</t>
        </is>
      </c>
      <c r="I346" t="inlineStr">
        <is>
          <t>694baba01d450d00013662f0</t>
        </is>
      </c>
      <c r="J346" t="inlineStr">
        <is>
          <t/>
        </is>
      </c>
      <c r="K346" t="n">
        <v>0.0</v>
      </c>
      <c r="L346" t="n">
        <v>0.0</v>
      </c>
      <c r="M346" t="n">
        <v>7.0</v>
      </c>
      <c r="N346" t="inlineStr">
        <is>
          <t>0.12727272727272726</t>
        </is>
      </c>
      <c r="O346" t="n">
        <v>7.0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inlineStr">
        <is>
          <t/>
        </is>
      </c>
      <c r="X346" t="n">
        <v>0.0</v>
      </c>
      <c r="Y346" t="n">
        <v>1.0</v>
      </c>
      <c r="Z346" t="n">
        <v>9.0</v>
      </c>
      <c r="AA346" t="n">
        <v>0.0</v>
      </c>
      <c r="AB346" t="n">
        <v>0.0</v>
      </c>
      <c r="AC346" t="n">
        <v>0.0</v>
      </c>
      <c r="AD346" t="n">
        <v>55.0</v>
      </c>
      <c r="AE346" t="n">
        <v>1.0</v>
      </c>
      <c r="AF346" t="n">
        <v>0.0</v>
      </c>
      <c r="AG346" t="n">
        <v>0.0</v>
      </c>
      <c r="AH346" t="n">
        <v>1.0</v>
      </c>
      <c r="AI346" t="n">
        <v>0.0</v>
      </c>
      <c r="AJ346" t="n">
        <v>0.0</v>
      </c>
      <c r="AK346" t="n">
        <v>12.963636363636363</v>
      </c>
      <c r="AL346" t="inlineStr">
        <is>
          <t/>
        </is>
      </c>
    </row>
    <row r="347">
      <c r="A347" t="inlineStr">
        <is>
          <t>还以为69没多少，结果够我吃一整周了～</t>
        </is>
      </c>
      <c r="B347" t="inlineStr">
        <is>
          <t>69f2e895000000002301cce4</t>
        </is>
      </c>
      <c r="C347" s="346" t="n">
        <f>HYPERLINK("https://www.xiaohongshu.com/explore/69f2e895000000002301cce4?xsec_token=TBvWHBo3-qwEN9bVc9g-yUNYdIziwGSQvPIP8ipwuiPnU=&amp;xsec_source=pc_trdark","https://www.xiaohongshu.com/explore/69f2e895000000002301cce4?xsec_token=TBvWHBo3-qwEN9bVc9g-yUNYdIziwGSQvPIP8ipwuiPnU=&amp;xsec_source=pc_trdark")</f>
        <v>0.0</v>
      </c>
      <c r="D347" t="inlineStr">
        <is>
          <t>菲菲上班吃什么</t>
        </is>
      </c>
      <c r="E347" t="inlineStr">
        <is>
          <t>49936530607</t>
        </is>
      </c>
      <c r="F347" t="inlineStr">
        <is>
          <t>2026-04-30 13:28:53</t>
        </is>
      </c>
      <c r="G347" t="inlineStr">
        <is>
          <t>图文</t>
        </is>
      </c>
      <c r="H347" t="inlineStr">
        <is>
          <t>手剥虾仁 无冰衣无添加 低脂餐一人食 上班带饭 顺丰包邮 5盒装</t>
        </is>
      </c>
      <c r="I347" t="inlineStr">
        <is>
          <t>694baba01d450d00013662f0</t>
        </is>
      </c>
      <c r="J347" t="inlineStr">
        <is>
          <t/>
        </is>
      </c>
      <c r="K347" t="n">
        <v>0.0</v>
      </c>
      <c r="L347" t="n">
        <v>0.0</v>
      </c>
      <c r="M347" t="n">
        <v>7.0</v>
      </c>
      <c r="N347" t="inlineStr">
        <is>
          <t>0.12962962962962962</t>
        </is>
      </c>
      <c r="O347" t="n">
        <v>7.0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inlineStr">
        <is>
          <t/>
        </is>
      </c>
      <c r="X347" t="n">
        <v>0.0</v>
      </c>
      <c r="Y347" t="n">
        <v>0.0</v>
      </c>
      <c r="Z347" t="n">
        <v>1.0</v>
      </c>
      <c r="AA347" t="n">
        <v>0.0</v>
      </c>
      <c r="AB347" t="n">
        <v>0.0</v>
      </c>
      <c r="AC347" t="n">
        <v>0.0</v>
      </c>
      <c r="AD347" t="n">
        <v>54.0</v>
      </c>
      <c r="AE347" t="n">
        <v>1.0</v>
      </c>
      <c r="AF347" t="n">
        <v>2.0</v>
      </c>
      <c r="AG347" t="n">
        <v>0.0</v>
      </c>
      <c r="AH347" t="n">
        <v>1.0</v>
      </c>
      <c r="AI347" t="n">
        <v>0.0</v>
      </c>
      <c r="AJ347" t="n">
        <v>0.0</v>
      </c>
      <c r="AK347" t="n">
        <v>17.925925925925927</v>
      </c>
      <c r="AL347" t="inlineStr">
        <is>
          <t/>
        </is>
      </c>
    </row>
    <row r="348">
      <c r="A348" t="inlineStr">
        <is>
          <t>69r就解决我一周减脂晚餐！！！</t>
        </is>
      </c>
      <c r="B348" t="inlineStr">
        <is>
          <t>69f0a4280000000035026ce4</t>
        </is>
      </c>
      <c r="C348" s="347" t="n">
        <f>HYPERLINK("https://www.xiaohongshu.com/explore/69f0a4280000000035026ce4?xsec_token=TBvHxiGmj2CedfPdQHdLJBmBHTYocQ_M73gMFkCIwoXBM=&amp;xsec_source=pc_trdark","https://www.xiaohongshu.com/explore/69f0a4280000000035026ce4?xsec_token=TBvHxiGmj2CedfPdQHdLJBmBHTYocQ_M73gMFkCIwoXBM=&amp;xsec_source=pc_trdark")</f>
        <v>0.0</v>
      </c>
      <c r="D348" t="inlineStr">
        <is>
          <t>鲜水湾甄选</t>
        </is>
      </c>
      <c r="E348" t="inlineStr">
        <is>
          <t>27401929161</t>
        </is>
      </c>
      <c r="F348" t="inlineStr">
        <is>
          <t>2026-04-28 20:12:24</t>
        </is>
      </c>
      <c r="G348" t="inlineStr">
        <is>
          <t>图文</t>
        </is>
      </c>
      <c r="H348" t="inlineStr">
        <is>
          <t>手剥虾仁 无冰衣无添加 低脂餐一人食 上班带饭 顺丰包邮 5盒装</t>
        </is>
      </c>
      <c r="I348" t="inlineStr">
        <is>
          <t>694baba01d450d00013662f0</t>
        </is>
      </c>
      <c r="J348" t="inlineStr">
        <is>
          <t/>
        </is>
      </c>
      <c r="K348" t="n">
        <v>0.0</v>
      </c>
      <c r="L348" t="n">
        <v>0.0</v>
      </c>
      <c r="M348" t="n">
        <v>7.0</v>
      </c>
      <c r="N348" t="inlineStr">
        <is>
          <t>0.12962962962962962</t>
        </is>
      </c>
      <c r="O348" t="n">
        <v>6.0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inlineStr">
        <is>
          <t/>
        </is>
      </c>
      <c r="X348" t="n">
        <v>0.0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54.0</v>
      </c>
      <c r="AE348" t="n">
        <v>1.0</v>
      </c>
      <c r="AF348" t="n">
        <v>0.0</v>
      </c>
      <c r="AG348" t="n">
        <v>0.0</v>
      </c>
      <c r="AH348" t="n">
        <v>1.0</v>
      </c>
      <c r="AI348" t="n">
        <v>0.0</v>
      </c>
      <c r="AJ348" t="n">
        <v>0.0</v>
      </c>
      <c r="AK348" t="n">
        <v>12.185185185185185</v>
      </c>
      <c r="AL348" t="inlineStr">
        <is>
          <t/>
        </is>
      </c>
    </row>
    <row r="349">
      <c r="A349" t="inlineStr">
        <is>
          <t>我也不想吃啊，但是69块够我吃一个周</t>
        </is>
      </c>
      <c r="B349" t="inlineStr">
        <is>
          <t>69ef6c020000000023007ff2</t>
        </is>
      </c>
      <c r="C349" s="348" t="n">
        <f>HYPERLINK("https://www.xiaohongshu.com/explore/69ef6c020000000023007ff2?xsec_token=TB8YlxxIf2o_Xr_LAif13-vCvmj2tLmjwd6cCq5_hNrpU=&amp;xsec_source=pc_trdark","https://www.xiaohongshu.com/explore/69ef6c020000000023007ff2?xsec_token=TB8YlxxIf2o_Xr_LAif13-vCvmj2tLmjwd6cCq5_hNrpU=&amp;xsec_source=pc_trdark")</f>
        <v>0.0</v>
      </c>
      <c r="D349" t="inlineStr">
        <is>
          <t>菲菲上班吃什么</t>
        </is>
      </c>
      <c r="E349" t="inlineStr">
        <is>
          <t>49936530607</t>
        </is>
      </c>
      <c r="F349" t="inlineStr">
        <is>
          <t>2026-04-27 22:00:34</t>
        </is>
      </c>
      <c r="G349" t="inlineStr">
        <is>
          <t>图文</t>
        </is>
      </c>
      <c r="H349" t="inlineStr">
        <is>
          <t>手剥虾仁 无冰衣无添加 低脂餐一人食 上班带饭 顺丰包邮 5盒装</t>
        </is>
      </c>
      <c r="I349" t="inlineStr">
        <is>
          <t>694baba01d450d00013662f0</t>
        </is>
      </c>
      <c r="J349" t="inlineStr">
        <is>
          <t/>
        </is>
      </c>
      <c r="K349" t="n">
        <v>0.0</v>
      </c>
      <c r="L349" t="n">
        <v>0.0</v>
      </c>
      <c r="M349" t="n">
        <v>15.0</v>
      </c>
      <c r="N349" t="n">
        <v>0.2777777777777778</v>
      </c>
      <c r="O349" t="n">
        <v>12.0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inlineStr">
        <is>
          <t/>
        </is>
      </c>
      <c r="X349" t="n">
        <v>0.0</v>
      </c>
      <c r="Y349" t="n">
        <v>1.0</v>
      </c>
      <c r="Z349" t="n">
        <v>1.0</v>
      </c>
      <c r="AA349" t="n">
        <v>0.0</v>
      </c>
      <c r="AB349" t="n">
        <v>0.0</v>
      </c>
      <c r="AC349" t="n">
        <v>0.0</v>
      </c>
      <c r="AD349" t="n">
        <v>54.0</v>
      </c>
      <c r="AE349" t="n">
        <v>2.0</v>
      </c>
      <c r="AF349" t="n">
        <v>1.0</v>
      </c>
      <c r="AG349" t="n">
        <v>0.0</v>
      </c>
      <c r="AH349" t="n">
        <v>1.0</v>
      </c>
      <c r="AI349" t="n">
        <v>0.0</v>
      </c>
      <c r="AJ349" t="n">
        <v>0.0</v>
      </c>
      <c r="AK349" t="n">
        <v>10.574074074074074</v>
      </c>
      <c r="AL349" t="inlineStr">
        <is>
          <t/>
        </is>
      </c>
    </row>
    <row r="350">
      <c r="A350" t="inlineStr">
        <is>
          <t>自己做的芝士虾仁滑蛋汉堡真的太香了！</t>
        </is>
      </c>
      <c r="B350" t="inlineStr">
        <is>
          <t>69eb3f2d000000002301ee00</t>
        </is>
      </c>
      <c r="C350" s="349" t="n">
        <f>HYPERLINK("https://www.xiaohongshu.com/explore/69eb3f2d000000002301ee00?xsec_token=TBKYxphePGFVFgSUNcsuIbTaqvBONL0tJ1TWz7xd891bk=&amp;xsec_source=pc_trdark","https://www.xiaohongshu.com/explore/69eb3f2d000000002301ee00?xsec_token=TBKYxphePGFVFgSUNcsuIbTaqvBONL0tJ1TWz7xd891bk=&amp;xsec_source=pc_trdark")</f>
        <v>0.0</v>
      </c>
      <c r="D350" t="inlineStr">
        <is>
          <t>婉婉上班吃什么</t>
        </is>
      </c>
      <c r="E350" t="inlineStr">
        <is>
          <t>11434449706</t>
        </is>
      </c>
      <c r="F350" t="inlineStr">
        <is>
          <t>2026-04-24 18:00:13</t>
        </is>
      </c>
      <c r="G350" t="inlineStr">
        <is>
          <t>图文</t>
        </is>
      </c>
      <c r="H350" t="inlineStr">
        <is>
          <t>手剥虾仁 无冰衣无添加 低脂餐一人食 上班带饭 顺丰包邮 5盒装</t>
        </is>
      </c>
      <c r="I350" t="inlineStr">
        <is>
          <t>694baba01d450d00013662f0</t>
        </is>
      </c>
      <c r="J350" t="inlineStr">
        <is>
          <t/>
        </is>
      </c>
      <c r="K350" t="n">
        <v>0.0</v>
      </c>
      <c r="L350" t="n">
        <v>0.0</v>
      </c>
      <c r="M350" t="n">
        <v>2.0</v>
      </c>
      <c r="N350" t="inlineStr">
        <is>
          <t>0.037037037037037035</t>
        </is>
      </c>
      <c r="O350" t="n">
        <v>2.0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inlineStr">
        <is>
          <t/>
        </is>
      </c>
      <c r="X350" t="n">
        <v>0.0</v>
      </c>
      <c r="Y350" t="n">
        <v>0.0</v>
      </c>
      <c r="Z350" t="n">
        <v>1.0</v>
      </c>
      <c r="AA350" t="n">
        <v>0.0</v>
      </c>
      <c r="AB350" t="n">
        <v>0.0</v>
      </c>
      <c r="AC350" t="n">
        <v>0.0</v>
      </c>
      <c r="AD350" t="n">
        <v>54.0</v>
      </c>
      <c r="AE350" t="n">
        <v>2.0</v>
      </c>
      <c r="AF350" t="n">
        <v>0.0</v>
      </c>
      <c r="AG350" t="n">
        <v>0.0</v>
      </c>
      <c r="AH350" t="n">
        <v>2.0</v>
      </c>
      <c r="AI350" t="n">
        <v>0.0</v>
      </c>
      <c r="AJ350" t="n">
        <v>0.0</v>
      </c>
      <c r="AK350" t="n">
        <v>6.685185185185185</v>
      </c>
      <c r="AL350" t="inlineStr">
        <is>
          <t/>
        </is>
      </c>
    </row>
    <row r="351">
      <c r="A351" t="inlineStr">
        <is>
          <t>很难不爱！超懂独居健身人的小包装虾仁🍤</t>
        </is>
      </c>
      <c r="B351" t="inlineStr">
        <is>
          <t>69ee02c8000000003502085f</t>
        </is>
      </c>
      <c r="C351" s="350" t="n">
        <f>HYPERLINK("https://www.xiaohongshu.com/explore/69ee02c8000000003502085f?xsec_token=TB3JCI8OO3ItJ5gw9_OIE0bAJ6jqklp2cY_dKhOgfY5Qs=&amp;xsec_source=pc_trdark","https://www.xiaohongshu.com/explore/69ee02c8000000003502085f?xsec_token=TB3JCI8OO3ItJ5gw9_OIE0bAJ6jqklp2cY_dKhOgfY5Qs=&amp;xsec_source=pc_trdark")</f>
        <v>0.0</v>
      </c>
      <c r="D351" t="inlineStr">
        <is>
          <t>鲜水湾甄选</t>
        </is>
      </c>
      <c r="E351" t="inlineStr">
        <is>
          <t>27401929161</t>
        </is>
      </c>
      <c r="F351" t="inlineStr">
        <is>
          <t>2026-04-26 20:19:21</t>
        </is>
      </c>
      <c r="G351" t="inlineStr">
        <is>
          <t>图文</t>
        </is>
      </c>
      <c r="H351" t="inlineStr">
        <is>
          <t>手剥虾仁 无冰衣无添加 低脂餐一人食 上班带饭 顺丰包邮 5盒装</t>
        </is>
      </c>
      <c r="I351" t="inlineStr">
        <is>
          <t>694baba01d450d00013662f0</t>
        </is>
      </c>
      <c r="J351" t="inlineStr">
        <is>
          <t/>
        </is>
      </c>
      <c r="K351" t="n">
        <v>0.0</v>
      </c>
      <c r="L351" t="n">
        <v>0.0</v>
      </c>
      <c r="M351" t="n">
        <v>14.0</v>
      </c>
      <c r="N351" t="n">
        <v>0.2641509433962264</v>
      </c>
      <c r="O351" t="n">
        <v>10.0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inlineStr">
        <is>
          <t/>
        </is>
      </c>
      <c r="X351" t="n">
        <v>0.0</v>
      </c>
      <c r="Y351" t="n">
        <v>3.0</v>
      </c>
      <c r="Z351" t="n">
        <v>0.0</v>
      </c>
      <c r="AA351" t="n">
        <v>0.0</v>
      </c>
      <c r="AB351" t="n">
        <v>0.0</v>
      </c>
      <c r="AC351" t="n">
        <v>0.0</v>
      </c>
      <c r="AD351" t="n">
        <v>53.0</v>
      </c>
      <c r="AE351" t="n">
        <v>2.0</v>
      </c>
      <c r="AF351" t="n">
        <v>1.0</v>
      </c>
      <c r="AG351" t="n">
        <v>0.0</v>
      </c>
      <c r="AH351" t="n">
        <v>1.0</v>
      </c>
      <c r="AI351" t="n">
        <v>0.0</v>
      </c>
      <c r="AJ351" t="n">
        <v>0.0</v>
      </c>
      <c r="AK351" t="n">
        <v>26.471698113207548</v>
      </c>
      <c r="AL351" t="inlineStr">
        <is>
          <t/>
        </is>
      </c>
    </row>
    <row r="352">
      <c r="A352" t="inlineStr">
        <is>
          <t>某姆对不起，小份虾真的回不去了😂</t>
        </is>
      </c>
      <c r="B352" t="inlineStr">
        <is>
          <t>69e98e4a000000001f007dd5</t>
        </is>
      </c>
      <c r="C352" s="351" t="n">
        <f>HYPERLINK("https://www.xiaohongshu.com/explore/69e98e4a000000001f007dd5?xsec_token=TBNkLc7pOHvt_5tNJTpGNllPE6IlNcWblEeV8Y5VJmmeY=&amp;xsec_source=pc_trdark","https://www.xiaohongshu.com/explore/69e98e4a000000001f007dd5?xsec_token=TBNkLc7pOHvt_5tNJTpGNllPE6IlNcWblEeV8Y5VJmmeY=&amp;xsec_source=pc_trdark")</f>
        <v>0.0</v>
      </c>
      <c r="D352" t="inlineStr">
        <is>
          <t>菲菲上班吃什么</t>
        </is>
      </c>
      <c r="E352" t="inlineStr">
        <is>
          <t>49936530607</t>
        </is>
      </c>
      <c r="F352" t="inlineStr">
        <is>
          <t>2026-04-24 08:30:00</t>
        </is>
      </c>
      <c r="G352" t="inlineStr">
        <is>
          <t>图文</t>
        </is>
      </c>
      <c r="H352" t="inlineStr">
        <is>
          <t>手剥虾仁 无冰衣无添加 低脂餐一人食 上班带饭 顺丰包邮 5盒装</t>
        </is>
      </c>
      <c r="I352" t="inlineStr">
        <is>
          <t>694baba01d450d00013662f0</t>
        </is>
      </c>
      <c r="J352" t="inlineStr">
        <is>
          <t/>
        </is>
      </c>
      <c r="K352" t="n">
        <v>69.0</v>
      </c>
      <c r="L352" t="n">
        <v>1.0</v>
      </c>
      <c r="M352" t="n">
        <v>3.0</v>
      </c>
      <c r="N352" t="inlineStr">
        <is>
          <t>0.05660377358490566</t>
        </is>
      </c>
      <c r="O352" t="n">
        <v>3.0</v>
      </c>
      <c r="P352" t="n">
        <v>1.0</v>
      </c>
      <c r="Q352" t="n">
        <v>0.3333333333333333</v>
      </c>
      <c r="R352" t="n">
        <v>0.3333333333333333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2.0</v>
      </c>
      <c r="Z352" t="n">
        <v>1.0</v>
      </c>
      <c r="AA352" t="n">
        <v>0.0</v>
      </c>
      <c r="AB352" t="n">
        <v>0.0</v>
      </c>
      <c r="AC352" t="n">
        <v>0.0</v>
      </c>
      <c r="AD352" t="n">
        <v>53.0</v>
      </c>
      <c r="AE352" t="n">
        <v>2.0</v>
      </c>
      <c r="AF352" t="n">
        <v>0.0</v>
      </c>
      <c r="AG352" t="n">
        <v>0.0</v>
      </c>
      <c r="AH352" t="n">
        <v>2.0</v>
      </c>
      <c r="AI352" t="n">
        <v>0.0</v>
      </c>
      <c r="AJ352" t="n">
        <v>0.0</v>
      </c>
      <c r="AK352" t="n">
        <v>11.132075471698114</v>
      </c>
      <c r="AL352" t="inlineStr">
        <is>
          <t/>
        </is>
      </c>
    </row>
    <row r="353">
      <c r="A353" t="inlineStr">
        <is>
          <t>年轻人严重低估了69的购买力！</t>
        </is>
      </c>
      <c r="B353" t="inlineStr">
        <is>
          <t>69e72b5e000000001d019e44</t>
        </is>
      </c>
      <c r="C353" s="352" t="n">
        <f>HYPERLINK("https://www.xiaohongshu.com/explore/69e72b5e000000001d019e44?xsec_token=TBxJD1S06w8M0Ib6UdHEwWiGWUR1jqMibQbzlKOsB7bjw=&amp;xsec_source=pc_trdark","https://www.xiaohongshu.com/explore/69e72b5e000000001d019e44?xsec_token=TBxJD1S06w8M0Ib6UdHEwWiGWUR1jqMibQbzlKOsB7bjw=&amp;xsec_source=pc_trdark")</f>
        <v>0.0</v>
      </c>
      <c r="D353" t="inlineStr">
        <is>
          <t>鲜水湾甄选</t>
        </is>
      </c>
      <c r="E353" t="inlineStr">
        <is>
          <t>27401929161</t>
        </is>
      </c>
      <c r="F353" t="inlineStr">
        <is>
          <t>2026-04-22 10:30:00</t>
        </is>
      </c>
      <c r="G353" t="inlineStr">
        <is>
          <t>图文</t>
        </is>
      </c>
      <c r="H353" t="inlineStr">
        <is>
          <t>手剥虾仁 无冰衣无添加 低脂餐一人食 上班带饭 顺丰包邮 5盒装</t>
        </is>
      </c>
      <c r="I353" t="inlineStr">
        <is>
          <t>694baba01d450d00013662f0</t>
        </is>
      </c>
      <c r="J353" t="inlineStr">
        <is>
          <t/>
        </is>
      </c>
      <c r="K353" t="n">
        <v>128.0</v>
      </c>
      <c r="L353" t="n">
        <v>1.0</v>
      </c>
      <c r="M353" t="n">
        <v>5.0</v>
      </c>
      <c r="N353" t="inlineStr">
        <is>
          <t>0.09433962264150944</t>
        </is>
      </c>
      <c r="O353" t="n">
        <v>5.0</v>
      </c>
      <c r="P353" t="n">
        <v>1.0</v>
      </c>
      <c r="Q353" t="n">
        <v>0.2</v>
      </c>
      <c r="R353" t="n">
        <v>0.2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53.0</v>
      </c>
      <c r="AE353" t="n">
        <v>1.0</v>
      </c>
      <c r="AF353" t="n">
        <v>0.0</v>
      </c>
      <c r="AG353" t="n">
        <v>0.0</v>
      </c>
      <c r="AH353" t="n">
        <v>2.0</v>
      </c>
      <c r="AI353" t="n">
        <v>0.0</v>
      </c>
      <c r="AJ353" t="n">
        <v>0.0</v>
      </c>
      <c r="AK353" t="n">
        <v>9.433962264150944</v>
      </c>
      <c r="AL353" t="inlineStr">
        <is>
          <t/>
        </is>
      </c>
    </row>
    <row r="354">
      <c r="A354" t="inlineStr">
        <is>
          <t>感谢小红书，让我家的好货被大家看到</t>
        </is>
      </c>
      <c r="B354" t="inlineStr">
        <is>
          <t>69d5fdf6000000001e00db3a</t>
        </is>
      </c>
      <c r="C354" s="353" t="n">
        <f>HYPERLINK("https://www.xiaohongshu.com/explore/69d5fdf6000000001e00db3a?xsec_token=TB8iwnyw3eAUAW6IHOsxIm-nt1YevHm62v1u1zRHFuCzA=&amp;xsec_source=pc_trdark","https://www.xiaohongshu.com/explore/69d5fdf6000000001e00db3a?xsec_token=TB8iwnyw3eAUAW6IHOsxIm-nt1YevHm62v1u1zRHFuCzA=&amp;xsec_source=pc_trdark")</f>
        <v>0.0</v>
      </c>
      <c r="D354" t="inlineStr">
        <is>
          <t>鲜水湾</t>
        </is>
      </c>
      <c r="E354" t="inlineStr">
        <is>
          <t>49316638994</t>
        </is>
      </c>
      <c r="F354" t="inlineStr">
        <is>
          <t>2026-04-08 15:04:22</t>
        </is>
      </c>
      <c r="G354" t="inlineStr">
        <is>
          <t>图文</t>
        </is>
      </c>
      <c r="H354" t="inlineStr">
        <is>
          <t>手剥虾仁 无冰衣无添加 低脂餐一人食 上班带饭 顺丰包邮 5盒装</t>
        </is>
      </c>
      <c r="I354" t="inlineStr">
        <is>
          <t>694baba01d450d00013662f0</t>
        </is>
      </c>
      <c r="J354" t="inlineStr">
        <is>
          <t/>
        </is>
      </c>
      <c r="K354" t="n">
        <v>0.0</v>
      </c>
      <c r="L354" t="n">
        <v>0.0</v>
      </c>
      <c r="M354" t="n">
        <v>13.0</v>
      </c>
      <c r="N354" t="inlineStr">
        <is>
          <t>0.24528301886792453</t>
        </is>
      </c>
      <c r="O354" t="n">
        <v>10.0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inlineStr">
        <is>
          <t/>
        </is>
      </c>
      <c r="X354" t="n">
        <v>0.0</v>
      </c>
      <c r="Y354" t="n">
        <v>1.0</v>
      </c>
      <c r="Z354" t="n">
        <v>7.0</v>
      </c>
      <c r="AA354" t="n">
        <v>0.0</v>
      </c>
      <c r="AB354" t="n">
        <v>0.0</v>
      </c>
      <c r="AC354" t="n">
        <v>0.0</v>
      </c>
      <c r="AD354" t="n">
        <v>53.0</v>
      </c>
      <c r="AE354" t="n">
        <v>1.0</v>
      </c>
      <c r="AF354" t="n">
        <v>0.0</v>
      </c>
      <c r="AG354" t="n">
        <v>0.0</v>
      </c>
      <c r="AH354" t="n">
        <v>1.0</v>
      </c>
      <c r="AI354" t="n">
        <v>0.0</v>
      </c>
      <c r="AJ354" t="n">
        <v>0.0</v>
      </c>
      <c r="AK354" t="n">
        <v>6.433962264150943</v>
      </c>
      <c r="AL354" t="inlineStr">
        <is>
          <t/>
        </is>
      </c>
    </row>
    <row r="355">
      <c r="A355" t="inlineStr">
        <is>
          <t>奉劝大家不要低估69块的购买力，够吃一周</t>
        </is>
      </c>
      <c r="B355" t="inlineStr">
        <is>
          <t>69d35c51000000001a034bf6</t>
        </is>
      </c>
      <c r="C355" s="354" t="n">
        <f>HYPERLINK("https://www.xiaohongshu.com/explore/69d35c51000000001a034bf6?xsec_token=TBhEDzysvLbwbBD8CIa_-jsc74X85K_WB3vCopyjpnS6g=&amp;xsec_source=pc_trdark","https://www.xiaohongshu.com/explore/69d35c51000000001a034bf6?xsec_token=TBhEDzysvLbwbBD8CIa_-jsc74X85K_WB3vCopyjpnS6g=&amp;xsec_source=pc_trdark")</f>
        <v>0.0</v>
      </c>
      <c r="D355" t="inlineStr">
        <is>
          <t>婉婉上班吃什么</t>
        </is>
      </c>
      <c r="E355" t="inlineStr">
        <is>
          <t>11434449706</t>
        </is>
      </c>
      <c r="F355" t="inlineStr">
        <is>
          <t>2026-04-06 15:10:09</t>
        </is>
      </c>
      <c r="G355" t="inlineStr">
        <is>
          <t>图文</t>
        </is>
      </c>
      <c r="H355" t="inlineStr">
        <is>
          <t>手剥虾仁 无冰衣无添加 低脂餐一人食 上班带饭 顺丰包邮 5盒装</t>
        </is>
      </c>
      <c r="I355" t="inlineStr">
        <is>
          <t>694baba01d450d00013662f0</t>
        </is>
      </c>
      <c r="J355" t="inlineStr">
        <is>
          <t/>
        </is>
      </c>
      <c r="K355" t="n">
        <v>0.0</v>
      </c>
      <c r="L355" t="n">
        <v>0.0</v>
      </c>
      <c r="M355" t="n">
        <v>9.0</v>
      </c>
      <c r="N355" t="inlineStr">
        <is>
          <t>0.16981132075471697</t>
        </is>
      </c>
      <c r="O355" t="n">
        <v>9.0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inlineStr">
        <is>
          <t/>
        </is>
      </c>
      <c r="X355" t="n">
        <v>0.0</v>
      </c>
      <c r="Y355" t="n">
        <v>1.0</v>
      </c>
      <c r="Z355" t="n">
        <v>3.0</v>
      </c>
      <c r="AA355" t="n">
        <v>0.0</v>
      </c>
      <c r="AB355" t="n">
        <v>0.0</v>
      </c>
      <c r="AC355" t="n">
        <v>0.0</v>
      </c>
      <c r="AD355" t="n">
        <v>53.0</v>
      </c>
      <c r="AE355" t="n">
        <v>1.0</v>
      </c>
      <c r="AF355" t="n">
        <v>0.0</v>
      </c>
      <c r="AG355" t="n">
        <v>0.0</v>
      </c>
      <c r="AH355" t="n">
        <v>1.0</v>
      </c>
      <c r="AI355" t="n">
        <v>0.0</v>
      </c>
      <c r="AJ355" t="n">
        <v>0.0</v>
      </c>
      <c r="AK355" t="n">
        <v>20.150943396226417</v>
      </c>
      <c r="AL355" t="inlineStr">
        <is>
          <t/>
        </is>
      </c>
    </row>
    <row r="356">
      <c r="A356" t="inlineStr">
        <is>
          <t>现在的人严重低估了60来块的购买力</t>
        </is>
      </c>
      <c r="B356" t="inlineStr">
        <is>
          <t>69be4e15000000002800aa80</t>
        </is>
      </c>
      <c r="C356" s="355" t="n">
        <f>HYPERLINK("https://www.xiaohongshu.com/explore/69be4e15000000002800aa80?xsec_token=TBEV1jCaY14J6usHdX26xRKCo50U8oEibng1Ke-zYKGLU=&amp;xsec_source=pc_trdark","https://www.xiaohongshu.com/explore/69be4e15000000002800aa80?xsec_token=TBEV1jCaY14J6usHdX26xRKCo50U8oEibng1Ke-zYKGLU=&amp;xsec_source=pc_trdark")</f>
        <v>0.0</v>
      </c>
      <c r="D356" t="inlineStr">
        <is>
          <t>菲菲上班吃什么</t>
        </is>
      </c>
      <c r="E356" t="inlineStr">
        <is>
          <t>49936530607</t>
        </is>
      </c>
      <c r="F356" t="inlineStr">
        <is>
          <t>2026-03-21 15:51:49</t>
        </is>
      </c>
      <c r="G356" t="inlineStr">
        <is>
          <t>图文</t>
        </is>
      </c>
      <c r="H356" t="inlineStr">
        <is>
          <t>大虾基围虾王牌大虾厄瓜多尔白虾盐冻虾仁海洋大虾送礼顺丰包邮</t>
        </is>
      </c>
      <c r="I356" t="inlineStr">
        <is>
          <t>690aeb7be379430001e686ac</t>
        </is>
      </c>
      <c r="J356" t="inlineStr">
        <is>
          <t/>
        </is>
      </c>
      <c r="K356" t="n">
        <v>0.0</v>
      </c>
      <c r="L356" t="n">
        <v>0.0</v>
      </c>
      <c r="M356" t="n">
        <v>10.0</v>
      </c>
      <c r="N356" t="inlineStr">
        <is>
          <t>0.18867924528301888</t>
        </is>
      </c>
      <c r="O356" t="n">
        <v>8.0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inlineStr">
        <is>
          <t/>
        </is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53.0</v>
      </c>
      <c r="AE356" t="n">
        <v>1.0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7.377358490566038</v>
      </c>
      <c r="AL356" t="inlineStr">
        <is>
          <t/>
        </is>
      </c>
    </row>
    <row r="357">
      <c r="A357" t="inlineStr">
        <is>
          <t>谁懂！？终于找到适合小胃口的干净虾仁了…</t>
        </is>
      </c>
      <c r="B357" t="inlineStr">
        <is>
          <t>69f04cd50000000022028632</t>
        </is>
      </c>
      <c r="C357" s="356" t="n">
        <f>HYPERLINK("https://www.xiaohongshu.com/explore/69f04cd50000000022028632?xsec_token=TBvHxiGmj2CedfPdQHdLJBmCNFYPJSQTRQ1u8NWCLaIN4=&amp;xsec_source=pc_trdark","https://www.xiaohongshu.com/explore/69f04cd50000000022028632?xsec_token=TBvHxiGmj2CedfPdQHdLJBmCNFYPJSQTRQ1u8NWCLaIN4=&amp;xsec_source=pc_trdark")</f>
        <v>0.0</v>
      </c>
      <c r="D357" t="inlineStr">
        <is>
          <t>鲜水湾</t>
        </is>
      </c>
      <c r="E357" t="inlineStr">
        <is>
          <t>49316638994</t>
        </is>
      </c>
      <c r="F357" t="inlineStr">
        <is>
          <t>2026-04-28 13:59:49</t>
        </is>
      </c>
      <c r="G357" t="inlineStr">
        <is>
          <t>图文</t>
        </is>
      </c>
      <c r="H357" t="inlineStr">
        <is>
          <t>手剥虾仁 无冰衣无添加 低脂餐一人食 上班带饭 顺丰包邮 5盒装</t>
        </is>
      </c>
      <c r="I357" t="inlineStr">
        <is>
          <t>694baba01d450d00013662f0</t>
        </is>
      </c>
      <c r="J357" t="inlineStr">
        <is>
          <t/>
        </is>
      </c>
      <c r="K357" t="n">
        <v>69.0</v>
      </c>
      <c r="L357" t="n">
        <v>1.0</v>
      </c>
      <c r="M357" t="n">
        <v>9.0</v>
      </c>
      <c r="N357" t="inlineStr">
        <is>
          <t>0.17307692307692307</t>
        </is>
      </c>
      <c r="O357" t="n">
        <v>8.0</v>
      </c>
      <c r="P357" t="n">
        <v>1.0</v>
      </c>
      <c r="Q357" t="n">
        <v>0.1111111111111111</v>
      </c>
      <c r="R357" t="n">
        <v>0.125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3.0</v>
      </c>
      <c r="Z357" t="n">
        <v>0.0</v>
      </c>
      <c r="AA357" t="n">
        <v>0.0</v>
      </c>
      <c r="AB357" t="n">
        <v>0.0</v>
      </c>
      <c r="AC357" t="n">
        <v>0.0</v>
      </c>
      <c r="AD357" t="n">
        <v>52.0</v>
      </c>
      <c r="AE357" t="n">
        <v>1.0</v>
      </c>
      <c r="AF357" t="n">
        <v>0.0</v>
      </c>
      <c r="AG357" t="n">
        <v>0.0</v>
      </c>
      <c r="AH357" t="n">
        <v>1.0</v>
      </c>
      <c r="AI357" t="n">
        <v>0.0</v>
      </c>
      <c r="AJ357" t="n">
        <v>0.0</v>
      </c>
      <c r="AK357" t="n">
        <v>6.461538461538462</v>
      </c>
      <c r="AL357" t="inlineStr">
        <is>
          <t/>
        </is>
      </c>
    </row>
    <row r="358">
      <c r="A358" t="inlineStr">
        <is>
          <t>真的低估了10来块钱的购买力🥹</t>
        </is>
      </c>
      <c r="B358" t="inlineStr">
        <is>
          <t>69f0212b0000000035029d26</t>
        </is>
      </c>
      <c r="C358" s="357" t="n">
        <f>HYPERLINK("https://www.xiaohongshu.com/explore/69f0212b0000000035029d26?xsec_token=TBvHxiGmj2CedfPdQHdLJBmJZkSkEbWhmD9ZioUfUEyYc=&amp;xsec_source=pc_trdark","https://www.xiaohongshu.com/explore/69f0212b0000000035029d26?xsec_token=TBvHxiGmj2CedfPdQHdLJBmJZkSkEbWhmD9ZioUfUEyYc=&amp;xsec_source=pc_trdark")</f>
        <v>0.0</v>
      </c>
      <c r="D358" t="inlineStr">
        <is>
          <t>鲜水湾甄选</t>
        </is>
      </c>
      <c r="E358" t="inlineStr">
        <is>
          <t>27401929161</t>
        </is>
      </c>
      <c r="F358" t="inlineStr">
        <is>
          <t>2026-04-28 10:53:31</t>
        </is>
      </c>
      <c r="G358" t="inlineStr">
        <is>
          <t>图文</t>
        </is>
      </c>
      <c r="H358" t="inlineStr">
        <is>
          <t>手剥虾仁 无冰衣无添加 低脂餐一人食 上班带饭 顺丰包邮 5盒装</t>
        </is>
      </c>
      <c r="I358" t="inlineStr">
        <is>
          <t>694baba01d450d00013662f0</t>
        </is>
      </c>
      <c r="J358" t="inlineStr">
        <is>
          <t/>
        </is>
      </c>
      <c r="K358" t="n">
        <v>0.0</v>
      </c>
      <c r="L358" t="n">
        <v>0.0</v>
      </c>
      <c r="M358" t="n">
        <v>6.0</v>
      </c>
      <c r="N358" t="inlineStr">
        <is>
          <t>0.11538461538461539</t>
        </is>
      </c>
      <c r="O358" t="n">
        <v>6.0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inlineStr">
        <is>
          <t/>
        </is>
      </c>
      <c r="X358" t="n">
        <v>0.0</v>
      </c>
      <c r="Y358" t="n">
        <v>1.0</v>
      </c>
      <c r="Z358" t="n">
        <v>1.0</v>
      </c>
      <c r="AA358" t="n">
        <v>0.0</v>
      </c>
      <c r="AB358" t="n">
        <v>0.0</v>
      </c>
      <c r="AC358" t="n">
        <v>0.0</v>
      </c>
      <c r="AD358" t="n">
        <v>52.0</v>
      </c>
      <c r="AE358" t="n">
        <v>1.0</v>
      </c>
      <c r="AF358" t="n">
        <v>2.0</v>
      </c>
      <c r="AG358" t="n">
        <v>0.0</v>
      </c>
      <c r="AH358" t="n">
        <v>1.0</v>
      </c>
      <c r="AI358" t="n">
        <v>0.0</v>
      </c>
      <c r="AJ358" t="n">
        <v>0.0</v>
      </c>
      <c r="AK358" t="n">
        <v>12.51923076923077</v>
      </c>
      <c r="AL358" t="inlineStr">
        <is>
          <t/>
        </is>
      </c>
    </row>
    <row r="359">
      <c r="A359" t="inlineStr">
        <is>
          <t>减脂人狂喜！建议各位公主提前安排上</t>
        </is>
      </c>
      <c r="B359" t="inlineStr">
        <is>
          <t>69d12ddc000000001f007e19</t>
        </is>
      </c>
      <c r="C359" s="358" t="n">
        <f>HYPERLINK("https://www.xiaohongshu.com/explore/69d12ddc000000001f007e19?xsec_token=TBT5TAUGV3LcD_GYbSvfENi83JmPdqmvBYhaSOBdY4R-Q=&amp;xsec_source=pc_trdark","https://www.xiaohongshu.com/explore/69d12ddc000000001f007e19?xsec_token=TBT5TAUGV3LcD_GYbSvfENi83JmPdqmvBYhaSOBdY4R-Q=&amp;xsec_source=pc_trdark")</f>
        <v>0.0</v>
      </c>
      <c r="D359" t="inlineStr">
        <is>
          <t>菲菲上班吃什么</t>
        </is>
      </c>
      <c r="E359" t="inlineStr">
        <is>
          <t>49936530607</t>
        </is>
      </c>
      <c r="F359" t="inlineStr">
        <is>
          <t>2026-04-04 23:27:24</t>
        </is>
      </c>
      <c r="G359" t="inlineStr">
        <is>
          <t>图文</t>
        </is>
      </c>
      <c r="H359" t="inlineStr">
        <is>
          <t>手剥虾仁 无冰衣无添加 低脂餐一人食 上班带饭 顺丰包邮 5盒装</t>
        </is>
      </c>
      <c r="I359" t="inlineStr">
        <is>
          <t>694baba01d450d00013662f0</t>
        </is>
      </c>
      <c r="J359" t="inlineStr">
        <is>
          <t/>
        </is>
      </c>
      <c r="K359" t="n">
        <v>0.0</v>
      </c>
      <c r="L359" t="n">
        <v>0.0</v>
      </c>
      <c r="M359" t="n">
        <v>2.0</v>
      </c>
      <c r="N359" t="inlineStr">
        <is>
          <t>0.038461538461538464</t>
        </is>
      </c>
      <c r="O359" t="n">
        <v>2.0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inlineStr">
        <is>
          <t/>
        </is>
      </c>
      <c r="X359" t="n">
        <v>0.0</v>
      </c>
      <c r="Y359" t="n">
        <v>0.0</v>
      </c>
      <c r="Z359" t="n">
        <v>1.0</v>
      </c>
      <c r="AA359" t="n">
        <v>0.0</v>
      </c>
      <c r="AB359" t="n">
        <v>0.0</v>
      </c>
      <c r="AC359" t="n">
        <v>0.0</v>
      </c>
      <c r="AD359" t="n">
        <v>52.0</v>
      </c>
      <c r="AE359" t="n">
        <v>1.0</v>
      </c>
      <c r="AF359" t="n">
        <v>0.0</v>
      </c>
      <c r="AG359" t="n">
        <v>0.0</v>
      </c>
      <c r="AH359" t="n">
        <v>2.0</v>
      </c>
      <c r="AI359" t="n">
        <v>0.0</v>
      </c>
      <c r="AJ359" t="n">
        <v>0.0</v>
      </c>
      <c r="AK359" t="n">
        <v>11.173076923076923</v>
      </c>
      <c r="AL359" t="inlineStr">
        <is>
          <t/>
        </is>
      </c>
    </row>
    <row r="360">
      <c r="A360" t="inlineStr">
        <is>
          <t>不藏了！13.8/包，顺丰包邮最后200单了</t>
        </is>
      </c>
      <c r="B360" t="inlineStr">
        <is>
          <t>69e888190000000021007cad</t>
        </is>
      </c>
      <c r="C360" s="359" t="n">
        <f>HYPERLINK("https://www.xiaohongshu.com/explore/69e888190000000021007cad?xsec_token=TBrsJGfbmdICsvnXoyd4QdRmICHNFgG_yCg04FsYOU8og=&amp;xsec_source=pc_trdark","https://www.xiaohongshu.com/explore/69e888190000000021007cad?xsec_token=TBrsJGfbmdICsvnXoyd4QdRmICHNFgG_yCg04FsYOU8og=&amp;xsec_source=pc_trdark")</f>
        <v>0.0</v>
      </c>
      <c r="D360" t="inlineStr">
        <is>
          <t>鲜水湾甄选</t>
        </is>
      </c>
      <c r="E360" t="inlineStr">
        <is>
          <t>27401929161</t>
        </is>
      </c>
      <c r="F360" t="inlineStr">
        <is>
          <t>2026-04-23 08:30:00</t>
        </is>
      </c>
      <c r="G360" t="inlineStr">
        <is>
          <t>图文</t>
        </is>
      </c>
      <c r="H360" t="inlineStr">
        <is>
          <t>手剥虾仁 无冰衣无添加 低脂餐一人食 上班带饭 顺丰包邮 5盒装</t>
        </is>
      </c>
      <c r="I360" t="inlineStr">
        <is>
          <t>694baba01d450d00013662f0</t>
        </is>
      </c>
      <c r="J360" t="inlineStr">
        <is>
          <t/>
        </is>
      </c>
      <c r="K360" t="n">
        <v>0.0</v>
      </c>
      <c r="L360" t="n">
        <v>0.0</v>
      </c>
      <c r="M360" t="n">
        <v>16.0</v>
      </c>
      <c r="N360" t="n">
        <v>0.3137254901960784</v>
      </c>
      <c r="O360" t="n">
        <v>13.0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inlineStr">
        <is>
          <t/>
        </is>
      </c>
      <c r="X360" t="n">
        <v>0.0</v>
      </c>
      <c r="Y360" t="n">
        <v>2.0</v>
      </c>
      <c r="Z360" t="n">
        <v>1.0</v>
      </c>
      <c r="AA360" t="n">
        <v>0.0</v>
      </c>
      <c r="AB360" t="n">
        <v>0.0</v>
      </c>
      <c r="AC360" t="n">
        <v>0.0</v>
      </c>
      <c r="AD360" t="n">
        <v>51.0</v>
      </c>
      <c r="AE360" t="n">
        <v>0.0</v>
      </c>
      <c r="AF360" t="n">
        <v>0.0</v>
      </c>
      <c r="AG360" t="n">
        <v>0.0</v>
      </c>
      <c r="AH360" t="n">
        <v>1.0</v>
      </c>
      <c r="AI360" t="n">
        <v>0.0</v>
      </c>
      <c r="AJ360" t="n">
        <v>0.0</v>
      </c>
      <c r="AK360" t="n">
        <v>13.588235294117647</v>
      </c>
      <c r="AL360" t="inlineStr">
        <is>
          <t/>
        </is>
      </c>
    </row>
    <row r="361">
      <c r="A361" t="inlineStr">
        <is>
          <t>五一前必囤🥹69承包一周减脂餐</t>
        </is>
      </c>
      <c r="B361" t="inlineStr">
        <is>
          <t>69e71f260000000023010cc2</t>
        </is>
      </c>
      <c r="C361" s="360" t="n">
        <f>HYPERLINK("https://www.xiaohongshu.com/explore/69e71f260000000023010cc2?xsec_token=TBxJD1S06w8M0Ib6UdHEwWiAF8AmGqjc4pP8Jmw56GMKo=&amp;xsec_source=pc_trdark","https://www.xiaohongshu.com/explore/69e71f260000000023010cc2?xsec_token=TBxJD1S06w8M0Ib6UdHEwWiAF8AmGqjc4pP8Jmw56GMKo=&amp;xsec_source=pc_trdark")</f>
        <v>0.0</v>
      </c>
      <c r="D361" t="inlineStr">
        <is>
          <t>鲜水湾甄选</t>
        </is>
      </c>
      <c r="E361" t="inlineStr">
        <is>
          <t>27401929161</t>
        </is>
      </c>
      <c r="F361" t="inlineStr">
        <is>
          <t>2026-04-21 17:30:00</t>
        </is>
      </c>
      <c r="G361" t="inlineStr">
        <is>
          <t>图文</t>
        </is>
      </c>
      <c r="H361" t="inlineStr">
        <is>
          <t>手剥虾仁 无冰衣无添加 低脂餐一人食 上班带饭 顺丰包邮 5盒装</t>
        </is>
      </c>
      <c r="I361" t="inlineStr">
        <is>
          <t>694baba01d450d00013662f0</t>
        </is>
      </c>
      <c r="J361" t="inlineStr">
        <is>
          <t/>
        </is>
      </c>
      <c r="K361" t="n">
        <v>0.0</v>
      </c>
      <c r="L361" t="n">
        <v>0.0</v>
      </c>
      <c r="M361" t="n">
        <v>6.0</v>
      </c>
      <c r="N361" t="inlineStr">
        <is>
          <t>0.11764705882352941</t>
        </is>
      </c>
      <c r="O361" t="n">
        <v>6.0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inlineStr">
        <is>
          <t/>
        </is>
      </c>
      <c r="X361" t="n">
        <v>0.0</v>
      </c>
      <c r="Y361" t="n">
        <v>2.0</v>
      </c>
      <c r="Z361" t="n">
        <v>7.0</v>
      </c>
      <c r="AA361" t="n">
        <v>0.0</v>
      </c>
      <c r="AB361" t="n">
        <v>0.0</v>
      </c>
      <c r="AC361" t="n">
        <v>0.0</v>
      </c>
      <c r="AD361" t="n">
        <v>51.0</v>
      </c>
      <c r="AE361" t="n">
        <v>1.0</v>
      </c>
      <c r="AF361" t="n">
        <v>0.0</v>
      </c>
      <c r="AG361" t="n">
        <v>0.0</v>
      </c>
      <c r="AH361" t="n">
        <v>2.0</v>
      </c>
      <c r="AI361" t="n">
        <v>0.0</v>
      </c>
      <c r="AJ361" t="n">
        <v>0.0</v>
      </c>
      <c r="AK361" t="n">
        <v>14.901960784313726</v>
      </c>
      <c r="AL361" t="inlineStr">
        <is>
          <t/>
        </is>
      </c>
    </row>
    <row r="362">
      <c r="A362" t="inlineStr">
        <is>
          <t>超市的虾仁又大又便宜？看完配料表我沉默了</t>
        </is>
      </c>
      <c r="B362" t="inlineStr">
        <is>
          <t>69d3c7bc0000000020038b23</t>
        </is>
      </c>
      <c r="C362" s="361" t="n">
        <f>HYPERLINK("https://www.xiaohongshu.com/explore/69d3c7bc0000000020038b23?xsec_token=TBhEDzysvLbwbBD8CIa_-jsXVe3SfX1xHHJJRfrn-giZg=&amp;xsec_source=pc_trdark","https://www.xiaohongshu.com/explore/69d3c7bc0000000020038b23?xsec_token=TBhEDzysvLbwbBD8CIa_-jsXVe3SfX1xHHJJRfrn-giZg=&amp;xsec_source=pc_trdark")</f>
        <v>0.0</v>
      </c>
      <c r="D362" t="inlineStr">
        <is>
          <t>婉婉上班吃什么</t>
        </is>
      </c>
      <c r="E362" t="inlineStr">
        <is>
          <t>11434449706</t>
        </is>
      </c>
      <c r="F362" t="inlineStr">
        <is>
          <t>2026-04-06 22:48:28</t>
        </is>
      </c>
      <c r="G362" t="inlineStr">
        <is>
          <t>图文</t>
        </is>
      </c>
      <c r="H362" t="inlineStr">
        <is>
          <t>手剥虾仁 无冰衣无添加 低脂餐一人食 上班带饭 顺丰包邮 5盒装</t>
        </is>
      </c>
      <c r="I362" t="inlineStr">
        <is>
          <t>694baba01d450d00013662f0</t>
        </is>
      </c>
      <c r="J362" t="inlineStr">
        <is>
          <t/>
        </is>
      </c>
      <c r="K362" t="n">
        <v>69.0</v>
      </c>
      <c r="L362" t="n">
        <v>1.0</v>
      </c>
      <c r="M362" t="n">
        <v>8.0</v>
      </c>
      <c r="N362" t="n">
        <v>0.1568627450980392</v>
      </c>
      <c r="O362" t="n">
        <v>8.0</v>
      </c>
      <c r="P362" t="n">
        <v>1.0</v>
      </c>
      <c r="Q362" t="n">
        <v>0.125</v>
      </c>
      <c r="R362" t="n">
        <v>0.125</v>
      </c>
      <c r="S362" t="n">
        <v>69.0</v>
      </c>
      <c r="T362" t="n">
        <v>1.0</v>
      </c>
      <c r="U362" t="n">
        <v>1.0</v>
      </c>
      <c r="V362" t="n">
        <v>69.0</v>
      </c>
      <c r="W362" t="n">
        <v>1.0</v>
      </c>
      <c r="X362" t="n">
        <v>1.0</v>
      </c>
      <c r="Y362" t="n">
        <v>1.0</v>
      </c>
      <c r="Z362" t="n">
        <v>0.0</v>
      </c>
      <c r="AA362" t="n">
        <v>0.0</v>
      </c>
      <c r="AB362" t="n">
        <v>0.0</v>
      </c>
      <c r="AC362" t="n">
        <v>0.0</v>
      </c>
      <c r="AD362" t="n">
        <v>51.0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9.470588235294118</v>
      </c>
      <c r="AL362" t="inlineStr">
        <is>
          <t/>
        </is>
      </c>
    </row>
    <row r="363">
      <c r="A363" t="inlineStr">
        <is>
          <t>逼自己吃了两周水煮虾仁，结果真的惊到我</t>
        </is>
      </c>
      <c r="B363" t="inlineStr">
        <is>
          <t>69cbd5a3000000001f00702c</t>
        </is>
      </c>
      <c r="C363" s="362" t="n">
        <f>HYPERLINK("https://www.xiaohongshu.com/explore/69cbd5a3000000001f00702c?xsec_token=TBNvk7eB588c7ey-qUUMF7OdLeTEZxb_0FZOaAnUewi20=&amp;xsec_source=pc_trdark","https://www.xiaohongshu.com/explore/69cbd5a3000000001f00702c?xsec_token=TBNvk7eB588c7ey-qUUMF7OdLeTEZxb_0FZOaAnUewi20=&amp;xsec_source=pc_trdark")</f>
        <v>0.0</v>
      </c>
      <c r="D363" t="inlineStr">
        <is>
          <t>婉婉上班吃什么</t>
        </is>
      </c>
      <c r="E363" t="inlineStr">
        <is>
          <t>11434449706</t>
        </is>
      </c>
      <c r="F363" t="inlineStr">
        <is>
          <t>2026-03-31 22:09:39</t>
        </is>
      </c>
      <c r="G363" t="inlineStr">
        <is>
          <t>图文</t>
        </is>
      </c>
      <c r="H363" t="inlineStr">
        <is>
          <t>手剥虾仁 无冰衣无添加 低脂餐一人食 上班带饭 顺丰包邮 5盒装</t>
        </is>
      </c>
      <c r="I363" t="inlineStr">
        <is>
          <t>694baba01d450d00013662f0</t>
        </is>
      </c>
      <c r="J363" t="inlineStr">
        <is>
          <t/>
        </is>
      </c>
      <c r="K363" t="n">
        <v>0.0</v>
      </c>
      <c r="L363" t="n">
        <v>0.0</v>
      </c>
      <c r="M363" t="n">
        <v>5.0</v>
      </c>
      <c r="N363" t="inlineStr">
        <is>
          <t>0.09803921568627451</t>
        </is>
      </c>
      <c r="O363" t="n">
        <v>5.0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inlineStr">
        <is>
          <t/>
        </is>
      </c>
      <c r="X363" t="n">
        <v>0.0</v>
      </c>
      <c r="Y363" t="n">
        <v>2.0</v>
      </c>
      <c r="Z363" t="n">
        <v>2.0</v>
      </c>
      <c r="AA363" t="n">
        <v>0.0</v>
      </c>
      <c r="AB363" t="n">
        <v>0.0</v>
      </c>
      <c r="AC363" t="n">
        <v>0.0</v>
      </c>
      <c r="AD363" t="n">
        <v>51.0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13.843137254901961</v>
      </c>
      <c r="AL363" t="inlineStr">
        <is>
          <t/>
        </is>
      </c>
    </row>
    <row r="364">
      <c r="A364" t="inlineStr">
        <is>
          <t>我健身教练推荐的！</t>
        </is>
      </c>
      <c r="B364" t="inlineStr">
        <is>
          <t>69ac454e0000000026031715</t>
        </is>
      </c>
      <c r="C364" s="363" t="n">
        <f>HYPERLINK("https://www.xiaohongshu.com/explore/69ac454e0000000026031715?xsec_token=TBJgc9C9Zxv_xTZMGIz7T6c_EZdIaTkv6_MYR7JOIkPGI=&amp;xsec_source=pc_trdark","https://www.xiaohongshu.com/explore/69ac454e0000000026031715?xsec_token=TBJgc9C9Zxv_xTZMGIz7T6c_EZdIaTkv6_MYR7JOIkPGI=&amp;xsec_source=pc_trdark")</f>
        <v>0.0</v>
      </c>
      <c r="D364" t="inlineStr">
        <is>
          <t>鲜水湾甄选</t>
        </is>
      </c>
      <c r="E364" t="inlineStr">
        <is>
          <t>27401929161</t>
        </is>
      </c>
      <c r="F364" t="inlineStr">
        <is>
          <t>2026-03-07 23:33:34</t>
        </is>
      </c>
      <c r="G364" t="inlineStr">
        <is>
          <t>图文</t>
        </is>
      </c>
      <c r="H364" t="inlineStr">
        <is>
          <t>智利三文鱼切块·整条三文鱼·深海鱼一人食健康饮食</t>
        </is>
      </c>
      <c r="I364" t="inlineStr">
        <is>
          <t>691ac562a524ee0001b51d7b</t>
        </is>
      </c>
      <c r="J364" t="inlineStr">
        <is>
          <t/>
        </is>
      </c>
      <c r="K364" t="n">
        <v>0.0</v>
      </c>
      <c r="L364" t="n">
        <v>0.0</v>
      </c>
      <c r="M364" t="n">
        <v>2.0</v>
      </c>
      <c r="N364" t="n">
        <v>0.0392156862745098</v>
      </c>
      <c r="O364" t="n">
        <v>2.0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inlineStr">
        <is>
          <t/>
        </is>
      </c>
      <c r="X364" t="n">
        <v>0.0</v>
      </c>
      <c r="Y364" t="n">
        <v>1.0</v>
      </c>
      <c r="Z364" t="n">
        <v>0.0</v>
      </c>
      <c r="AA364" t="n">
        <v>0.0</v>
      </c>
      <c r="AB364" t="n">
        <v>0.0</v>
      </c>
      <c r="AC364" t="n">
        <v>0.0</v>
      </c>
      <c r="AD364" t="n">
        <v>51.0</v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6.019607843137255</v>
      </c>
      <c r="AL364" t="inlineStr">
        <is>
          <t/>
        </is>
      </c>
    </row>
    <row r="365">
      <c r="A365" t="inlineStr">
        <is>
          <t>凭一己之力带动办公室天天吃虾仁🍤</t>
        </is>
      </c>
      <c r="B365" t="inlineStr">
        <is>
          <t>69f1c298000000001a036ee3</t>
        </is>
      </c>
      <c r="C365" s="364" t="n">
        <f>HYPERLINK("https://www.xiaohongshu.com/explore/69f1c298000000001a036ee3?xsec_token=TBLt8Y96Ok9n09b_UIgIegbtnTy8KtCLbhEFLFGaAR0ZU=&amp;xsec_source=pc_trdark","https://www.xiaohongshu.com/explore/69f1c298000000001a036ee3?xsec_token=TBLt8Y96Ok9n09b_UIgIegbtnTy8KtCLbhEFLFGaAR0ZU=&amp;xsec_source=pc_trdark")</f>
        <v>0.0</v>
      </c>
      <c r="D365" t="inlineStr">
        <is>
          <t>菲菲上班吃什么</t>
        </is>
      </c>
      <c r="E365" t="inlineStr">
        <is>
          <t>49936530607</t>
        </is>
      </c>
      <c r="F365" t="inlineStr">
        <is>
          <t>2026-04-29 16:34:32</t>
        </is>
      </c>
      <c r="G365" t="inlineStr">
        <is>
          <t>图文</t>
        </is>
      </c>
      <c r="H365" t="inlineStr">
        <is>
          <t>手剥虾仁 无冰衣无添加 低脂餐一人食 上班带饭 顺丰包邮 5盒装</t>
        </is>
      </c>
      <c r="I365" t="inlineStr">
        <is>
          <t>694baba01d450d00013662f0</t>
        </is>
      </c>
      <c r="J365" t="inlineStr">
        <is>
          <t/>
        </is>
      </c>
      <c r="K365" t="n">
        <v>0.0</v>
      </c>
      <c r="L365" t="n">
        <v>0.0</v>
      </c>
      <c r="M365" t="n">
        <v>1.0</v>
      </c>
      <c r="N365" t="n">
        <v>0.02</v>
      </c>
      <c r="O365" t="n">
        <v>1.0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inlineStr">
        <is>
          <t/>
        </is>
      </c>
      <c r="X365" t="n">
        <v>0.0</v>
      </c>
      <c r="Y365" t="n">
        <v>0.0</v>
      </c>
      <c r="Z365" t="n">
        <v>1.0</v>
      </c>
      <c r="AA365" t="n">
        <v>0.0</v>
      </c>
      <c r="AB365" t="n">
        <v>0.0</v>
      </c>
      <c r="AC365" t="n">
        <v>0.0</v>
      </c>
      <c r="AD365" t="n">
        <v>50.0</v>
      </c>
      <c r="AE365" t="n">
        <v>0.0</v>
      </c>
      <c r="AF365" t="n">
        <v>0.0</v>
      </c>
      <c r="AG365" t="n">
        <v>0.0</v>
      </c>
      <c r="AH365" t="n">
        <v>1.0</v>
      </c>
      <c r="AI365" t="n">
        <v>0.0</v>
      </c>
      <c r="AJ365" t="n">
        <v>0.0</v>
      </c>
      <c r="AK365" t="n">
        <v>16.54</v>
      </c>
      <c r="AL365" t="inlineStr">
        <is>
          <t/>
        </is>
      </c>
    </row>
    <row r="366">
      <c r="A366" t="inlineStr">
        <is>
          <t>不敢相信🫢69块承包了我一周的减脂餐</t>
        </is>
      </c>
      <c r="B366" t="inlineStr">
        <is>
          <t>69f0bd9b000000001a037154</t>
        </is>
      </c>
      <c r="C366" s="365" t="n">
        <f>HYPERLINK("https://www.xiaohongshu.com/explore/69f0bd9b000000001a037154?xsec_token=TBvHxiGmj2CedfPdQHdLJBmMCfqTm_ey4fpgpgCCV_3rk=&amp;xsec_source=pc_trdark","https://www.xiaohongshu.com/explore/69f0bd9b000000001a037154?xsec_token=TBvHxiGmj2CedfPdQHdLJBmMCfqTm_ey4fpgpgCCV_3rk=&amp;xsec_source=pc_trdark")</f>
        <v>0.0</v>
      </c>
      <c r="D366" t="inlineStr">
        <is>
          <t>菲菲上班吃什么</t>
        </is>
      </c>
      <c r="E366" t="inlineStr">
        <is>
          <t>49936530607</t>
        </is>
      </c>
      <c r="F366" t="inlineStr">
        <is>
          <t>2026-04-28 22:00:59</t>
        </is>
      </c>
      <c r="G366" t="inlineStr">
        <is>
          <t>图文</t>
        </is>
      </c>
      <c r="H366" t="inlineStr">
        <is>
          <t>手剥虾仁 无冰衣无添加 低脂餐一人食 上班带饭 顺丰包邮 5盒装</t>
        </is>
      </c>
      <c r="I366" t="inlineStr">
        <is>
          <t>694baba01d450d00013662f0</t>
        </is>
      </c>
      <c r="J366" t="inlineStr">
        <is>
          <t/>
        </is>
      </c>
      <c r="K366" t="n">
        <v>0.0</v>
      </c>
      <c r="L366" t="n">
        <v>0.0</v>
      </c>
      <c r="M366" t="n">
        <v>11.0</v>
      </c>
      <c r="N366" t="inlineStr">
        <is>
          <t>0.22448979591836735</t>
        </is>
      </c>
      <c r="O366" t="n">
        <v>10.0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inlineStr">
        <is>
          <t/>
        </is>
      </c>
      <c r="X366" t="n">
        <v>0.0</v>
      </c>
      <c r="Y366" t="n">
        <v>3.0</v>
      </c>
      <c r="Z366" t="n">
        <v>2.0</v>
      </c>
      <c r="AA366" t="n">
        <v>0.0</v>
      </c>
      <c r="AB366" t="n">
        <v>0.0</v>
      </c>
      <c r="AC366" t="n">
        <v>0.0</v>
      </c>
      <c r="AD366" t="n">
        <v>49.0</v>
      </c>
      <c r="AE366" t="n">
        <v>0.0</v>
      </c>
      <c r="AF366" t="n">
        <v>0.0</v>
      </c>
      <c r="AG366" t="n">
        <v>0.0</v>
      </c>
      <c r="AH366" t="n">
        <v>1.0</v>
      </c>
      <c r="AI366" t="n">
        <v>0.0</v>
      </c>
      <c r="AJ366" t="n">
        <v>0.0</v>
      </c>
      <c r="AK366" t="n">
        <v>11.0</v>
      </c>
      <c r="AL366" t="inlineStr">
        <is>
          <t/>
        </is>
      </c>
    </row>
    <row r="367">
      <c r="A367" t="inlineStr">
        <is>
          <t>⛰️姆对不起，还是小包装虾仁更有幸福感</t>
        </is>
      </c>
      <c r="B367" t="inlineStr">
        <is>
          <t>69ef4623000000003503bff2</t>
        </is>
      </c>
      <c r="C367" s="366" t="n">
        <f>HYPERLINK("https://www.xiaohongshu.com/explore/69ef4623000000003503bff2?xsec_token=TB8YlxxIf2o_Xr_LAif13-vMfiJdermgUoWoL-vMgjNjg=&amp;xsec_source=pc_trdark","https://www.xiaohongshu.com/explore/69ef4623000000003503bff2?xsec_token=TB8YlxxIf2o_Xr_LAif13-vMfiJdermgUoWoL-vMgjNjg=&amp;xsec_source=pc_trdark")</f>
        <v>0.0</v>
      </c>
      <c r="D367" t="inlineStr">
        <is>
          <t>鲜水湾甄选</t>
        </is>
      </c>
      <c r="E367" t="inlineStr">
        <is>
          <t>27401929161</t>
        </is>
      </c>
      <c r="F367" t="inlineStr">
        <is>
          <t>2026-04-27 19:18:59</t>
        </is>
      </c>
      <c r="G367" t="inlineStr">
        <is>
          <t>图文</t>
        </is>
      </c>
      <c r="H367" t="inlineStr">
        <is>
          <t>手剥虾仁 无冰衣无添加 低脂餐一人食 上班带饭 顺丰包邮 5盒装</t>
        </is>
      </c>
      <c r="I367" t="inlineStr">
        <is>
          <t>694baba01d450d00013662f0</t>
        </is>
      </c>
      <c r="J367" t="inlineStr">
        <is>
          <t/>
        </is>
      </c>
      <c r="K367" t="n">
        <v>0.0</v>
      </c>
      <c r="L367" t="n">
        <v>0.0</v>
      </c>
      <c r="M367" t="n">
        <v>4.0</v>
      </c>
      <c r="N367" t="inlineStr">
        <is>
          <t>0.08163265306122448</t>
        </is>
      </c>
      <c r="O367" t="n">
        <v>4.0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inlineStr">
        <is>
          <t/>
        </is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49.0</v>
      </c>
      <c r="AE367" t="n">
        <v>0.0</v>
      </c>
      <c r="AF367" t="n">
        <v>0.0</v>
      </c>
      <c r="AG367" t="n">
        <v>0.0</v>
      </c>
      <c r="AH367" t="n">
        <v>1.0</v>
      </c>
      <c r="AI367" t="n">
        <v>0.0</v>
      </c>
      <c r="AJ367" t="n">
        <v>0.0</v>
      </c>
      <c r="AK367" t="n">
        <v>26.53061224489796</v>
      </c>
      <c r="AL367" t="inlineStr">
        <is>
          <t/>
        </is>
      </c>
    </row>
    <row r="368">
      <c r="A368" t="inlineStr">
        <is>
          <t>管理期，吃空一箱又一箱,真的很好吃</t>
        </is>
      </c>
      <c r="B368" t="inlineStr">
        <is>
          <t>69e9d4c20000000013030800</t>
        </is>
      </c>
      <c r="C368" s="367" t="n">
        <f>HYPERLINK("https://www.xiaohongshu.com/explore/69e9d4c20000000013030800?xsec_token=TBNkLc7pOHvt_5tNJTpGNllCuIxkYfDeWqKO-AkDY5Iok=&amp;xsec_source=pc_trdark","https://www.xiaohongshu.com/explore/69e9d4c20000000013030800?xsec_token=TBNkLc7pOHvt_5tNJTpGNllCuIxkYfDeWqKO-AkDY5Iok=&amp;xsec_source=pc_trdark")</f>
        <v>0.0</v>
      </c>
      <c r="D368" t="inlineStr">
        <is>
          <t>鲜水湾甄选</t>
        </is>
      </c>
      <c r="E368" t="inlineStr">
        <is>
          <t>27401929161</t>
        </is>
      </c>
      <c r="F368" t="inlineStr">
        <is>
          <t>2026-04-23 16:13:54</t>
        </is>
      </c>
      <c r="G368" t="inlineStr">
        <is>
          <t>图文</t>
        </is>
      </c>
      <c r="H368" t="inlineStr">
        <is>
          <t>手剥虾仁 无冰衣无添加 低脂餐一人食 上班带饭 顺丰包邮 5盒装</t>
        </is>
      </c>
      <c r="I368" t="inlineStr">
        <is>
          <t>694baba01d450d00013662f0</t>
        </is>
      </c>
      <c r="J368" t="inlineStr">
        <is>
          <t/>
        </is>
      </c>
      <c r="K368" t="n">
        <v>0.0</v>
      </c>
      <c r="L368" t="n">
        <v>0.0</v>
      </c>
      <c r="M368" t="n">
        <v>1.0</v>
      </c>
      <c r="N368" t="inlineStr">
        <is>
          <t>0.02040816326530612</t>
        </is>
      </c>
      <c r="O368" t="n">
        <v>1.0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inlineStr">
        <is>
          <t/>
        </is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49.0</v>
      </c>
      <c r="AE368" t="n">
        <v>1.0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11.775510204081632</v>
      </c>
      <c r="AL368" t="inlineStr">
        <is>
          <t/>
        </is>
      </c>
    </row>
    <row r="369">
      <c r="A369" t="inlineStr">
        <is>
          <t>对不起，是我低估100来块的购买力了🍤</t>
        </is>
      </c>
      <c r="B369" t="inlineStr">
        <is>
          <t>69f34fb3000000003502fe4e</t>
        </is>
      </c>
      <c r="C369" s="368" t="n">
        <f>HYPERLINK("https://www.xiaohongshu.com/explore/69f34fb3000000003502fe4e?xsec_token=TBx93XfWzGohdywDZFOL5vkcOTpz_lcpyBja5CLm01pZ4=&amp;xsec_source=pc_trdark","https://www.xiaohongshu.com/explore/69f34fb3000000003502fe4e?xsec_token=TBx93XfWzGohdywDZFOL5vkcOTpz_lcpyBja5CLm01pZ4=&amp;xsec_source=pc_trdark")</f>
        <v>0.0</v>
      </c>
      <c r="D369" t="inlineStr">
        <is>
          <t>鲜水湾甄选</t>
        </is>
      </c>
      <c r="E369" t="inlineStr">
        <is>
          <t>27401929161</t>
        </is>
      </c>
      <c r="F369" t="inlineStr">
        <is>
          <t>2026-04-30 20:48:51</t>
        </is>
      </c>
      <c r="G369" t="inlineStr">
        <is>
          <t>图文</t>
        </is>
      </c>
      <c r="H369" t="inlineStr">
        <is>
          <t>手剥虾仁 无冰衣无添加 低脂餐一人食 上班带饭 顺丰包邮 5盒装</t>
        </is>
      </c>
      <c r="I369" t="inlineStr">
        <is>
          <t>694baba01d450d00013662f0</t>
        </is>
      </c>
      <c r="J369" t="inlineStr">
        <is>
          <t/>
        </is>
      </c>
      <c r="K369" t="n">
        <v>0.0</v>
      </c>
      <c r="L369" t="n">
        <v>0.0</v>
      </c>
      <c r="M369" t="n">
        <v>9.0</v>
      </c>
      <c r="N369" t="n">
        <v>0.1875</v>
      </c>
      <c r="O369" t="n">
        <v>6.0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inlineStr">
        <is>
          <t/>
        </is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48.0</v>
      </c>
      <c r="AE369" t="n">
        <v>0.0</v>
      </c>
      <c r="AF369" t="n">
        <v>1.0</v>
      </c>
      <c r="AG369" t="n">
        <v>0.0</v>
      </c>
      <c r="AH369" t="n">
        <v>1.0</v>
      </c>
      <c r="AI369" t="n">
        <v>0.0</v>
      </c>
      <c r="AJ369" t="n">
        <v>0.0</v>
      </c>
      <c r="AK369" t="n">
        <v>7.354166666666667</v>
      </c>
      <c r="AL369" t="inlineStr">
        <is>
          <t/>
        </is>
      </c>
    </row>
    <row r="370">
      <c r="A370" t="inlineStr">
        <is>
          <t>真心建议孕妈妈试试我家这种无保水虾仁</t>
        </is>
      </c>
      <c r="B370" t="inlineStr">
        <is>
          <t>69cb9556000000001e00efd8</t>
        </is>
      </c>
      <c r="C370" s="369" t="n">
        <f>HYPERLINK("https://www.xiaohongshu.com/explore/69cb9556000000001e00efd8?xsec_token=TBNvk7eB588c7ey-qUUMF7OXz--O4N9Fntg0McP9rX97g=&amp;xsec_source=pc_trdark","https://www.xiaohongshu.com/explore/69cb9556000000001e00efd8?xsec_token=TBNvk7eB588c7ey-qUUMF7OXz--O4N9Fntg0McP9rX97g=&amp;xsec_source=pc_trdark")</f>
        <v>0.0</v>
      </c>
      <c r="D370" t="inlineStr">
        <is>
          <t>鲜水湾</t>
        </is>
      </c>
      <c r="E370" t="inlineStr">
        <is>
          <t>49316638994</t>
        </is>
      </c>
      <c r="F370" t="inlineStr">
        <is>
          <t>2026-03-31 17:35:18</t>
        </is>
      </c>
      <c r="G370" t="inlineStr">
        <is>
          <t>图文</t>
        </is>
      </c>
      <c r="H370" t="inlineStr">
        <is>
          <t>手剥虾仁 无冰衣无添加 低脂餐一人食 上班带饭 顺丰包邮 5盒装</t>
        </is>
      </c>
      <c r="I370" t="inlineStr">
        <is>
          <t>694baba01d450d00013662f0</t>
        </is>
      </c>
      <c r="J370" t="inlineStr">
        <is>
          <t/>
        </is>
      </c>
      <c r="K370" t="n">
        <v>0.0</v>
      </c>
      <c r="L370" t="n">
        <v>0.0</v>
      </c>
      <c r="M370" t="n">
        <v>4.0</v>
      </c>
      <c r="N370" t="inlineStr">
        <is>
          <t>0.08333333333333333</t>
        </is>
      </c>
      <c r="O370" t="n">
        <v>4.0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inlineStr">
        <is>
          <t/>
        </is>
      </c>
      <c r="X370" t="n">
        <v>0.0</v>
      </c>
      <c r="Y370" t="n">
        <v>0.0</v>
      </c>
      <c r="Z370" t="n">
        <v>2.0</v>
      </c>
      <c r="AA370" t="n">
        <v>0.0</v>
      </c>
      <c r="AB370" t="n">
        <v>0.0</v>
      </c>
      <c r="AC370" t="n">
        <v>0.0</v>
      </c>
      <c r="AD370" t="n">
        <v>48.0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6.145833333333333</v>
      </c>
      <c r="AL370" t="inlineStr">
        <is>
          <t/>
        </is>
      </c>
    </row>
    <row r="371">
      <c r="A371" t="inlineStr">
        <is>
          <t>现在年轻人对60来块，毫无毫无概念！</t>
        </is>
      </c>
      <c r="B371" t="inlineStr">
        <is>
          <t>69397713000000001e032977</t>
        </is>
      </c>
      <c r="C371" s="370" t="n">
        <f>HYPERLINK("https://www.xiaohongshu.com/explore/69397713000000001e032977?xsec_token=TBaopk6NP1Kn3Gui1O5R_ovt-gQJhUCkzFEl628TZuvkA=&amp;xsec_source=pc_trdark","https://www.xiaohongshu.com/explore/69397713000000001e032977?xsec_token=TBaopk6NP1Kn3Gui1O5R_ovt-gQJhUCkzFEl628TZuvkA=&amp;xsec_source=pc_trdark")</f>
        <v>0.0</v>
      </c>
      <c r="D371" t="inlineStr">
        <is>
          <t>鲜水湾</t>
        </is>
      </c>
      <c r="E371" t="inlineStr">
        <is>
          <t>49316638994</t>
        </is>
      </c>
      <c r="F371" t="inlineStr">
        <is>
          <t>2025-12-10 21:35:15</t>
        </is>
      </c>
      <c r="G371" t="inlineStr">
        <is>
          <t>图文</t>
        </is>
      </c>
      <c r="H371" t="inlineStr">
        <is>
          <t>智利三文鱼切块·整条三文鱼·深海鱼一人食健康饮食</t>
        </is>
      </c>
      <c r="I371" t="inlineStr">
        <is>
          <t>691ac562a524ee0001b51d7b</t>
        </is>
      </c>
      <c r="J371" t="inlineStr">
        <is>
          <t/>
        </is>
      </c>
      <c r="K371" t="n">
        <v>0.0</v>
      </c>
      <c r="L371" t="n">
        <v>0.0</v>
      </c>
      <c r="M371" t="n">
        <v>5.0</v>
      </c>
      <c r="N371" t="inlineStr">
        <is>
          <t>0.10416666666666667</t>
        </is>
      </c>
      <c r="O371" t="n">
        <v>5.0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inlineStr">
        <is>
          <t/>
        </is>
      </c>
      <c r="X371" t="n">
        <v>0.0</v>
      </c>
      <c r="Y371" t="n">
        <v>1.0</v>
      </c>
      <c r="Z371" t="n">
        <v>2.0</v>
      </c>
      <c r="AA371" t="n">
        <v>0.0</v>
      </c>
      <c r="AB371" t="n">
        <v>0.0</v>
      </c>
      <c r="AC371" t="n">
        <v>0.0</v>
      </c>
      <c r="AD371" t="n">
        <v>48.0</v>
      </c>
      <c r="AE371" t="n">
        <v>0.0</v>
      </c>
      <c r="AF371" t="n">
        <v>0.0</v>
      </c>
      <c r="AG371" t="n">
        <v>0.0</v>
      </c>
      <c r="AH371" t="n">
        <v>1.0</v>
      </c>
      <c r="AI371" t="n">
        <v>0.0</v>
      </c>
      <c r="AJ371" t="n">
        <v>0.0</v>
      </c>
      <c r="AK371" t="n">
        <v>8.270833333333334</v>
      </c>
      <c r="AL371" t="inlineStr">
        <is>
          <t/>
        </is>
      </c>
    </row>
    <row r="372">
      <c r="A372" t="inlineStr">
        <is>
          <t/>
        </is>
      </c>
      <c r="B372" t="inlineStr">
        <is>
          <t>69d3c8d8000000001a02d77d</t>
        </is>
      </c>
      <c r="C372" s="371" t="n">
        <f>HYPERLINK("https://www.xiaohongshu.com/explore/69d3c8d8000000001a02d77d?xsec_token=TBhEDzysvLbwbBD8CIa_-jsWu1E247MnpVbN1PlgEwYtA=&amp;xsec_source=pc_trdark","https://www.xiaohongshu.com/explore/69d3c8d8000000001a02d77d?xsec_token=TBhEDzysvLbwbBD8CIa_-jsWu1E247MnpVbN1PlgEwYtA=&amp;xsec_source=pc_trdark")</f>
        <v>0.0</v>
      </c>
      <c r="D372" t="inlineStr">
        <is>
          <t>菲菲上班吃什么</t>
        </is>
      </c>
      <c r="E372" t="inlineStr">
        <is>
          <t>49936530607</t>
        </is>
      </c>
      <c r="F372" t="inlineStr">
        <is>
          <t>2026-04-06 22:53:12</t>
        </is>
      </c>
      <c r="G372" t="inlineStr">
        <is>
          <t>图文</t>
        </is>
      </c>
      <c r="H372" t="inlineStr">
        <is>
          <t>手剥虾仁 无冰衣无添加 低脂餐一人食 上班带饭 顺丰包邮 5盒装</t>
        </is>
      </c>
      <c r="I372" t="inlineStr">
        <is>
          <t>694baba01d450d00013662f0</t>
        </is>
      </c>
      <c r="J372" t="inlineStr">
        <is>
          <t/>
        </is>
      </c>
      <c r="K372" t="n">
        <v>69.0</v>
      </c>
      <c r="L372" t="n">
        <v>1.0</v>
      </c>
      <c r="M372" t="n">
        <v>6.0</v>
      </c>
      <c r="N372" t="n">
        <v>0.1276595744680851</v>
      </c>
      <c r="O372" t="n">
        <v>3.0</v>
      </c>
      <c r="P372" t="n">
        <v>1.0</v>
      </c>
      <c r="Q372" t="inlineStr">
        <is>
          <t>0.16666666666666666</t>
        </is>
      </c>
      <c r="R372" t="n">
        <v>0.3333333333333333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2.0</v>
      </c>
      <c r="Z372" t="n">
        <v>3.0</v>
      </c>
      <c r="AA372" t="n">
        <v>0.0</v>
      </c>
      <c r="AB372" t="n">
        <v>0.0</v>
      </c>
      <c r="AC372" t="n">
        <v>0.0</v>
      </c>
      <c r="AD372" t="n">
        <v>47.0</v>
      </c>
      <c r="AE372" t="n">
        <v>1.0</v>
      </c>
      <c r="AF372" t="n">
        <v>0.0</v>
      </c>
      <c r="AG372" t="n">
        <v>0.0</v>
      </c>
      <c r="AH372" t="n">
        <v>1.0</v>
      </c>
      <c r="AI372" t="n">
        <v>1.0</v>
      </c>
      <c r="AJ372" t="n">
        <v>0.0</v>
      </c>
      <c r="AK372" t="n">
        <v>5.957446808510638</v>
      </c>
      <c r="AL372" t="inlineStr">
        <is>
          <t/>
        </is>
      </c>
    </row>
    <row r="373">
      <c r="A373" t="inlineStr">
        <is>
          <t>同事对于我每天吃虾仁表示很奢侈🥲</t>
        </is>
      </c>
      <c r="B373" t="inlineStr">
        <is>
          <t>69d3427c000000001f000fd6</t>
        </is>
      </c>
      <c r="C373" s="372" t="n">
        <f>HYPERLINK("https://www.xiaohongshu.com/explore/69d3427c000000001f000fd6?xsec_token=TBhEDzysvLbwbBD8CIa_-jsboRO1y9KnK31dtr3cU2vwY=&amp;xsec_source=pc_trdark","https://www.xiaohongshu.com/explore/69d3427c000000001f000fd6?xsec_token=TBhEDzysvLbwbBD8CIa_-jsboRO1y9KnK31dtr3cU2vwY=&amp;xsec_source=pc_trdark")</f>
        <v>0.0</v>
      </c>
      <c r="D373" t="inlineStr">
        <is>
          <t>婉婉上班吃什么</t>
        </is>
      </c>
      <c r="E373" t="inlineStr">
        <is>
          <t>11434449706</t>
        </is>
      </c>
      <c r="F373" t="inlineStr">
        <is>
          <t>2026-04-06 13:19:56</t>
        </is>
      </c>
      <c r="G373" t="inlineStr">
        <is>
          <t>图文</t>
        </is>
      </c>
      <c r="H373" t="inlineStr">
        <is>
          <t>手剥虾仁 无冰衣无添加 低脂餐一人食 上班带饭 顺丰包邮 5盒装</t>
        </is>
      </c>
      <c r="I373" t="inlineStr">
        <is>
          <t>694baba01d450d00013662f0</t>
        </is>
      </c>
      <c r="J373" t="inlineStr">
        <is>
          <t/>
        </is>
      </c>
      <c r="K373" t="n">
        <v>0.0</v>
      </c>
      <c r="L373" t="n">
        <v>0.0</v>
      </c>
      <c r="M373" t="n">
        <v>3.0</v>
      </c>
      <c r="N373" t="inlineStr">
        <is>
          <t>0.06382978723404255</t>
        </is>
      </c>
      <c r="O373" t="n">
        <v>3.0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inlineStr">
        <is>
          <t/>
        </is>
      </c>
      <c r="X373" t="n">
        <v>0.0</v>
      </c>
      <c r="Y373" t="n">
        <v>1.0</v>
      </c>
      <c r="Z373" t="n">
        <v>0.0</v>
      </c>
      <c r="AA373" t="n">
        <v>0.0</v>
      </c>
      <c r="AB373" t="n">
        <v>0.0</v>
      </c>
      <c r="AC373" t="n">
        <v>0.0</v>
      </c>
      <c r="AD373" t="n">
        <v>47.0</v>
      </c>
      <c r="AE373" t="n">
        <v>1.0</v>
      </c>
      <c r="AF373" t="n">
        <v>0.0</v>
      </c>
      <c r="AG373" t="n">
        <v>0.0</v>
      </c>
      <c r="AH373" t="n">
        <v>1.0</v>
      </c>
      <c r="AI373" t="n">
        <v>0.0</v>
      </c>
      <c r="AJ373" t="n">
        <v>0.0</v>
      </c>
      <c r="AK373" t="n">
        <v>11.872340425531915</v>
      </c>
      <c r="AL373" t="inlineStr">
        <is>
          <t/>
        </is>
      </c>
    </row>
    <row r="374">
      <c r="A374" t="inlineStr">
        <is>
          <t>独居第三年，终于找到了不浪费的做饭方式💰</t>
        </is>
      </c>
      <c r="B374" t="inlineStr">
        <is>
          <t>69ecb646000000001f00526a</t>
        </is>
      </c>
      <c r="C374" s="373" t="n">
        <f>HYPERLINK("https://www.xiaohongshu.com/explore/69ecb646000000001f00526a?xsec_token=TBnoSF_--XRDuLtfF77lVqP6EzYala_QI22dXY2sG0kDE=&amp;xsec_source=pc_trdark","https://www.xiaohongshu.com/explore/69ecb646000000001f00526a?xsec_token=TBnoSF_--XRDuLtfF77lVqP6EzYala_QI22dXY2sG0kDE=&amp;xsec_source=pc_trdark")</f>
        <v>0.0</v>
      </c>
      <c r="D374" t="inlineStr">
        <is>
          <t>菲菲上班吃什么</t>
        </is>
      </c>
      <c r="E374" t="inlineStr">
        <is>
          <t>49936530607</t>
        </is>
      </c>
      <c r="F374" t="inlineStr">
        <is>
          <t>2026-04-25 22:30:00</t>
        </is>
      </c>
      <c r="G374" t="inlineStr">
        <is>
          <t>图文</t>
        </is>
      </c>
      <c r="H374" t="inlineStr">
        <is>
          <t>手剥虾仁 无冰衣无添加 低脂餐一人食 上班带饭 顺丰包邮 5盒装</t>
        </is>
      </c>
      <c r="I374" t="inlineStr">
        <is>
          <t>694baba01d450d00013662f0</t>
        </is>
      </c>
      <c r="J374" t="inlineStr">
        <is>
          <t/>
        </is>
      </c>
      <c r="K374" t="n">
        <v>0.0</v>
      </c>
      <c r="L374" t="n">
        <v>0.0</v>
      </c>
      <c r="M374" t="n">
        <v>3.0</v>
      </c>
      <c r="N374" t="inlineStr">
        <is>
          <t>0.06521739130434782</t>
        </is>
      </c>
      <c r="O374" t="n">
        <v>3.0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inlineStr">
        <is>
          <t/>
        </is>
      </c>
      <c r="X374" t="n">
        <v>0.0</v>
      </c>
      <c r="Y374" t="n">
        <v>0.0</v>
      </c>
      <c r="Z374" t="n">
        <v>2.0</v>
      </c>
      <c r="AA374" t="n">
        <v>0.0</v>
      </c>
      <c r="AB374" t="n">
        <v>0.0</v>
      </c>
      <c r="AC374" t="n">
        <v>0.0</v>
      </c>
      <c r="AD374" t="n">
        <v>46.0</v>
      </c>
      <c r="AE374" t="n">
        <v>1.0</v>
      </c>
      <c r="AF374" t="n">
        <v>0.0</v>
      </c>
      <c r="AG374" t="n">
        <v>0.0</v>
      </c>
      <c r="AH374" t="n">
        <v>1.0</v>
      </c>
      <c r="AI374" t="n">
        <v>0.0</v>
      </c>
      <c r="AJ374" t="n">
        <v>0.0</v>
      </c>
      <c r="AK374" t="n">
        <v>5.869565217391305</v>
      </c>
      <c r="AL374" t="inlineStr">
        <is>
          <t/>
        </is>
      </c>
    </row>
    <row r="375">
      <c r="A375" t="inlineStr">
        <is>
          <t>100来块钱解决我半个月的减脂餐🤩</t>
        </is>
      </c>
      <c r="B375" t="inlineStr">
        <is>
          <t>69ef44ed000000001e00c782</t>
        </is>
      </c>
      <c r="C375" s="374" t="n">
        <f>HYPERLINK("https://www.xiaohongshu.com/explore/69ef44ed000000001e00c782?xsec_token=TB8YlxxIf2o_Xr_LAif13-vJxzPYr0b4SufP7ZPVmalX8=&amp;xsec_source=pc_trdark","https://www.xiaohongshu.com/explore/69ef44ed000000001e00c782?xsec_token=TB8YlxxIf2o_Xr_LAif13-vJxzPYr0b4SufP7ZPVmalX8=&amp;xsec_source=pc_trdark")</f>
        <v>0.0</v>
      </c>
      <c r="D375" t="inlineStr">
        <is>
          <t>菲菲上班吃什么</t>
        </is>
      </c>
      <c r="E375" t="inlineStr">
        <is>
          <t>49936530607</t>
        </is>
      </c>
      <c r="F375" t="inlineStr">
        <is>
          <t>2026-04-27 19:13:49</t>
        </is>
      </c>
      <c r="G375" t="inlineStr">
        <is>
          <t>图文</t>
        </is>
      </c>
      <c r="H375" t="inlineStr">
        <is>
          <t>手剥虾仁 无冰衣无添加 低脂餐一人食 上班带饭 顺丰包邮 5盒装</t>
        </is>
      </c>
      <c r="I375" t="inlineStr">
        <is>
          <t>694baba01d450d00013662f0</t>
        </is>
      </c>
      <c r="J375" t="inlineStr">
        <is>
          <t/>
        </is>
      </c>
      <c r="K375" t="n">
        <v>0.0</v>
      </c>
      <c r="L375" t="n">
        <v>0.0</v>
      </c>
      <c r="M375" t="n">
        <v>5.0</v>
      </c>
      <c r="N375" t="n">
        <v>0.1111111111111111</v>
      </c>
      <c r="O375" t="n">
        <v>5.0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inlineStr">
        <is>
          <t/>
        </is>
      </c>
      <c r="X375" t="n">
        <v>0.0</v>
      </c>
      <c r="Y375" t="n">
        <v>3.0</v>
      </c>
      <c r="Z375" t="n">
        <v>2.0</v>
      </c>
      <c r="AA375" t="n">
        <v>0.0</v>
      </c>
      <c r="AB375" t="n">
        <v>0.0</v>
      </c>
      <c r="AC375" t="n">
        <v>0.0</v>
      </c>
      <c r="AD375" t="n">
        <v>45.0</v>
      </c>
      <c r="AE375" t="n">
        <v>0.0</v>
      </c>
      <c r="AF375" t="n">
        <v>0.0</v>
      </c>
      <c r="AG375" t="n">
        <v>0.0</v>
      </c>
      <c r="AH375" t="n">
        <v>1.0</v>
      </c>
      <c r="AI375" t="n">
        <v>0.0</v>
      </c>
      <c r="AJ375" t="n">
        <v>0.0</v>
      </c>
      <c r="AK375" t="n">
        <v>14.511111111111111</v>
      </c>
      <c r="AL375" t="inlineStr">
        <is>
          <t/>
        </is>
      </c>
    </row>
    <row r="376">
      <c r="A376" t="inlineStr">
        <is>
          <t>爸妈对于我每天吃一片三文鱼表示很奢侈</t>
        </is>
      </c>
      <c r="B376" t="inlineStr">
        <is>
          <t>69b4313d000000002003bfd0</t>
        </is>
      </c>
      <c r="C376" s="375" t="n">
        <f>HYPERLINK("https://www.xiaohongshu.com/explore/69b4313d000000002003bfd0?xsec_token=TB4dy4zP2Sasn_cYXEm_KMI1W3sgF6vDokja11Nc4WvIc=&amp;xsec_source=pc_trdark","https://www.xiaohongshu.com/explore/69b4313d000000002003bfd0?xsec_token=TB4dy4zP2Sasn_cYXEm_KMI1W3sgF6vDokja11Nc4WvIc=&amp;xsec_source=pc_trdark")</f>
        <v>0.0</v>
      </c>
      <c r="D376" t="inlineStr">
        <is>
          <t>婉婉上班吃什么</t>
        </is>
      </c>
      <c r="E376" t="inlineStr">
        <is>
          <t>11434449706</t>
        </is>
      </c>
      <c r="F376" t="inlineStr">
        <is>
          <t>2026-03-13 23:46:05</t>
        </is>
      </c>
      <c r="G376" t="inlineStr">
        <is>
          <t>图文</t>
        </is>
      </c>
      <c r="H376" t="inlineStr">
        <is>
          <t>智利三文鱼切块·整条三文鱼·深海鱼一人食健康饮食</t>
        </is>
      </c>
      <c r="I376" t="inlineStr">
        <is>
          <t>691ac562a524ee0001b51d7b</t>
        </is>
      </c>
      <c r="J376" t="inlineStr">
        <is>
          <t/>
        </is>
      </c>
      <c r="K376" t="n">
        <v>0.0</v>
      </c>
      <c r="L376" t="n">
        <v>0.0</v>
      </c>
      <c r="M376" t="n">
        <v>2.0</v>
      </c>
      <c r="N376" t="inlineStr">
        <is>
          <t>0.044444444444444446</t>
        </is>
      </c>
      <c r="O376" t="n">
        <v>2.0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inlineStr">
        <is>
          <t/>
        </is>
      </c>
      <c r="X376" t="n">
        <v>0.0</v>
      </c>
      <c r="Y376" t="n">
        <v>0.0</v>
      </c>
      <c r="Z376" t="n">
        <v>2.0</v>
      </c>
      <c r="AA376" t="n">
        <v>0.0</v>
      </c>
      <c r="AB376" t="n">
        <v>0.0</v>
      </c>
      <c r="AC376" t="n">
        <v>0.0</v>
      </c>
      <c r="AD376" t="n">
        <v>45.0</v>
      </c>
      <c r="AE376" t="n">
        <v>0.0</v>
      </c>
      <c r="AF376" t="n">
        <v>0.0</v>
      </c>
      <c r="AG376" t="n">
        <v>0.0</v>
      </c>
      <c r="AH376" t="n">
        <v>1.0</v>
      </c>
      <c r="AI376" t="n">
        <v>0.0</v>
      </c>
      <c r="AJ376" t="n">
        <v>0.0</v>
      </c>
      <c r="AK376" t="n">
        <v>9.88888888888889</v>
      </c>
      <c r="AL376" t="inlineStr">
        <is>
          <t/>
        </is>
      </c>
    </row>
    <row r="377">
      <c r="A377" t="inlineStr">
        <is>
          <t>年轻人还是不能低估69块钱的购买力😍</t>
        </is>
      </c>
      <c r="B377" t="inlineStr">
        <is>
          <t>69f19896000000003502f082</t>
        </is>
      </c>
      <c r="C377" s="376" t="n">
        <f>HYPERLINK("https://www.xiaohongshu.com/explore/69f19896000000003502f082?xsec_token=TBLt8Y96Ok9n09b_UIgIegbnY8NGqtmCeHMKigwmKuRaU=&amp;xsec_source=pc_trdark","https://www.xiaohongshu.com/explore/69f19896000000003502f082?xsec_token=TBLt8Y96Ok9n09b_UIgIegbnY8NGqtmCeHMKigwmKuRaU=&amp;xsec_source=pc_trdark")</f>
        <v>0.0</v>
      </c>
      <c r="D377" t="inlineStr">
        <is>
          <t>鲜水湾甄选</t>
        </is>
      </c>
      <c r="E377" t="inlineStr">
        <is>
          <t>27401929161</t>
        </is>
      </c>
      <c r="F377" t="inlineStr">
        <is>
          <t>2026-04-29 13:35:18</t>
        </is>
      </c>
      <c r="G377" t="inlineStr">
        <is>
          <t>图文</t>
        </is>
      </c>
      <c r="H377" t="inlineStr">
        <is>
          <t>手剥虾仁 无冰衣无添加 低脂餐一人食 上班带饭 顺丰包邮 5盒装</t>
        </is>
      </c>
      <c r="I377" t="inlineStr">
        <is>
          <t>694baba01d450d00013662f0</t>
        </is>
      </c>
      <c r="J377" t="inlineStr">
        <is>
          <t/>
        </is>
      </c>
      <c r="K377" t="n">
        <v>69.0</v>
      </c>
      <c r="L377" t="n">
        <v>1.0</v>
      </c>
      <c r="M377" t="n">
        <v>5.0</v>
      </c>
      <c r="N377" t="inlineStr">
        <is>
          <t>0.11363636363636363</t>
        </is>
      </c>
      <c r="O377" t="n">
        <v>4.0</v>
      </c>
      <c r="P377" t="n">
        <v>1.0</v>
      </c>
      <c r="Q377" t="n">
        <v>0.2</v>
      </c>
      <c r="R377" t="n">
        <v>0.25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3.0</v>
      </c>
      <c r="Z377" t="n">
        <v>0.0</v>
      </c>
      <c r="AA377" t="n">
        <v>0.0</v>
      </c>
      <c r="AB377" t="n">
        <v>0.0</v>
      </c>
      <c r="AC377" t="n">
        <v>0.0</v>
      </c>
      <c r="AD377" t="n">
        <v>44.0</v>
      </c>
      <c r="AE377" t="n">
        <v>1.0</v>
      </c>
      <c r="AF377" t="n">
        <v>0.0</v>
      </c>
      <c r="AG377" t="n">
        <v>0.0</v>
      </c>
      <c r="AH377" t="n">
        <v>1.0</v>
      </c>
      <c r="AI377" t="n">
        <v>0.0</v>
      </c>
      <c r="AJ377" t="n">
        <v>0.0</v>
      </c>
      <c r="AK377" t="n">
        <v>11.840909090909092</v>
      </c>
      <c r="AL377" t="inlineStr">
        <is>
          <t/>
        </is>
      </c>
    </row>
    <row r="378">
      <c r="A378" t="inlineStr">
        <is>
          <t>山母对不起，还是小包装更有幸福感</t>
        </is>
      </c>
      <c r="B378" t="inlineStr">
        <is>
          <t>69dcd560000000001f0033a9</t>
        </is>
      </c>
      <c r="C378" s="377" t="n">
        <f>HYPERLINK("https://www.xiaohongshu.com/explore/69dcd560000000001f0033a9?xsec_token=TBe8vKhJyviDCWrA3Jp-irCZeftPOw84xEtYxAZdW61pw=&amp;xsec_source=pc_trdark","https://www.xiaohongshu.com/explore/69dcd560000000001f0033a9?xsec_token=TBe8vKhJyviDCWrA3Jp-irCZeftPOw84xEtYxAZdW61pw=&amp;xsec_source=pc_trdark")</f>
        <v>0.0</v>
      </c>
      <c r="D378" t="inlineStr">
        <is>
          <t>婉婉上班吃什么</t>
        </is>
      </c>
      <c r="E378" t="inlineStr">
        <is>
          <t>11434449706</t>
        </is>
      </c>
      <c r="F378" t="inlineStr">
        <is>
          <t>2026-04-13 19:37:04</t>
        </is>
      </c>
      <c r="G378" t="inlineStr">
        <is>
          <t>图文</t>
        </is>
      </c>
      <c r="H378" t="inlineStr">
        <is>
          <t>手剥虾仁 无冰衣无添加 低脂餐一人食 上班带饭 顺丰包邮 5盒装</t>
        </is>
      </c>
      <c r="I378" t="inlineStr">
        <is>
          <t>694baba01d450d00013662f0</t>
        </is>
      </c>
      <c r="J378" t="inlineStr">
        <is>
          <t/>
        </is>
      </c>
      <c r="K378" t="n">
        <v>0.0</v>
      </c>
      <c r="L378" t="n">
        <v>0.0</v>
      </c>
      <c r="M378" t="n">
        <v>5.0</v>
      </c>
      <c r="N378" t="inlineStr">
        <is>
          <t>0.11363636363636363</t>
        </is>
      </c>
      <c r="O378" t="n">
        <v>5.0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inlineStr">
        <is>
          <t/>
        </is>
      </c>
      <c r="X378" t="n">
        <v>0.0</v>
      </c>
      <c r="Y378" t="n">
        <v>1.0</v>
      </c>
      <c r="Z378" t="n">
        <v>0.0</v>
      </c>
      <c r="AA378" t="n">
        <v>0.0</v>
      </c>
      <c r="AB378" t="n">
        <v>0.0</v>
      </c>
      <c r="AC378" t="n">
        <v>0.0</v>
      </c>
      <c r="AD378" t="n">
        <v>44.0</v>
      </c>
      <c r="AE378" t="n">
        <v>2.0</v>
      </c>
      <c r="AF378" t="n">
        <v>0.0</v>
      </c>
      <c r="AG378" t="n">
        <v>0.0</v>
      </c>
      <c r="AH378" t="n">
        <v>3.0</v>
      </c>
      <c r="AI378" t="n">
        <v>0.0</v>
      </c>
      <c r="AJ378" t="n">
        <v>0.0</v>
      </c>
      <c r="AK378" t="n">
        <v>12.5</v>
      </c>
      <c r="AL378" t="inlineStr">
        <is>
          <t/>
        </is>
      </c>
    </row>
    <row r="379">
      <c r="A379" t="inlineStr">
        <is>
          <t>区区69，解决了我一周的轻食餐～</t>
        </is>
      </c>
      <c r="B379" t="inlineStr">
        <is>
          <t>69d132300000000022028994</t>
        </is>
      </c>
      <c r="C379" s="378" t="n">
        <f>HYPERLINK("https://www.xiaohongshu.com/explore/69d132300000000022028994?xsec_token=TBT5TAUGV3LcD_GYbSvfENiwqylXzi_vieCmgj-rZSMBY=&amp;xsec_source=pc_trdark","https://www.xiaohongshu.com/explore/69d132300000000022028994?xsec_token=TBT5TAUGV3LcD_GYbSvfENiwqylXzi_vieCmgj-rZSMBY=&amp;xsec_source=pc_trdark")</f>
        <v>0.0</v>
      </c>
      <c r="D379" t="inlineStr">
        <is>
          <t>婉婉上班吃什么</t>
        </is>
      </c>
      <c r="E379" t="inlineStr">
        <is>
          <t>11434449706</t>
        </is>
      </c>
      <c r="F379" t="inlineStr">
        <is>
          <t>2026-04-04 23:45:52</t>
        </is>
      </c>
      <c r="G379" t="inlineStr">
        <is>
          <t>图文</t>
        </is>
      </c>
      <c r="H379" t="inlineStr">
        <is>
          <t>手剥虾仁 无冰衣无添加 低脂餐一人食 上班带饭 顺丰包邮 5盒装</t>
        </is>
      </c>
      <c r="I379" t="inlineStr">
        <is>
          <t>694baba01d450d00013662f0</t>
        </is>
      </c>
      <c r="J379" t="inlineStr">
        <is>
          <t/>
        </is>
      </c>
      <c r="K379" t="n">
        <v>0.0</v>
      </c>
      <c r="L379" t="n">
        <v>0.0</v>
      </c>
      <c r="M379" t="n">
        <v>10.0</v>
      </c>
      <c r="N379" t="inlineStr">
        <is>
          <t>0.22727272727272727</t>
        </is>
      </c>
      <c r="O379" t="n">
        <v>7.0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inlineStr">
        <is>
          <t/>
        </is>
      </c>
      <c r="X379" t="n">
        <v>0.0</v>
      </c>
      <c r="Y379" t="n">
        <v>1.0</v>
      </c>
      <c r="Z379" t="n">
        <v>2.0</v>
      </c>
      <c r="AA379" t="n">
        <v>0.0</v>
      </c>
      <c r="AB379" t="n">
        <v>0.0</v>
      </c>
      <c r="AC379" t="n">
        <v>0.0</v>
      </c>
      <c r="AD379" t="n">
        <v>44.0</v>
      </c>
      <c r="AE379" t="n">
        <v>1.0</v>
      </c>
      <c r="AF379" t="n">
        <v>0.0</v>
      </c>
      <c r="AG379" t="n">
        <v>0.0</v>
      </c>
      <c r="AH379" t="n">
        <v>1.0</v>
      </c>
      <c r="AI379" t="n">
        <v>0.0</v>
      </c>
      <c r="AJ379" t="n">
        <v>0.0</v>
      </c>
      <c r="AK379" t="n">
        <v>11.386363636363637</v>
      </c>
      <c r="AL379" t="inlineStr">
        <is>
          <t/>
        </is>
      </c>
    </row>
    <row r="380">
      <c r="A380" t="inlineStr">
        <is>
          <t>区区69块，直接承包我一整周减脂餐</t>
        </is>
      </c>
      <c r="B380" t="inlineStr">
        <is>
          <t>69f308bf0000000035039e76</t>
        </is>
      </c>
      <c r="C380" s="379" t="n">
        <f>HYPERLINK("https://www.xiaohongshu.com/explore/69f308bf0000000035039e76?xsec_token=TBx93XfWzGohdywDZFOL5vke0IxjYC4nBjrX4S5eWy1vw=&amp;xsec_source=pc_trdark","https://www.xiaohongshu.com/explore/69f308bf0000000035039e76?xsec_token=TBx93XfWzGohdywDZFOL5vke0IxjYC4nBjrX4S5eWy1vw=&amp;xsec_source=pc_trdark")</f>
        <v>0.0</v>
      </c>
      <c r="D380" t="inlineStr">
        <is>
          <t>鲜水湾甄选</t>
        </is>
      </c>
      <c r="E380" t="inlineStr">
        <is>
          <t>27401929161</t>
        </is>
      </c>
      <c r="F380" t="inlineStr">
        <is>
          <t>2026-04-30 15:46:07</t>
        </is>
      </c>
      <c r="G380" t="inlineStr">
        <is>
          <t>图文</t>
        </is>
      </c>
      <c r="H380" t="inlineStr">
        <is>
          <t>手剥虾仁 无冰衣无添加 低脂餐一人食 上班带饭 顺丰包邮 5盒装</t>
        </is>
      </c>
      <c r="I380" t="inlineStr">
        <is>
          <t>694baba01d450d00013662f0</t>
        </is>
      </c>
      <c r="J380" t="inlineStr">
        <is>
          <t/>
        </is>
      </c>
      <c r="K380" t="n">
        <v>0.0</v>
      </c>
      <c r="L380" t="n">
        <v>0.0</v>
      </c>
      <c r="M380" t="n">
        <v>5.0</v>
      </c>
      <c r="N380" t="inlineStr">
        <is>
          <t>0.11627906976744186</t>
        </is>
      </c>
      <c r="O380" t="n">
        <v>5.0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inlineStr">
        <is>
          <t/>
        </is>
      </c>
      <c r="X380" t="n">
        <v>0.0</v>
      </c>
      <c r="Y380" t="n">
        <v>2.0</v>
      </c>
      <c r="Z380" t="n">
        <v>1.0</v>
      </c>
      <c r="AA380" t="n">
        <v>0.0</v>
      </c>
      <c r="AB380" t="n">
        <v>0.0</v>
      </c>
      <c r="AC380" t="n">
        <v>0.0</v>
      </c>
      <c r="AD380" t="n">
        <v>43.0</v>
      </c>
      <c r="AE380" t="n">
        <v>2.0</v>
      </c>
      <c r="AF380" t="n">
        <v>0.0</v>
      </c>
      <c r="AG380" t="n">
        <v>0.0</v>
      </c>
      <c r="AH380" t="n">
        <v>1.0</v>
      </c>
      <c r="AI380" t="n">
        <v>0.0</v>
      </c>
      <c r="AJ380" t="n">
        <v>0.0</v>
      </c>
      <c r="AK380" t="n">
        <v>12.209302325581396</v>
      </c>
      <c r="AL380" t="inlineStr">
        <is>
          <t/>
        </is>
      </c>
    </row>
    <row r="381">
      <c r="A381" t="inlineStr">
        <is>
          <t>同事对于我每天吃一盒虾仁，表示很奢侈</t>
        </is>
      </c>
      <c r="B381" t="inlineStr">
        <is>
          <t>69ef61be00000000230047d2</t>
        </is>
      </c>
      <c r="C381" s="380" t="n">
        <f>HYPERLINK("https://www.xiaohongshu.com/explore/69ef61be00000000230047d2?xsec_token=TB8YlxxIf2o_Xr_LAif13-vKsHgDdnpoAhq23hDuqGNCA=&amp;xsec_source=pc_trdark","https://www.xiaohongshu.com/explore/69ef61be00000000230047d2?xsec_token=TB8YlxxIf2o_Xr_LAif13-vKsHgDdnpoAhq23hDuqGNCA=&amp;xsec_source=pc_trdark")</f>
        <v>0.0</v>
      </c>
      <c r="D381" t="inlineStr">
        <is>
          <t>菲菲上班吃什么</t>
        </is>
      </c>
      <c r="E381" t="inlineStr">
        <is>
          <t>49936530607</t>
        </is>
      </c>
      <c r="F381" t="inlineStr">
        <is>
          <t>2026-04-27 21:16:46</t>
        </is>
      </c>
      <c r="G381" t="inlineStr">
        <is>
          <t>图文</t>
        </is>
      </c>
      <c r="H381" t="inlineStr">
        <is>
          <t>手剥虾仁 无冰衣无添加 低脂餐一人食 上班带饭 顺丰包邮 5盒装</t>
        </is>
      </c>
      <c r="I381" t="inlineStr">
        <is>
          <t>694baba01d450d00013662f0</t>
        </is>
      </c>
      <c r="J381" t="inlineStr">
        <is>
          <t/>
        </is>
      </c>
      <c r="K381" t="n">
        <v>0.0</v>
      </c>
      <c r="L381" t="n">
        <v>0.0</v>
      </c>
      <c r="M381" t="n">
        <v>5.0</v>
      </c>
      <c r="N381" t="inlineStr">
        <is>
          <t>0.11904761904761904</t>
        </is>
      </c>
      <c r="O381" t="n">
        <v>5.0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inlineStr">
        <is>
          <t/>
        </is>
      </c>
      <c r="X381" t="n">
        <v>0.0</v>
      </c>
      <c r="Y381" t="n">
        <v>0.0</v>
      </c>
      <c r="Z381" t="n">
        <v>1.0</v>
      </c>
      <c r="AA381" t="n">
        <v>0.0</v>
      </c>
      <c r="AB381" t="n">
        <v>0.0</v>
      </c>
      <c r="AC381" t="n">
        <v>0.0</v>
      </c>
      <c r="AD381" t="n">
        <v>42.0</v>
      </c>
      <c r="AE381" t="n">
        <v>2.0</v>
      </c>
      <c r="AF381" t="n">
        <v>0.0</v>
      </c>
      <c r="AG381" t="n">
        <v>0.0</v>
      </c>
      <c r="AH381" t="n">
        <v>1.0</v>
      </c>
      <c r="AI381" t="n">
        <v>0.0</v>
      </c>
      <c r="AJ381" t="n">
        <v>0.0</v>
      </c>
      <c r="AK381" t="n">
        <v>9.857142857142858</v>
      </c>
      <c r="AL381" t="inlineStr">
        <is>
          <t/>
        </is>
      </c>
    </row>
    <row r="382">
      <c r="A382" t="inlineStr">
        <is>
          <t>感谢小红书！我妈破天荒夸了我一次！！！</t>
        </is>
      </c>
      <c r="B382" t="inlineStr">
        <is>
          <t>69ec35c3000000001a02da1b</t>
        </is>
      </c>
      <c r="C382" s="381" t="n">
        <f>HYPERLINK("https://www.xiaohongshu.com/explore/69ec35c3000000001a02da1b?xsec_token=TBnoSF_--XRDuLtfF77lVqP1u36JGSG1AKD0KnV5RJF7c=&amp;xsec_source=pc_trdark","https://www.xiaohongshu.com/explore/69ec35c3000000001a02da1b?xsec_token=TBnoSF_--XRDuLtfF77lVqP1u36JGSG1AKD0KnV5RJF7c=&amp;xsec_source=pc_trdark")</f>
        <v>0.0</v>
      </c>
      <c r="D382" t="inlineStr">
        <is>
          <t>菲菲上班吃什么</t>
        </is>
      </c>
      <c r="E382" t="inlineStr">
        <is>
          <t>49936530607</t>
        </is>
      </c>
      <c r="F382" t="inlineStr">
        <is>
          <t>2026-04-25 11:32:19</t>
        </is>
      </c>
      <c r="G382" t="inlineStr">
        <is>
          <t>图文</t>
        </is>
      </c>
      <c r="H382" t="inlineStr">
        <is>
          <t>手剥虾仁 无冰衣无添加 低脂餐一人食 上班带饭 顺丰包邮 5盒装</t>
        </is>
      </c>
      <c r="I382" t="inlineStr">
        <is>
          <t>694baba01d450d00013662f0</t>
        </is>
      </c>
      <c r="J382" t="inlineStr">
        <is>
          <t/>
        </is>
      </c>
      <c r="K382" t="n">
        <v>0.0</v>
      </c>
      <c r="L382" t="n">
        <v>0.0</v>
      </c>
      <c r="M382" t="n">
        <v>1.0</v>
      </c>
      <c r="N382" t="inlineStr">
        <is>
          <t>0.023809523809523808</t>
        </is>
      </c>
      <c r="O382" t="n">
        <v>1.0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inlineStr">
        <is>
          <t/>
        </is>
      </c>
      <c r="X382" t="n">
        <v>0.0</v>
      </c>
      <c r="Y382" t="n">
        <v>0.0</v>
      </c>
      <c r="Z382" t="n">
        <v>2.0</v>
      </c>
      <c r="AA382" t="n">
        <v>0.0</v>
      </c>
      <c r="AB382" t="n">
        <v>0.0</v>
      </c>
      <c r="AC382" t="n">
        <v>0.0</v>
      </c>
      <c r="AD382" t="n">
        <v>42.0</v>
      </c>
      <c r="AE382" t="n">
        <v>0.0</v>
      </c>
      <c r="AF382" t="n">
        <v>0.0</v>
      </c>
      <c r="AG382" t="n">
        <v>0.0</v>
      </c>
      <c r="AH382" t="n">
        <v>1.0</v>
      </c>
      <c r="AI382" t="n">
        <v>0.0</v>
      </c>
      <c r="AJ382" t="n">
        <v>0.0</v>
      </c>
      <c r="AK382" t="n">
        <v>8.952380952380953</v>
      </c>
      <c r="AL382" t="inlineStr">
        <is>
          <t/>
        </is>
      </c>
    </row>
    <row r="383">
      <c r="A383" t="inlineStr">
        <is>
          <t>我愿称它为懒人减脂期虾仁的天花板！</t>
        </is>
      </c>
      <c r="B383" t="inlineStr">
        <is>
          <t>69e883f20000000021006477</t>
        </is>
      </c>
      <c r="C383" s="382" t="n">
        <f>HYPERLINK("https://www.xiaohongshu.com/explore/69e883f20000000021006477?xsec_token=TBrsJGfbmdICsvnXoyd4QdRgZvY3_FxFY76tx7333Oe3I=&amp;xsec_source=pc_trdark","https://www.xiaohongshu.com/explore/69e883f20000000021006477?xsec_token=TBrsJGfbmdICsvnXoyd4QdRgZvY3_FxFY76tx7333Oe3I=&amp;xsec_source=pc_trdark")</f>
        <v>0.0</v>
      </c>
      <c r="D383" t="inlineStr">
        <is>
          <t>鲜水湾甄选</t>
        </is>
      </c>
      <c r="E383" t="inlineStr">
        <is>
          <t>27401929161</t>
        </is>
      </c>
      <c r="F383" t="inlineStr">
        <is>
          <t>2026-04-23 11:30:00</t>
        </is>
      </c>
      <c r="G383" t="inlineStr">
        <is>
          <t>图文</t>
        </is>
      </c>
      <c r="H383" t="inlineStr">
        <is>
          <t>手剥虾仁 无冰衣无添加 低脂餐一人食 上班带饭 顺丰包邮 5盒装</t>
        </is>
      </c>
      <c r="I383" t="inlineStr">
        <is>
          <t>694baba01d450d00013662f0</t>
        </is>
      </c>
      <c r="J383" t="inlineStr">
        <is>
          <t/>
        </is>
      </c>
      <c r="K383" t="n">
        <v>0.0</v>
      </c>
      <c r="L383" t="n">
        <v>0.0</v>
      </c>
      <c r="M383" t="n">
        <v>3.0</v>
      </c>
      <c r="N383" t="inlineStr">
        <is>
          <t>0.07142857142857142</t>
        </is>
      </c>
      <c r="O383" t="n">
        <v>3.0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inlineStr">
        <is>
          <t/>
        </is>
      </c>
      <c r="X383" t="n">
        <v>0.0</v>
      </c>
      <c r="Y383" t="n">
        <v>0.0</v>
      </c>
      <c r="Z383" t="n">
        <v>1.0</v>
      </c>
      <c r="AA383" t="n">
        <v>0.0</v>
      </c>
      <c r="AB383" t="n">
        <v>0.0</v>
      </c>
      <c r="AC383" t="n">
        <v>0.0</v>
      </c>
      <c r="AD383" t="n">
        <v>42.0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7.976190476190476</v>
      </c>
      <c r="AL383" t="inlineStr">
        <is>
          <t/>
        </is>
      </c>
    </row>
    <row r="384">
      <c r="A384" t="inlineStr">
        <is>
          <t>爸妈对于我每天吃虾仁，表示很奢侈🥲…</t>
        </is>
      </c>
      <c r="B384" t="inlineStr">
        <is>
          <t>69ce2ab9000000001f006ddf</t>
        </is>
      </c>
      <c r="C384" s="383" t="n">
        <f>HYPERLINK("https://www.xiaohongshu.com/explore/69ce2ab9000000001f006ddf?xsec_token=TBclHZuM5_fs2QanfU7vVSEmIq21F0N6CyCxKRm67UZXs=&amp;xsec_source=pc_trdark","https://www.xiaohongshu.com/explore/69ce2ab9000000001f006ddf?xsec_token=TBclHZuM5_fs2QanfU7vVSEmIq21F0N6CyCxKRm67UZXs=&amp;xsec_source=pc_trdark")</f>
        <v>0.0</v>
      </c>
      <c r="D384" t="inlineStr">
        <is>
          <t>菲菲上班吃什么</t>
        </is>
      </c>
      <c r="E384" t="inlineStr">
        <is>
          <t>49936530607</t>
        </is>
      </c>
      <c r="F384" t="inlineStr">
        <is>
          <t>2026-04-02 16:37:13</t>
        </is>
      </c>
      <c r="G384" t="inlineStr">
        <is>
          <t>图文</t>
        </is>
      </c>
      <c r="H384" t="inlineStr">
        <is>
          <t>手剥虾仁 无冰衣无添加 低脂餐一人食 上班带饭 顺丰包邮 5盒装</t>
        </is>
      </c>
      <c r="I384" t="inlineStr">
        <is>
          <t>694baba01d450d00013662f0</t>
        </is>
      </c>
      <c r="J384" t="inlineStr">
        <is>
          <t/>
        </is>
      </c>
      <c r="K384" t="n">
        <v>0.0</v>
      </c>
      <c r="L384" t="n">
        <v>0.0</v>
      </c>
      <c r="M384" t="n">
        <v>6.0</v>
      </c>
      <c r="N384" t="inlineStr">
        <is>
          <t>0.14285714285714285</t>
        </is>
      </c>
      <c r="O384" t="n">
        <v>6.0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inlineStr">
        <is>
          <t/>
        </is>
      </c>
      <c r="X384" t="n">
        <v>0.0</v>
      </c>
      <c r="Y384" t="n">
        <v>1.0</v>
      </c>
      <c r="Z384" t="n">
        <v>3.0</v>
      </c>
      <c r="AA384" t="n">
        <v>0.0</v>
      </c>
      <c r="AB384" t="n">
        <v>0.0</v>
      </c>
      <c r="AC384" t="n">
        <v>0.0</v>
      </c>
      <c r="AD384" t="n">
        <v>42.0</v>
      </c>
      <c r="AE384" t="n">
        <v>2.0</v>
      </c>
      <c r="AF384" t="n">
        <v>0.0</v>
      </c>
      <c r="AG384" t="n">
        <v>0.0</v>
      </c>
      <c r="AH384" t="n">
        <v>1.0</v>
      </c>
      <c r="AI384" t="n">
        <v>0.0</v>
      </c>
      <c r="AJ384" t="n">
        <v>0.0</v>
      </c>
      <c r="AK384" t="n">
        <v>11.833333333333334</v>
      </c>
      <c r="AL384" t="inlineStr">
        <is>
          <t/>
        </is>
      </c>
    </row>
    <row r="385">
      <c r="A385" t="inlineStr">
        <is>
          <t>我妈说这个虾仁绝了！让我一定发出来！！</t>
        </is>
      </c>
      <c r="B385" t="inlineStr">
        <is>
          <t>69cc7dc8000000001a03591f</t>
        </is>
      </c>
      <c r="C385" s="384" t="n">
        <f>HYPERLINK("https://www.xiaohongshu.com/explore/69cc7dc8000000001a03591f?xsec_token=TBmwaR-CbxUmnLfgemf1f-gjtOYSW8cioll05tCOm3YSE=&amp;xsec_source=pc_trdark","https://www.xiaohongshu.com/explore/69cc7dc8000000001a03591f?xsec_token=TBmwaR-CbxUmnLfgemf1f-gjtOYSW8cioll05tCOm3YSE=&amp;xsec_source=pc_trdark")</f>
        <v>0.0</v>
      </c>
      <c r="D385" t="inlineStr">
        <is>
          <t>菲菲上班吃什么</t>
        </is>
      </c>
      <c r="E385" t="inlineStr">
        <is>
          <t>49936530607</t>
        </is>
      </c>
      <c r="F385" t="inlineStr">
        <is>
          <t>2026-04-01 10:07:04</t>
        </is>
      </c>
      <c r="G385" t="inlineStr">
        <is>
          <t>图文</t>
        </is>
      </c>
      <c r="H385" t="inlineStr">
        <is>
          <t>手剥虾仁 无冰衣无添加 低脂餐一人食 上班带饭 顺丰包邮 5盒装</t>
        </is>
      </c>
      <c r="I385" t="inlineStr">
        <is>
          <t>694baba01d450d00013662f0</t>
        </is>
      </c>
      <c r="J385" t="inlineStr">
        <is>
          <t/>
        </is>
      </c>
      <c r="K385" t="n">
        <v>0.0</v>
      </c>
      <c r="L385" t="n">
        <v>0.0</v>
      </c>
      <c r="M385" t="n">
        <v>8.0</v>
      </c>
      <c r="N385" t="inlineStr">
        <is>
          <t>0.19047619047619047</t>
        </is>
      </c>
      <c r="O385" t="n">
        <v>6.0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inlineStr">
        <is>
          <t/>
        </is>
      </c>
      <c r="X385" t="n">
        <v>0.0</v>
      </c>
      <c r="Y385" t="n">
        <v>1.0</v>
      </c>
      <c r="Z385" t="n">
        <v>0.0</v>
      </c>
      <c r="AA385" t="n">
        <v>0.0</v>
      </c>
      <c r="AB385" t="n">
        <v>0.0</v>
      </c>
      <c r="AC385" t="n">
        <v>0.0</v>
      </c>
      <c r="AD385" t="n">
        <v>42.0</v>
      </c>
      <c r="AE385" t="n">
        <v>1.0</v>
      </c>
      <c r="AF385" t="n">
        <v>0.0</v>
      </c>
      <c r="AG385" t="n">
        <v>0.0</v>
      </c>
      <c r="AH385" t="n">
        <v>1.0</v>
      </c>
      <c r="AI385" t="n">
        <v>0.0</v>
      </c>
      <c r="AJ385" t="n">
        <v>0.0</v>
      </c>
      <c r="AK385" t="n">
        <v>16.404761904761905</v>
      </c>
      <c r="AL385" t="inlineStr">
        <is>
          <t/>
        </is>
      </c>
    </row>
    <row r="386">
      <c r="A386" t="inlineStr">
        <is>
          <t>月掉10斤的秘诀～原来都在这个三文鱼身上</t>
        </is>
      </c>
      <c r="B386" t="inlineStr">
        <is>
          <t>693935cf000000001e02bdfb</t>
        </is>
      </c>
      <c r="C386" s="385" t="n">
        <f>HYPERLINK("https://www.xiaohongshu.com/explore/693935cf000000001e02bdfb?xsec_token=TBaopk6NP1Kn3Gui1O5R_ovsTnM_jal7Uk8AmCVptIfvw=&amp;xsec_source=pc_trdark","https://www.xiaohongshu.com/explore/693935cf000000001e02bdfb?xsec_token=TBaopk6NP1Kn3Gui1O5R_ovsTnM_jal7Uk8AmCVptIfvw=&amp;xsec_source=pc_trdark")</f>
        <v>0.0</v>
      </c>
      <c r="D386" t="inlineStr">
        <is>
          <t>鲜水湾</t>
        </is>
      </c>
      <c r="E386" t="inlineStr">
        <is>
          <t>49316638994</t>
        </is>
      </c>
      <c r="F386" t="inlineStr">
        <is>
          <t>2025-12-10 16:56:47</t>
        </is>
      </c>
      <c r="G386" t="inlineStr">
        <is>
          <t>图文</t>
        </is>
      </c>
      <c r="H386" t="inlineStr">
        <is>
          <t>智利三文鱼切块·整条三文鱼·深海鱼一人食健康饮食</t>
        </is>
      </c>
      <c r="I386" t="inlineStr">
        <is>
          <t>691ac562a524ee0001b51d7b</t>
        </is>
      </c>
      <c r="J386" t="inlineStr">
        <is>
          <t/>
        </is>
      </c>
      <c r="K386" t="n">
        <v>0.0</v>
      </c>
      <c r="L386" t="n">
        <v>0.0</v>
      </c>
      <c r="M386" t="n">
        <v>4.0</v>
      </c>
      <c r="N386" t="inlineStr">
        <is>
          <t>0.09523809523809523</t>
        </is>
      </c>
      <c r="O386" t="n">
        <v>4.0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inlineStr">
        <is>
          <t/>
        </is>
      </c>
      <c r="X386" t="n">
        <v>0.0</v>
      </c>
      <c r="Y386" t="n">
        <v>1.0</v>
      </c>
      <c r="Z386" t="n">
        <v>1.0</v>
      </c>
      <c r="AA386" t="n">
        <v>0.0</v>
      </c>
      <c r="AB386" t="n">
        <v>0.0</v>
      </c>
      <c r="AC386" t="n">
        <v>0.0</v>
      </c>
      <c r="AD386" t="n">
        <v>42.0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10.428571428571429</v>
      </c>
      <c r="AL386" t="inlineStr">
        <is>
          <t/>
        </is>
      </c>
    </row>
    <row r="387">
      <c r="A387" t="inlineStr">
        <is>
          <t>决定用100来块来尊重一下这个夏天</t>
        </is>
      </c>
      <c r="B387" t="inlineStr">
        <is>
          <t>69f1c5670000000035038a36</t>
        </is>
      </c>
      <c r="C387" s="386" t="n">
        <f>HYPERLINK("https://www.xiaohongshu.com/explore/69f1c5670000000035038a36?xsec_token=TBLt8Y96Ok9n09b_UIgIegbgrvDNJIMdPAaiQIMCzk9Zs=&amp;xsec_source=pc_trdark","https://www.xiaohongshu.com/explore/69f1c5670000000035038a36?xsec_token=TBLt8Y96Ok9n09b_UIgIegbgrvDNJIMdPAaiQIMCzk9Zs=&amp;xsec_source=pc_trdark")</f>
        <v>0.0</v>
      </c>
      <c r="D387" t="inlineStr">
        <is>
          <t>鲜水湾甄选</t>
        </is>
      </c>
      <c r="E387" t="inlineStr">
        <is>
          <t>27401929161</t>
        </is>
      </c>
      <c r="F387" t="inlineStr">
        <is>
          <t>2026-04-29 16:46:31</t>
        </is>
      </c>
      <c r="G387" t="inlineStr">
        <is>
          <t>图文</t>
        </is>
      </c>
      <c r="H387" t="inlineStr">
        <is>
          <t>手剥虾仁 无冰衣无添加 低脂餐一人食 上班带饭 顺丰包邮 5盒装</t>
        </is>
      </c>
      <c r="I387" t="inlineStr">
        <is>
          <t>694baba01d450d00013662f0</t>
        </is>
      </c>
      <c r="J387" t="inlineStr">
        <is>
          <t/>
        </is>
      </c>
      <c r="K387" t="n">
        <v>128.0</v>
      </c>
      <c r="L387" t="n">
        <v>1.0</v>
      </c>
      <c r="M387" t="n">
        <v>6.0</v>
      </c>
      <c r="N387" t="inlineStr">
        <is>
          <t>0.14634146341463414</t>
        </is>
      </c>
      <c r="O387" t="n">
        <v>6.0</v>
      </c>
      <c r="P387" t="n">
        <v>1.0</v>
      </c>
      <c r="Q387" t="inlineStr">
        <is>
          <t>0.16666666666666666</t>
        </is>
      </c>
      <c r="R387" t="inlineStr">
        <is>
          <t>0.16666666666666666</t>
        </is>
      </c>
      <c r="S387" t="n">
        <v>0.0</v>
      </c>
      <c r="T387" t="n">
        <v>0.0</v>
      </c>
      <c r="U387" t="n">
        <v>0.0</v>
      </c>
      <c r="V387" t="n">
        <v>108.0</v>
      </c>
      <c r="W387" t="n">
        <v>0.84375</v>
      </c>
      <c r="X387" t="n">
        <v>1.0</v>
      </c>
      <c r="Y387" t="n">
        <v>2.0</v>
      </c>
      <c r="Z387" t="n">
        <v>3.0</v>
      </c>
      <c r="AA387" t="n">
        <v>0.0</v>
      </c>
      <c r="AB387" t="n">
        <v>0.0</v>
      </c>
      <c r="AC387" t="n">
        <v>0.0</v>
      </c>
      <c r="AD387" t="n">
        <v>41.0</v>
      </c>
      <c r="AE387" t="n">
        <v>1.0</v>
      </c>
      <c r="AF387" t="n">
        <v>1.0</v>
      </c>
      <c r="AG387" t="n">
        <v>0.0</v>
      </c>
      <c r="AH387" t="n">
        <v>1.0</v>
      </c>
      <c r="AI387" t="n">
        <v>0.0</v>
      </c>
      <c r="AJ387" t="n">
        <v>0.0</v>
      </c>
      <c r="AK387" t="n">
        <v>12.317073170731707</v>
      </c>
      <c r="AL387" t="inlineStr">
        <is>
          <t/>
        </is>
      </c>
    </row>
    <row r="388">
      <c r="A388" t="inlineStr">
        <is>
          <t>SOS！连续一周带虾仁便当被同事追着问工资</t>
        </is>
      </c>
      <c r="B388" t="inlineStr">
        <is>
          <t>69e73130000000001d01fc0a</t>
        </is>
      </c>
      <c r="C388" s="387" t="n">
        <f>HYPERLINK("https://www.xiaohongshu.com/explore/69e73130000000001d01fc0a?xsec_token=TBxJD1S06w8M0Ib6UdHEwWiN9eVQdQCz8p2pPCHiR9DUc=&amp;xsec_source=pc_trdark","https://www.xiaohongshu.com/explore/69e73130000000001d01fc0a?xsec_token=TBxJD1S06w8M0Ib6UdHEwWiN9eVQdQCz8p2pPCHiR9DUc=&amp;xsec_source=pc_trdark")</f>
        <v>0.0</v>
      </c>
      <c r="D388" t="inlineStr">
        <is>
          <t>鲜水湾甄选</t>
        </is>
      </c>
      <c r="E388" t="inlineStr">
        <is>
          <t>27401929161</t>
        </is>
      </c>
      <c r="F388" t="inlineStr">
        <is>
          <t>2026-04-22 13:30:00</t>
        </is>
      </c>
      <c r="G388" t="inlineStr">
        <is>
          <t>图文</t>
        </is>
      </c>
      <c r="H388" t="inlineStr">
        <is>
          <t>手剥虾仁 无冰衣无添加 低脂餐一人食 上班带饭 顺丰包邮 5盒装</t>
        </is>
      </c>
      <c r="I388" t="inlineStr">
        <is>
          <t>694baba01d450d00013662f0</t>
        </is>
      </c>
      <c r="J388" t="inlineStr">
        <is>
          <t/>
        </is>
      </c>
      <c r="K388" t="n">
        <v>69.0</v>
      </c>
      <c r="L388" t="n">
        <v>1.0</v>
      </c>
      <c r="M388" t="n">
        <v>8.0</v>
      </c>
      <c r="N388" t="n">
        <v>0.1951219512195122</v>
      </c>
      <c r="O388" t="n">
        <v>7.0</v>
      </c>
      <c r="P388" t="n">
        <v>1.0</v>
      </c>
      <c r="Q388" t="n">
        <v>0.125</v>
      </c>
      <c r="R388" t="inlineStr">
        <is>
          <t>0.14285714285714285</t>
        </is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1.0</v>
      </c>
      <c r="Z388" t="n">
        <v>1.0</v>
      </c>
      <c r="AA388" t="n">
        <v>0.0</v>
      </c>
      <c r="AB388" t="n">
        <v>0.0</v>
      </c>
      <c r="AC388" t="n">
        <v>0.0</v>
      </c>
      <c r="AD388" t="n">
        <v>41.0</v>
      </c>
      <c r="AE388" t="n">
        <v>0.0</v>
      </c>
      <c r="AF388" t="n">
        <v>1.0</v>
      </c>
      <c r="AG388" t="n">
        <v>0.0</v>
      </c>
      <c r="AH388" t="n">
        <v>1.0</v>
      </c>
      <c r="AI388" t="n">
        <v>0.0</v>
      </c>
      <c r="AJ388" t="n">
        <v>0.0</v>
      </c>
      <c r="AK388" t="n">
        <v>11.21951219512195</v>
      </c>
      <c r="AL388" t="inlineStr">
        <is>
          <t/>
        </is>
      </c>
    </row>
    <row r="389">
      <c r="A389" t="inlineStr">
        <is>
          <t>5分钟搞定!香煎三文鱼0失败教程</t>
        </is>
      </c>
      <c r="B389" t="inlineStr">
        <is>
          <t>69830046000000002802359e</t>
        </is>
      </c>
      <c r="C389" s="388" t="n">
        <f>HYPERLINK("https://www.xiaohongshu.com/explore/69830046000000002802359e?xsec_token=TBHM0ni7GCKw8SLk8lnMVR2vzoswijjoZ_8GfLU4VJNGY=&amp;xsec_source=pc_trdark","https://www.xiaohongshu.com/explore/69830046000000002802359e?xsec_token=TBHM0ni7GCKw8SLk8lnMVR2vzoswijjoZ_8GfLU4VJNGY=&amp;xsec_source=pc_trdark")</f>
        <v>0.0</v>
      </c>
      <c r="D389" t="inlineStr">
        <is>
          <t>鲜水湾</t>
        </is>
      </c>
      <c r="E389" t="inlineStr">
        <is>
          <t>49316638994</t>
        </is>
      </c>
      <c r="F389" t="inlineStr">
        <is>
          <t>2026-02-04 16:16:06</t>
        </is>
      </c>
      <c r="G389" t="inlineStr">
        <is>
          <t>图文</t>
        </is>
      </c>
      <c r="H389" t="inlineStr">
        <is>
          <t>智利三文鱼切块·整条三文鱼·深海鱼一人食健康饮食</t>
        </is>
      </c>
      <c r="I389" t="inlineStr">
        <is>
          <t>691ac562a524ee0001b51d7b</t>
        </is>
      </c>
      <c r="J389" t="inlineStr">
        <is>
          <t/>
        </is>
      </c>
      <c r="K389" t="n">
        <v>0.0</v>
      </c>
      <c r="L389" t="n">
        <v>0.0</v>
      </c>
      <c r="M389" t="n">
        <v>2.0</v>
      </c>
      <c r="N389" t="inlineStr">
        <is>
          <t>0.04878048780487805</t>
        </is>
      </c>
      <c r="O389" t="n">
        <v>1.0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inlineStr">
        <is>
          <t/>
        </is>
      </c>
      <c r="X389" t="n">
        <v>0.0</v>
      </c>
      <c r="Y389" t="n">
        <v>0.0</v>
      </c>
      <c r="Z389" t="n">
        <v>1.0</v>
      </c>
      <c r="AA389" t="n">
        <v>0.0</v>
      </c>
      <c r="AB389" t="n">
        <v>0.0</v>
      </c>
      <c r="AC389" t="n">
        <v>0.0</v>
      </c>
      <c r="AD389" t="n">
        <v>41.0</v>
      </c>
      <c r="AE389" t="n">
        <v>1.0</v>
      </c>
      <c r="AF389" t="n">
        <v>1.0</v>
      </c>
      <c r="AG389" t="n">
        <v>0.0</v>
      </c>
      <c r="AH389" t="n">
        <v>1.0</v>
      </c>
      <c r="AI389" t="n">
        <v>0.0</v>
      </c>
      <c r="AJ389" t="n">
        <v>0.0</v>
      </c>
      <c r="AK389" t="n">
        <v>24.853658536585368</v>
      </c>
      <c r="AL389" t="inlineStr">
        <is>
          <t/>
        </is>
      </c>
    </row>
    <row r="390">
      <c r="A390" t="inlineStr">
        <is>
          <t>我发现上班带饭减肥真的很省钱</t>
        </is>
      </c>
      <c r="B390" t="inlineStr">
        <is>
          <t>69d5b763000000001f00381f</t>
        </is>
      </c>
      <c r="C390" s="389" t="n">
        <f>HYPERLINK("https://www.xiaohongshu.com/explore/69d5b763000000001f00381f?xsec_token=TB8iwnyw3eAUAW6IHOsxIm-pwsTzfAoSTrnyFq3h2FEqA=&amp;xsec_source=pc_trdark","https://www.xiaohongshu.com/explore/69d5b763000000001f00381f?xsec_token=TB8iwnyw3eAUAW6IHOsxIm-pwsTzfAoSTrnyFq3h2FEqA=&amp;xsec_source=pc_trdark")</f>
        <v>0.0</v>
      </c>
      <c r="D390" t="inlineStr">
        <is>
          <t>婉婉上班吃什么</t>
        </is>
      </c>
      <c r="E390" t="inlineStr">
        <is>
          <t>11434449706</t>
        </is>
      </c>
      <c r="F390" t="inlineStr">
        <is>
          <t>2026-04-08 10:03:15</t>
        </is>
      </c>
      <c r="G390" t="inlineStr">
        <is>
          <t>图文</t>
        </is>
      </c>
      <c r="H390" t="inlineStr">
        <is>
          <t>手剥虾仁 无冰衣无添加 低脂餐一人食 上班带饭 顺丰包邮 5盒装</t>
        </is>
      </c>
      <c r="I390" t="inlineStr">
        <is>
          <t>694baba01d450d00013662f0</t>
        </is>
      </c>
      <c r="J390" t="inlineStr">
        <is>
          <t/>
        </is>
      </c>
      <c r="K390" t="n">
        <v>0.0</v>
      </c>
      <c r="L390" t="n">
        <v>0.0</v>
      </c>
      <c r="M390" t="n">
        <v>8.0</v>
      </c>
      <c r="N390" t="inlineStr">
        <is>
          <t>0.20512820512820512</t>
        </is>
      </c>
      <c r="O390" t="n">
        <v>7.0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inlineStr">
        <is>
          <t/>
        </is>
      </c>
      <c r="X390" t="n">
        <v>0.0</v>
      </c>
      <c r="Y390" t="n">
        <v>3.0</v>
      </c>
      <c r="Z390" t="n">
        <v>0.0</v>
      </c>
      <c r="AA390" t="n">
        <v>0.0</v>
      </c>
      <c r="AB390" t="n">
        <v>0.0</v>
      </c>
      <c r="AC390" t="n">
        <v>0.0</v>
      </c>
      <c r="AD390" t="n">
        <v>39.0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10.717948717948717</v>
      </c>
      <c r="AL390" t="inlineStr">
        <is>
          <t/>
        </is>
      </c>
    </row>
    <row r="391">
      <c r="A391" t="inlineStr">
        <is>
          <t>⛰️姆对不起！我移情别恋大虾仁了</t>
        </is>
      </c>
      <c r="B391" t="inlineStr">
        <is>
          <t>69f316190000000036000647</t>
        </is>
      </c>
      <c r="C391" s="390" t="n">
        <f>HYPERLINK("https://www.xiaohongshu.com/explore/69f316190000000036000647?xsec_token=TBx93XfWzGohdywDZFOL5vkd1048ALwYbtSMliXTIWssk=&amp;xsec_source=pc_trdark","https://www.xiaohongshu.com/explore/69f316190000000036000647?xsec_token=TBx93XfWzGohdywDZFOL5vkd1048ALwYbtSMliXTIWssk=&amp;xsec_source=pc_trdark")</f>
        <v>0.0</v>
      </c>
      <c r="D391" t="inlineStr">
        <is>
          <t>鲜水湾甄选</t>
        </is>
      </c>
      <c r="E391" t="inlineStr">
        <is>
          <t>27401929161</t>
        </is>
      </c>
      <c r="F391" t="inlineStr">
        <is>
          <t>2026-04-30 16:43:05</t>
        </is>
      </c>
      <c r="G391" t="inlineStr">
        <is>
          <t>图文</t>
        </is>
      </c>
      <c r="H391" t="inlineStr">
        <is>
          <t>手剥虾仁 无冰衣无添加 低脂餐一人食 上班带饭 顺丰包邮 5盒装</t>
        </is>
      </c>
      <c r="I391" t="inlineStr">
        <is>
          <t>694baba01d450d00013662f0</t>
        </is>
      </c>
      <c r="J391" t="inlineStr">
        <is>
          <t/>
        </is>
      </c>
      <c r="K391" t="n">
        <v>69.0</v>
      </c>
      <c r="L391" t="n">
        <v>1.0</v>
      </c>
      <c r="M391" t="n">
        <v>7.0</v>
      </c>
      <c r="N391" t="inlineStr">
        <is>
          <t>0.18421052631578946</t>
        </is>
      </c>
      <c r="O391" t="n">
        <v>7.0</v>
      </c>
      <c r="P391" t="n">
        <v>1.0</v>
      </c>
      <c r="Q391" t="inlineStr">
        <is>
          <t>0.14285714285714285</t>
        </is>
      </c>
      <c r="R391" t="inlineStr">
        <is>
          <t>0.14285714285714285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3.0</v>
      </c>
      <c r="Z391" t="n">
        <v>0.0</v>
      </c>
      <c r="AA391" t="n">
        <v>0.0</v>
      </c>
      <c r="AB391" t="n">
        <v>0.0</v>
      </c>
      <c r="AC391" t="n">
        <v>0.0</v>
      </c>
      <c r="AD391" t="n">
        <v>38.0</v>
      </c>
      <c r="AE391" t="n">
        <v>1.0</v>
      </c>
      <c r="AF391" t="n">
        <v>0.0</v>
      </c>
      <c r="AG391" t="n">
        <v>0.0</v>
      </c>
      <c r="AH391" t="n">
        <v>1.0</v>
      </c>
      <c r="AI391" t="n">
        <v>0.0</v>
      </c>
      <c r="AJ391" t="n">
        <v>0.0</v>
      </c>
      <c r="AK391" t="n">
        <v>10.263157894736842</v>
      </c>
      <c r="AL391" t="inlineStr">
        <is>
          <t/>
        </is>
      </c>
    </row>
    <row r="392">
      <c r="A392" t="inlineStr">
        <is>
          <t>果然带饭的尽头是极简🍤</t>
        </is>
      </c>
      <c r="B392" t="inlineStr">
        <is>
          <t>69f202fc0000000023007ae1</t>
        </is>
      </c>
      <c r="C392" s="391" t="n">
        <f>HYPERLINK("https://www.xiaohongshu.com/explore/69f202fc0000000023007ae1?xsec_token=TBvWHBo3-qwEN9bVc9g-yUNX0nxxq1NXpoByzGA3psU8U=&amp;xsec_source=pc_trdark","https://www.xiaohongshu.com/explore/69f202fc0000000023007ae1?xsec_token=TBvWHBo3-qwEN9bVc9g-yUNX0nxxq1NXpoByzGA3psU8U=&amp;xsec_source=pc_trdark")</f>
        <v>0.0</v>
      </c>
      <c r="D392" t="inlineStr">
        <is>
          <t>菲菲上班吃什么</t>
        </is>
      </c>
      <c r="E392" t="inlineStr">
        <is>
          <t>49936530607</t>
        </is>
      </c>
      <c r="F392" t="inlineStr">
        <is>
          <t>2026-04-29 21:09:16</t>
        </is>
      </c>
      <c r="G392" t="inlineStr">
        <is>
          <t>图文</t>
        </is>
      </c>
      <c r="H392" t="inlineStr">
        <is>
          <t>手剥虾仁 无冰衣无添加 低脂餐一人食 上班带饭 顺丰包邮 5盒装</t>
        </is>
      </c>
      <c r="I392" t="inlineStr">
        <is>
          <t>694baba01d450d00013662f0</t>
        </is>
      </c>
      <c r="J392" t="inlineStr">
        <is>
          <t/>
        </is>
      </c>
      <c r="K392" t="n">
        <v>0.0</v>
      </c>
      <c r="L392" t="n">
        <v>0.0</v>
      </c>
      <c r="M392" t="n">
        <v>5.0</v>
      </c>
      <c r="N392" t="inlineStr">
        <is>
          <t>0.13157894736842105</t>
        </is>
      </c>
      <c r="O392" t="n">
        <v>5.0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inlineStr">
        <is>
          <t/>
        </is>
      </c>
      <c r="X392" t="n">
        <v>0.0</v>
      </c>
      <c r="Y392" t="n">
        <v>2.0</v>
      </c>
      <c r="Z392" t="n">
        <v>4.0</v>
      </c>
      <c r="AA392" t="n">
        <v>0.0</v>
      </c>
      <c r="AB392" t="n">
        <v>0.0</v>
      </c>
      <c r="AC392" t="n">
        <v>0.0</v>
      </c>
      <c r="AD392" t="n">
        <v>38.0</v>
      </c>
      <c r="AE392" t="n">
        <v>0.0</v>
      </c>
      <c r="AF392" t="n">
        <v>0.0</v>
      </c>
      <c r="AG392" t="n">
        <v>0.0</v>
      </c>
      <c r="AH392" t="n">
        <v>1.0</v>
      </c>
      <c r="AI392" t="n">
        <v>0.0</v>
      </c>
      <c r="AJ392" t="n">
        <v>0.0</v>
      </c>
      <c r="AK392" t="n">
        <v>17.736842105263158</v>
      </c>
      <c r="AL392" t="inlineStr">
        <is>
          <t/>
        </is>
      </c>
    </row>
    <row r="393">
      <c r="A393" t="inlineStr">
        <is>
          <t>最懂早八打工人的0添加小包装</t>
        </is>
      </c>
      <c r="B393" t="inlineStr">
        <is>
          <t>69f0a45b000000001f006525</t>
        </is>
      </c>
      <c r="C393" s="392" t="n">
        <f>HYPERLINK("https://www.xiaohongshu.com/explore/69f0a45b000000001f006525?xsec_token=TBvHxiGmj2CedfPdQHdLJBmOi1rgpmTpyLK9X9ZHN8g7E=&amp;xsec_source=pc_trdark","https://www.xiaohongshu.com/explore/69f0a45b000000001f006525?xsec_token=TBvHxiGmj2CedfPdQHdLJBmOi1rgpmTpyLK9X9ZHN8g7E=&amp;xsec_source=pc_trdark")</f>
        <v>0.0</v>
      </c>
      <c r="D393" t="inlineStr">
        <is>
          <t>菲菲上班吃什么</t>
        </is>
      </c>
      <c r="E393" t="inlineStr">
        <is>
          <t>49936530607</t>
        </is>
      </c>
      <c r="F393" t="inlineStr">
        <is>
          <t>2026-04-28 20:13:15</t>
        </is>
      </c>
      <c r="G393" t="inlineStr">
        <is>
          <t>图文</t>
        </is>
      </c>
      <c r="H393" t="inlineStr">
        <is>
          <t>手剥虾仁 无冰衣无添加 低脂餐一人食 上班带饭 顺丰包邮 5盒装</t>
        </is>
      </c>
      <c r="I393" t="inlineStr">
        <is>
          <t>694baba01d450d00013662f0</t>
        </is>
      </c>
      <c r="J393" t="inlineStr">
        <is>
          <t/>
        </is>
      </c>
      <c r="K393" t="n">
        <v>0.0</v>
      </c>
      <c r="L393" t="n">
        <v>0.0</v>
      </c>
      <c r="M393" t="n">
        <v>3.0</v>
      </c>
      <c r="N393" t="inlineStr">
        <is>
          <t>0.07894736842105263</t>
        </is>
      </c>
      <c r="O393" t="n">
        <v>3.0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inlineStr">
        <is>
          <t/>
        </is>
      </c>
      <c r="X393" t="n">
        <v>0.0</v>
      </c>
      <c r="Y393" t="n">
        <v>0.0</v>
      </c>
      <c r="Z393" t="n">
        <v>4.0</v>
      </c>
      <c r="AA393" t="n">
        <v>0.0</v>
      </c>
      <c r="AB393" t="n">
        <v>0.0</v>
      </c>
      <c r="AC393" t="n">
        <v>0.0</v>
      </c>
      <c r="AD393" t="n">
        <v>38.0</v>
      </c>
      <c r="AE393" t="n">
        <v>0.0</v>
      </c>
      <c r="AF393" t="n">
        <v>0.0</v>
      </c>
      <c r="AG393" t="n">
        <v>0.0</v>
      </c>
      <c r="AH393" t="n">
        <v>1.0</v>
      </c>
      <c r="AI393" t="n">
        <v>0.0</v>
      </c>
      <c r="AJ393" t="n">
        <v>0.0</v>
      </c>
      <c r="AK393" t="n">
        <v>12.710526315789474</v>
      </c>
      <c r="AL393" t="inlineStr">
        <is>
          <t/>
        </is>
      </c>
    </row>
    <row r="394">
      <c r="A394" t="inlineStr">
        <is>
          <t>打工人超省事减脂餐，69可以吃一周🥹</t>
        </is>
      </c>
      <c r="B394" t="inlineStr">
        <is>
          <t>69f07efa000000001e00ec9a</t>
        </is>
      </c>
      <c r="C394" s="393" t="n">
        <f>HYPERLINK("https://www.xiaohongshu.com/explore/69f07efa000000001e00ec9a?xsec_token=TBvHxiGmj2CedfPdQHdLJBmHjKUz1bFCbt0vvHLi_BTko=&amp;xsec_source=pc_trdark","https://www.xiaohongshu.com/explore/69f07efa000000001e00ec9a?xsec_token=TBvHxiGmj2CedfPdQHdLJBmHjKUz1bFCbt0vvHLi_BTko=&amp;xsec_source=pc_trdark")</f>
        <v>0.0</v>
      </c>
      <c r="D394" t="inlineStr">
        <is>
          <t>菲菲上班吃什么</t>
        </is>
      </c>
      <c r="E394" t="inlineStr">
        <is>
          <t>49936530607</t>
        </is>
      </c>
      <c r="F394" t="inlineStr">
        <is>
          <t>2026-04-28 17:33:46</t>
        </is>
      </c>
      <c r="G394" t="inlineStr">
        <is>
          <t>图文</t>
        </is>
      </c>
      <c r="H394" t="inlineStr">
        <is>
          <t>手剥虾仁 无冰衣无添加 低脂餐一人食 上班带饭 顺丰包邮 5盒装</t>
        </is>
      </c>
      <c r="I394" t="inlineStr">
        <is>
          <t>694baba01d450d00013662f0</t>
        </is>
      </c>
      <c r="J394" t="inlineStr">
        <is>
          <t/>
        </is>
      </c>
      <c r="K394" t="n">
        <v>0.0</v>
      </c>
      <c r="L394" t="n">
        <v>0.0</v>
      </c>
      <c r="M394" t="n">
        <v>4.0</v>
      </c>
      <c r="N394" t="inlineStr">
        <is>
          <t>0.10526315789473684</t>
        </is>
      </c>
      <c r="O394" t="n">
        <v>4.0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inlineStr">
        <is>
          <t/>
        </is>
      </c>
      <c r="X394" t="n">
        <v>0.0</v>
      </c>
      <c r="Y394" t="n">
        <v>0.0</v>
      </c>
      <c r="Z394" t="n">
        <v>1.0</v>
      </c>
      <c r="AA394" t="n">
        <v>0.0</v>
      </c>
      <c r="AB394" t="n">
        <v>0.0</v>
      </c>
      <c r="AC394" t="n">
        <v>0.0</v>
      </c>
      <c r="AD394" t="n">
        <v>38.0</v>
      </c>
      <c r="AE394" t="n">
        <v>0.0</v>
      </c>
      <c r="AF394" t="n">
        <v>0.0</v>
      </c>
      <c r="AG394" t="n">
        <v>0.0</v>
      </c>
      <c r="AH394" t="n">
        <v>1.0</v>
      </c>
      <c r="AI394" t="n">
        <v>0.0</v>
      </c>
      <c r="AJ394" t="n">
        <v>0.0</v>
      </c>
      <c r="AK394" t="n">
        <v>15.789473684210526</v>
      </c>
      <c r="AL394" t="inlineStr">
        <is>
          <t/>
        </is>
      </c>
    </row>
    <row r="395">
      <c r="A395" t="inlineStr">
        <is>
          <t>奉劝大家不要低估了100来块的购买力…</t>
        </is>
      </c>
      <c r="B395" t="inlineStr">
        <is>
          <t>69ca4b650000000020038d5c</t>
        </is>
      </c>
      <c r="C395" s="394" t="n">
        <f>HYPERLINK("https://www.xiaohongshu.com/explore/69ca4b650000000020038d5c?xsec_token=TBZMwIQ43aS0K0DsaEHGlBqiOJChTYLifzA6OgCAxHaLg=&amp;xsec_source=pc_trdark","https://www.xiaohongshu.com/explore/69ca4b650000000020038d5c?xsec_token=TBZMwIQ43aS0K0DsaEHGlBqiOJChTYLifzA6OgCAxHaLg=&amp;xsec_source=pc_trdark")</f>
        <v>0.0</v>
      </c>
      <c r="D395" t="inlineStr">
        <is>
          <t>婉婉上班吃什么</t>
        </is>
      </c>
      <c r="E395" t="inlineStr">
        <is>
          <t>11434449706</t>
        </is>
      </c>
      <c r="F395" t="inlineStr">
        <is>
          <t>2026-03-30 18:07:33</t>
        </is>
      </c>
      <c r="G395" t="inlineStr">
        <is>
          <t>图文</t>
        </is>
      </c>
      <c r="H395" t="inlineStr">
        <is>
          <t>手剥虾仁 无冰衣无添加 低脂餐一人食 上班带饭 顺丰包邮 5盒装</t>
        </is>
      </c>
      <c r="I395" t="inlineStr">
        <is>
          <t>694baba01d450d00013662f0</t>
        </is>
      </c>
      <c r="J395" t="inlineStr">
        <is>
          <t/>
        </is>
      </c>
      <c r="K395" t="n">
        <v>0.0</v>
      </c>
      <c r="L395" t="n">
        <v>0.0</v>
      </c>
      <c r="M395" t="n">
        <v>10.0</v>
      </c>
      <c r="N395" t="n">
        <v>0.2631578947368421</v>
      </c>
      <c r="O395" t="n">
        <v>10.0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inlineStr">
        <is>
          <t/>
        </is>
      </c>
      <c r="X395" t="n">
        <v>0.0</v>
      </c>
      <c r="Y395" t="n">
        <v>0.0</v>
      </c>
      <c r="Z395" t="n">
        <v>1.0</v>
      </c>
      <c r="AA395" t="n">
        <v>0.0</v>
      </c>
      <c r="AB395" t="n">
        <v>0.0</v>
      </c>
      <c r="AC395" t="n">
        <v>0.0</v>
      </c>
      <c r="AD395" t="n">
        <v>38.0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9.763157894736842</v>
      </c>
      <c r="AL395" t="inlineStr">
        <is>
          <t/>
        </is>
      </c>
    </row>
    <row r="396">
      <c r="A396" t="inlineStr">
        <is>
          <t>当代减肥人的冰箱</t>
        </is>
      </c>
      <c r="B396" t="inlineStr">
        <is>
          <t>69c500960000000022028a8c</t>
        </is>
      </c>
      <c r="C396" s="395" t="n">
        <f>HYPERLINK("https://www.xiaohongshu.com/explore/69c500960000000022028a8c?xsec_token=TBe2pVMaF-KgU6DP2LLO6mLXHqOLQO5RE-EZo5AB5JQOc=&amp;xsec_source=pc_trdark","https://www.xiaohongshu.com/explore/69c500960000000022028a8c?xsec_token=TBe2pVMaF-KgU6DP2LLO6mLXHqOLQO5RE-EZo5AB5JQOc=&amp;xsec_source=pc_trdark")</f>
        <v>0.0</v>
      </c>
      <c r="D396" t="inlineStr">
        <is>
          <t>菲菲上班吃什么</t>
        </is>
      </c>
      <c r="E396" t="inlineStr">
        <is>
          <t>49936530607</t>
        </is>
      </c>
      <c r="F396" t="inlineStr">
        <is>
          <t>2026-03-26 17:47:02</t>
        </is>
      </c>
      <c r="G396" t="inlineStr">
        <is>
          <t>图文</t>
        </is>
      </c>
      <c r="H396" t="inlineStr">
        <is>
          <t>手剥虾仁 无冰衣无添加 低脂餐一人食 上班带饭 顺丰包邮 5盒装</t>
        </is>
      </c>
      <c r="I396" t="inlineStr">
        <is>
          <t>694baba01d450d00013662f0</t>
        </is>
      </c>
      <c r="J396" t="inlineStr">
        <is>
          <t/>
        </is>
      </c>
      <c r="K396" t="n">
        <v>69.0</v>
      </c>
      <c r="L396" t="n">
        <v>1.0</v>
      </c>
      <c r="M396" t="n">
        <v>6.0</v>
      </c>
      <c r="N396" t="inlineStr">
        <is>
          <t>0.15789473684210525</t>
        </is>
      </c>
      <c r="O396" t="n">
        <v>6.0</v>
      </c>
      <c r="P396" t="n">
        <v>1.0</v>
      </c>
      <c r="Q396" t="inlineStr">
        <is>
          <t>0.16666666666666666</t>
        </is>
      </c>
      <c r="R396" t="inlineStr">
        <is>
          <t>0.16666666666666666</t>
        </is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1.0</v>
      </c>
      <c r="Z396" t="n">
        <v>1.0</v>
      </c>
      <c r="AA396" t="n">
        <v>0.0</v>
      </c>
      <c r="AB396" t="n">
        <v>0.0</v>
      </c>
      <c r="AC396" t="n">
        <v>0.0</v>
      </c>
      <c r="AD396" t="n">
        <v>38.0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25.526315789473685</v>
      </c>
      <c r="AL396" t="inlineStr">
        <is>
          <t/>
        </is>
      </c>
    </row>
    <row r="397">
      <c r="A397" t="inlineStr">
        <is>
          <t>这么大的生蚝你能吃几个？</t>
        </is>
      </c>
      <c r="B397" t="inlineStr">
        <is>
          <t>6925754f000000001e02c06b</t>
        </is>
      </c>
      <c r="C397" s="396" t="n">
        <f>HYPERLINK("https://www.xiaohongshu.com/explore/6925754f000000001e02c06b?xsec_token=TBVx22ZAFho_bBgysCIliGP3vqKLftKs_THH_Wnmk1JDk=&amp;xsec_source=pc_trdark","https://www.xiaohongshu.com/explore/6925754f000000001e02c06b?xsec_token=TBVx22ZAFho_bBgysCIliGP3vqKLftKs_THH_Wnmk1JDk=&amp;xsec_source=pc_trdark")</f>
        <v>0.0</v>
      </c>
      <c r="D397" t="inlineStr">
        <is>
          <t>婉婉上班吃什么</t>
        </is>
      </c>
      <c r="E397" t="inlineStr">
        <is>
          <t>11434449706</t>
        </is>
      </c>
      <c r="F397" t="inlineStr">
        <is>
          <t>2025-11-25 17:22:23</t>
        </is>
      </c>
      <c r="G397" t="inlineStr">
        <is>
          <t>视频</t>
        </is>
      </c>
      <c r="H397" t="inlineStr">
        <is>
          <t>生蚝乳山生蚝海蛎子顺丰包邮</t>
        </is>
      </c>
      <c r="I397" t="inlineStr">
        <is>
          <t>690c70971b787900010866cc</t>
        </is>
      </c>
      <c r="J397" t="n">
        <v>15.0</v>
      </c>
      <c r="K397" t="n">
        <v>0.0</v>
      </c>
      <c r="L397" t="n">
        <v>0.0</v>
      </c>
      <c r="M397" t="n">
        <v>1.0</v>
      </c>
      <c r="N397" t="inlineStr">
        <is>
          <t>0.02631578947368421</t>
        </is>
      </c>
      <c r="O397" t="n">
        <v>1.0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inlineStr">
        <is>
          <t/>
        </is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38.0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5.5</v>
      </c>
      <c r="AL397" t="inlineStr">
        <is>
          <t>0.14285714285714285</t>
        </is>
      </c>
    </row>
    <row r="398">
      <c r="A398" t="inlineStr">
        <is>
          <t>夏天快来了！花69搞定一周轻食餐🍃</t>
        </is>
      </c>
      <c r="B398" t="inlineStr">
        <is>
          <t>69f3118a0000000023014a2e</t>
        </is>
      </c>
      <c r="C398" s="397" t="n">
        <f>HYPERLINK("https://www.xiaohongshu.com/explore/69f3118a0000000023014a2e?xsec_token=TBx93XfWzGohdywDZFOL5vkTcAteVc6qqGt8nBfxHa3A0=&amp;xsec_source=pc_trdark","https://www.xiaohongshu.com/explore/69f3118a0000000023014a2e?xsec_token=TBx93XfWzGohdywDZFOL5vkTcAteVc6qqGt8nBfxHa3A0=&amp;xsec_source=pc_trdark")</f>
        <v>0.0</v>
      </c>
      <c r="D398" t="inlineStr">
        <is>
          <t>菲菲上班吃什么</t>
        </is>
      </c>
      <c r="E398" t="inlineStr">
        <is>
          <t>49936530607</t>
        </is>
      </c>
      <c r="F398" t="inlineStr">
        <is>
          <t>2026-04-30 16:23:38</t>
        </is>
      </c>
      <c r="G398" t="inlineStr">
        <is>
          <t>图文</t>
        </is>
      </c>
      <c r="H398" t="inlineStr">
        <is>
          <t>手剥虾仁 无冰衣无添加 低脂餐一人食 上班带饭 顺丰包邮 5盒装</t>
        </is>
      </c>
      <c r="I398" t="inlineStr">
        <is>
          <t>694baba01d450d00013662f0</t>
        </is>
      </c>
      <c r="J398" t="inlineStr">
        <is>
          <t/>
        </is>
      </c>
      <c r="K398" t="n">
        <v>128.0</v>
      </c>
      <c r="L398" t="n">
        <v>1.0</v>
      </c>
      <c r="M398" t="n">
        <v>6.0</v>
      </c>
      <c r="N398" t="inlineStr">
        <is>
          <t>0.16216216216216217</t>
        </is>
      </c>
      <c r="O398" t="n">
        <v>5.0</v>
      </c>
      <c r="P398" t="n">
        <v>1.0</v>
      </c>
      <c r="Q398" t="inlineStr">
        <is>
          <t>0.16666666666666666</t>
        </is>
      </c>
      <c r="R398" t="n">
        <v>0.2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3.0</v>
      </c>
      <c r="AA398" t="n">
        <v>128.0</v>
      </c>
      <c r="AB398" t="n">
        <v>0.0</v>
      </c>
      <c r="AC398" t="n">
        <v>0.0</v>
      </c>
      <c r="AD398" t="n">
        <v>37.0</v>
      </c>
      <c r="AE398" t="n">
        <v>0.0</v>
      </c>
      <c r="AF398" t="n">
        <v>0.0</v>
      </c>
      <c r="AG398" t="n">
        <v>0.0</v>
      </c>
      <c r="AH398" t="n">
        <v>1.0</v>
      </c>
      <c r="AI398" t="n">
        <v>0.0</v>
      </c>
      <c r="AJ398" t="n">
        <v>0.0</v>
      </c>
      <c r="AK398" t="n">
        <v>8.513513513513514</v>
      </c>
      <c r="AL398" t="inlineStr">
        <is>
          <t/>
        </is>
      </c>
    </row>
    <row r="399">
      <c r="A399" t="inlineStr">
        <is>
          <t>放弃⛰️姆了！这种小包装虾仁太有性价比！</t>
        </is>
      </c>
      <c r="B399" t="inlineStr">
        <is>
          <t>69ef561c000000002301f64d</t>
        </is>
      </c>
      <c r="C399" s="398" t="n">
        <f>HYPERLINK("https://www.xiaohongshu.com/explore/69ef561c000000002301f64d?xsec_token=TB8YlxxIf2o_Xr_LAif13-vH4F2K91aQ2bVaG3O6ve5JM=&amp;xsec_source=pc_trdark","https://www.xiaohongshu.com/explore/69ef561c000000002301f64d?xsec_token=TB8YlxxIf2o_Xr_LAif13-vH4F2K91aQ2bVaG3O6ve5JM=&amp;xsec_source=pc_trdark")</f>
        <v>0.0</v>
      </c>
      <c r="D399" t="inlineStr">
        <is>
          <t>菲菲上班吃什么</t>
        </is>
      </c>
      <c r="E399" t="inlineStr">
        <is>
          <t>49936530607</t>
        </is>
      </c>
      <c r="F399" t="inlineStr">
        <is>
          <t>2026-04-27 20:27:08</t>
        </is>
      </c>
      <c r="G399" t="inlineStr">
        <is>
          <t>图文</t>
        </is>
      </c>
      <c r="H399" t="inlineStr">
        <is>
          <t>手剥虾仁 无冰衣无添加 低脂餐一人食 上班带饭 顺丰包邮 5盒装</t>
        </is>
      </c>
      <c r="I399" t="inlineStr">
        <is>
          <t>694baba01d450d00013662f0</t>
        </is>
      </c>
      <c r="J399" t="inlineStr">
        <is>
          <t/>
        </is>
      </c>
      <c r="K399" t="n">
        <v>0.0</v>
      </c>
      <c r="L399" t="n">
        <v>0.0</v>
      </c>
      <c r="M399" t="n">
        <v>6.0</v>
      </c>
      <c r="N399" t="inlineStr">
        <is>
          <t>0.16216216216216217</t>
        </is>
      </c>
      <c r="O399" t="n">
        <v>4.0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inlineStr">
        <is>
          <t/>
        </is>
      </c>
      <c r="X399" t="n">
        <v>0.0</v>
      </c>
      <c r="Y399" t="n">
        <v>1.0</v>
      </c>
      <c r="Z399" t="n">
        <v>4.0</v>
      </c>
      <c r="AA399" t="n">
        <v>0.0</v>
      </c>
      <c r="AB399" t="n">
        <v>0.0</v>
      </c>
      <c r="AC399" t="n">
        <v>0.0</v>
      </c>
      <c r="AD399" t="n">
        <v>37.0</v>
      </c>
      <c r="AE399" t="n">
        <v>0.0</v>
      </c>
      <c r="AF399" t="n">
        <v>0.0</v>
      </c>
      <c r="AG399" t="n">
        <v>0.0</v>
      </c>
      <c r="AH399" t="n">
        <v>1.0</v>
      </c>
      <c r="AI399" t="n">
        <v>0.0</v>
      </c>
      <c r="AJ399" t="n">
        <v>0.0</v>
      </c>
      <c r="AK399" t="n">
        <v>10.405405405405405</v>
      </c>
      <c r="AL399" t="inlineStr">
        <is>
          <t/>
        </is>
      </c>
    </row>
    <row r="400">
      <c r="A400" t="inlineStr">
        <is>
          <t>我也不想买啊，但69够我吃一周了～</t>
        </is>
      </c>
      <c r="B400" t="inlineStr">
        <is>
          <t>69cb8091000000001e00c500</t>
        </is>
      </c>
      <c r="C400" s="399" t="n">
        <f>HYPERLINK("https://www.xiaohongshu.com/explore/69cb8091000000001e00c500?xsec_token=TBNvk7eB588c7ey-qUUMF7ORNIuQpyRiYMniqVVVbQg14=&amp;xsec_source=pc_trdark","https://www.xiaohongshu.com/explore/69cb8091000000001e00c500?xsec_token=TBNvk7eB588c7ey-qUUMF7ORNIuQpyRiYMniqVVVbQg14=&amp;xsec_source=pc_trdark")</f>
        <v>0.0</v>
      </c>
      <c r="D400" t="inlineStr">
        <is>
          <t>鲜水湾</t>
        </is>
      </c>
      <c r="E400" t="inlineStr">
        <is>
          <t>49316638994</t>
        </is>
      </c>
      <c r="F400" t="inlineStr">
        <is>
          <t>2026-03-31 16:06:41</t>
        </is>
      </c>
      <c r="G400" t="inlineStr">
        <is>
          <t>图文</t>
        </is>
      </c>
      <c r="H400" t="inlineStr">
        <is>
          <t>手剥虾仁 无冰衣无添加 低脂餐一人食 上班带饭 顺丰包邮 5盒装</t>
        </is>
      </c>
      <c r="I400" t="inlineStr">
        <is>
          <t>694baba01d450d00013662f0</t>
        </is>
      </c>
      <c r="J400" t="inlineStr">
        <is>
          <t/>
        </is>
      </c>
      <c r="K400" t="n">
        <v>69.0</v>
      </c>
      <c r="L400" t="n">
        <v>1.0</v>
      </c>
      <c r="M400" t="n">
        <v>13.0</v>
      </c>
      <c r="N400" t="n">
        <v>0.3611111111111111</v>
      </c>
      <c r="O400" t="n">
        <v>12.0</v>
      </c>
      <c r="P400" t="n">
        <v>1.0</v>
      </c>
      <c r="Q400" t="inlineStr">
        <is>
          <t>0.07692307692307693</t>
        </is>
      </c>
      <c r="R400" t="inlineStr">
        <is>
          <t>0.08333333333333333</t>
        </is>
      </c>
      <c r="S400" t="n">
        <v>69.0</v>
      </c>
      <c r="T400" t="n">
        <v>1.0</v>
      </c>
      <c r="U400" t="n">
        <v>1.0</v>
      </c>
      <c r="V400" t="n">
        <v>0.0</v>
      </c>
      <c r="W400" t="n">
        <v>0.0</v>
      </c>
      <c r="X400" t="n">
        <v>0.0</v>
      </c>
      <c r="Y400" t="n">
        <v>0.0</v>
      </c>
      <c r="Z400" t="n">
        <v>1.0</v>
      </c>
      <c r="AA400" t="n">
        <v>0.0</v>
      </c>
      <c r="AB400" t="n">
        <v>0.0</v>
      </c>
      <c r="AC400" t="n">
        <v>0.0</v>
      </c>
      <c r="AD400" t="n">
        <v>36.0</v>
      </c>
      <c r="AE400" t="n">
        <v>1.0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9.777777777777779</v>
      </c>
      <c r="AL400" t="inlineStr">
        <is>
          <t/>
        </is>
      </c>
    </row>
    <row r="401">
      <c r="A401" t="inlineStr">
        <is>
          <t>网购虾仁试水成功</t>
        </is>
      </c>
      <c r="B401" t="inlineStr">
        <is>
          <t>69e87400000000001f006247</t>
        </is>
      </c>
      <c r="C401" s="400" t="n">
        <f>HYPERLINK("https://www.xiaohongshu.com/explore/69e87400000000001f006247?xsec_token=TBrsJGfbmdICsvnXoyd4QdRkEIyhPetg-2a9NAQYXGx3A=&amp;xsec_source=pc_trdark","https://www.xiaohongshu.com/explore/69e87400000000001f006247?xsec_token=TBrsJGfbmdICsvnXoyd4QdRkEIyhPetg-2a9NAQYXGx3A=&amp;xsec_source=pc_trdark")</f>
        <v>0.0</v>
      </c>
      <c r="D401" t="inlineStr">
        <is>
          <t>菲菲上班吃什么</t>
        </is>
      </c>
      <c r="E401" t="inlineStr">
        <is>
          <t>49936530607</t>
        </is>
      </c>
      <c r="F401" t="inlineStr">
        <is>
          <t>2026-04-23 13:30:00</t>
        </is>
      </c>
      <c r="G401" t="inlineStr">
        <is>
          <t>图文</t>
        </is>
      </c>
      <c r="H401" t="inlineStr">
        <is>
          <t>手剥虾仁 无冰衣无添加 低脂餐一人食 上班带饭 顺丰包邮 5盒装</t>
        </is>
      </c>
      <c r="I401" t="inlineStr">
        <is>
          <t>694baba01d450d00013662f0</t>
        </is>
      </c>
      <c r="J401" t="inlineStr">
        <is>
          <t/>
        </is>
      </c>
      <c r="K401" t="n">
        <v>0.0</v>
      </c>
      <c r="L401" t="n">
        <v>0.0</v>
      </c>
      <c r="M401" t="n">
        <v>2.0</v>
      </c>
      <c r="N401" t="inlineStr">
        <is>
          <t>0.05714285714285714</t>
        </is>
      </c>
      <c r="O401" t="n">
        <v>2.0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inlineStr">
        <is>
          <t/>
        </is>
      </c>
      <c r="X401" t="n">
        <v>0.0</v>
      </c>
      <c r="Y401" t="n">
        <v>0.0</v>
      </c>
      <c r="Z401" t="n">
        <v>2.0</v>
      </c>
      <c r="AA401" t="n">
        <v>0.0</v>
      </c>
      <c r="AB401" t="n">
        <v>0.0</v>
      </c>
      <c r="AC401" t="n">
        <v>0.0</v>
      </c>
      <c r="AD401" t="n">
        <v>35.0</v>
      </c>
      <c r="AE401" t="n">
        <v>1.0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5.485714285714286</v>
      </c>
      <c r="AL401" t="inlineStr">
        <is>
          <t/>
        </is>
      </c>
    </row>
    <row r="402">
      <c r="A402" t="inlineStr">
        <is>
          <t>健身后花的最值的一笔钱…</t>
        </is>
      </c>
      <c r="B402" t="inlineStr">
        <is>
          <t>69ba70750000000023026413</t>
        </is>
      </c>
      <c r="C402" s="401" t="n">
        <f>HYPERLINK("https://www.xiaohongshu.com/explore/69ba70750000000023026413?xsec_token=TBgJVNruMKjnZKfHBYiZtZCc460pgFnQOv6G-lVE1hT1U=&amp;xsec_source=pc_trdark","https://www.xiaohongshu.com/explore/69ba70750000000023026413?xsec_token=TBgJVNruMKjnZKfHBYiZtZCc460pgFnQOv6G-lVE1hT1U=&amp;xsec_source=pc_trdark")</f>
        <v>0.0</v>
      </c>
      <c r="D402" t="inlineStr">
        <is>
          <t>鲜水湾甄选</t>
        </is>
      </c>
      <c r="E402" t="inlineStr">
        <is>
          <t>27401929161</t>
        </is>
      </c>
      <c r="F402" t="inlineStr">
        <is>
          <t>2026-03-18 17:29:25</t>
        </is>
      </c>
      <c r="G402" t="inlineStr">
        <is>
          <t>图文</t>
        </is>
      </c>
      <c r="H402" t="inlineStr">
        <is>
          <t>智利三文鱼切块·整条三文鱼·深海鱼一人食健康饮食</t>
        </is>
      </c>
      <c r="I402" t="inlineStr">
        <is>
          <t>691ac562a524ee0001b51d7b</t>
        </is>
      </c>
      <c r="J402" t="inlineStr">
        <is>
          <t/>
        </is>
      </c>
      <c r="K402" t="n">
        <v>0.0</v>
      </c>
      <c r="L402" t="n">
        <v>0.0</v>
      </c>
      <c r="M402" t="n">
        <v>1.0</v>
      </c>
      <c r="N402" t="inlineStr">
        <is>
          <t>0.02857142857142857</t>
        </is>
      </c>
      <c r="O402" t="n">
        <v>1.0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inlineStr">
        <is>
          <t/>
        </is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35.0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7.885714285714286</v>
      </c>
      <c r="AL402" t="inlineStr">
        <is>
          <t/>
        </is>
      </c>
    </row>
    <row r="403">
      <c r="A403" t="inlineStr">
        <is>
          <t>这么大的乳山生蚝你能吃几个？</t>
        </is>
      </c>
      <c r="B403" t="inlineStr">
        <is>
          <t>69226d6e000000001d03ec8c</t>
        </is>
      </c>
      <c r="C403" s="402" t="n">
        <f>HYPERLINK("https://www.xiaohongshu.com/explore/69226d6e000000001d03ec8c?xsec_token=TBE5pHIrkzq8Q5V7PHhpUNB5T5qqIMUi8lG3Wczb5nJ38=&amp;xsec_source=pc_trdark","https://www.xiaohongshu.com/explore/69226d6e000000001d03ec8c?xsec_token=TBE5pHIrkzq8Q5V7PHhpUNB5T5qqIMUi8lG3Wczb5nJ38=&amp;xsec_source=pc_trdark")</f>
        <v>0.0</v>
      </c>
      <c r="D403" t="inlineStr">
        <is>
          <t>婉婉上班吃什么</t>
        </is>
      </c>
      <c r="E403" t="inlineStr">
        <is>
          <t>11434449706</t>
        </is>
      </c>
      <c r="F403" t="inlineStr">
        <is>
          <t>2025-11-23 10:11:58</t>
        </is>
      </c>
      <c r="G403" t="inlineStr">
        <is>
          <t>视频</t>
        </is>
      </c>
      <c r="H403" t="inlineStr">
        <is>
          <t>生蚝乳山生蚝海蛎子顺丰包邮</t>
        </is>
      </c>
      <c r="I403" t="inlineStr">
        <is>
          <t>690c70971b787900010866cc</t>
        </is>
      </c>
      <c r="J403" t="n">
        <v>16.0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inlineStr">
        <is>
          <t/>
        </is>
      </c>
      <c r="R403" t="inlineStr">
        <is>
          <t/>
        </is>
      </c>
      <c r="S403" t="n">
        <v>0.0</v>
      </c>
      <c r="T403" t="n">
        <v>0.0</v>
      </c>
      <c r="U403" t="n">
        <v>0.0</v>
      </c>
      <c r="V403" t="n">
        <v>0.0</v>
      </c>
      <c r="W403" t="inlineStr">
        <is>
          <t/>
        </is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35.0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7.3428571428571425</v>
      </c>
      <c r="AL403" t="n">
        <v>0.1590909090909091</v>
      </c>
    </row>
    <row r="404">
      <c r="A404" t="inlineStr">
        <is>
          <t>不夸张，我在xhs买虾从未失手过！</t>
        </is>
      </c>
      <c r="B404" t="inlineStr">
        <is>
          <t>69e742aa0000000023021866</t>
        </is>
      </c>
      <c r="C404" s="403" t="n">
        <f>HYPERLINK("https://www.xiaohongshu.com/explore/69e742aa0000000023021866?xsec_token=TBxJD1S06w8M0Ib6UdHEwWiGq-Zp8Bdue5Rjgko4oYNc8=&amp;xsec_source=pc_trdark","https://www.xiaohongshu.com/explore/69e742aa0000000023021866?xsec_token=TBxJD1S06w8M0Ib6UdHEwWiGq-Zp8Bdue5Rjgko4oYNc8=&amp;xsec_source=pc_trdark")</f>
        <v>0.0</v>
      </c>
      <c r="D404" t="inlineStr">
        <is>
          <t>鲜水湾甄选</t>
        </is>
      </c>
      <c r="E404" t="inlineStr">
        <is>
          <t>27401929161</t>
        </is>
      </c>
      <c r="F404" t="inlineStr">
        <is>
          <t>2026-04-22 17:30:00</t>
        </is>
      </c>
      <c r="G404" t="inlineStr">
        <is>
          <t>图文</t>
        </is>
      </c>
      <c r="H404" t="inlineStr">
        <is>
          <t>手剥虾仁 无冰衣无添加 低脂餐一人食 上班带饭 顺丰包邮 5盒装</t>
        </is>
      </c>
      <c r="I404" t="inlineStr">
        <is>
          <t>694baba01d450d00013662f0</t>
        </is>
      </c>
      <c r="J404" t="inlineStr">
        <is>
          <t/>
        </is>
      </c>
      <c r="K404" t="n">
        <v>0.0</v>
      </c>
      <c r="L404" t="n">
        <v>0.0</v>
      </c>
      <c r="M404" t="n">
        <v>4.0</v>
      </c>
      <c r="N404" t="inlineStr">
        <is>
          <t>0.11764705882352941</t>
        </is>
      </c>
      <c r="O404" t="n">
        <v>4.0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inlineStr">
        <is>
          <t/>
        </is>
      </c>
      <c r="X404" t="n">
        <v>0.0</v>
      </c>
      <c r="Y404" t="n">
        <v>1.0</v>
      </c>
      <c r="Z404" t="n">
        <v>0.0</v>
      </c>
      <c r="AA404" t="n">
        <v>0.0</v>
      </c>
      <c r="AB404" t="n">
        <v>0.0</v>
      </c>
      <c r="AC404" t="n">
        <v>0.0</v>
      </c>
      <c r="AD404" t="n">
        <v>34.0</v>
      </c>
      <c r="AE404" t="n">
        <v>0.0</v>
      </c>
      <c r="AF404" t="n">
        <v>0.0</v>
      </c>
      <c r="AG404" t="n">
        <v>0.0</v>
      </c>
      <c r="AH404" t="n">
        <v>1.0</v>
      </c>
      <c r="AI404" t="n">
        <v>0.0</v>
      </c>
      <c r="AJ404" t="n">
        <v>0.0</v>
      </c>
      <c r="AK404" t="n">
        <v>15.676470588235293</v>
      </c>
      <c r="AL404" t="inlineStr">
        <is>
          <t/>
        </is>
      </c>
    </row>
    <row r="405">
      <c r="A405" t="inlineStr">
        <is>
          <t>网购了一整条三文鱼，安全下车</t>
        </is>
      </c>
      <c r="B405" t="inlineStr">
        <is>
          <t>692efa4e000000001e031463</t>
        </is>
      </c>
      <c r="C405" s="404" t="n">
        <f>HYPERLINK("https://www.xiaohongshu.com/explore/692efa4e000000001e031463?xsec_token=TBhc9WPqfa5dhWfRrPj8DX7cIgblguwcH-tlVsfoRDmiM=&amp;xsec_source=pc_trdark","https://www.xiaohongshu.com/explore/692efa4e000000001e031463?xsec_token=TBhc9WPqfa5dhWfRrPj8DX7cIgblguwcH-tlVsfoRDmiM=&amp;xsec_source=pc_trdark")</f>
        <v>0.0</v>
      </c>
      <c r="D405" t="inlineStr">
        <is>
          <t>鲜水湾</t>
        </is>
      </c>
      <c r="E405" t="inlineStr">
        <is>
          <t>49316638994</t>
        </is>
      </c>
      <c r="F405" t="inlineStr">
        <is>
          <t>2025-12-02 22:40:14</t>
        </is>
      </c>
      <c r="G405" t="inlineStr">
        <is>
          <t>图文</t>
        </is>
      </c>
      <c r="H405" t="inlineStr">
        <is>
          <t>智利三文鱼切块·整条三文鱼·深海鱼一人食健康饮食</t>
        </is>
      </c>
      <c r="I405" t="inlineStr">
        <is>
          <t>691ac562a524ee0001b51d7b</t>
        </is>
      </c>
      <c r="J405" t="inlineStr">
        <is>
          <t/>
        </is>
      </c>
      <c r="K405" t="n">
        <v>0.0</v>
      </c>
      <c r="L405" t="n">
        <v>0.0</v>
      </c>
      <c r="M405" t="n">
        <v>4.0</v>
      </c>
      <c r="N405" t="inlineStr">
        <is>
          <t>0.11764705882352941</t>
        </is>
      </c>
      <c r="O405" t="n">
        <v>4.0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inlineStr">
        <is>
          <t/>
        </is>
      </c>
      <c r="X405" t="n">
        <v>0.0</v>
      </c>
      <c r="Y405" t="n">
        <v>0.0</v>
      </c>
      <c r="Z405" t="n">
        <v>4.0</v>
      </c>
      <c r="AA405" t="n">
        <v>0.0</v>
      </c>
      <c r="AB405" t="n">
        <v>0.0</v>
      </c>
      <c r="AC405" t="n">
        <v>0.0</v>
      </c>
      <c r="AD405" t="n">
        <v>34.0</v>
      </c>
      <c r="AE405" t="n">
        <v>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14.617647058823529</v>
      </c>
      <c r="AL405" t="inlineStr">
        <is>
          <t/>
        </is>
      </c>
    </row>
    <row r="406">
      <c r="A406" t="inlineStr">
        <is>
          <t>本以为69块没多少，没想到吃了整整一周…</t>
        </is>
      </c>
      <c r="B406" t="inlineStr">
        <is>
          <t>69f35b35000000003501fa9e</t>
        </is>
      </c>
      <c r="C406" s="405" t="n">
        <f>HYPERLINK("https://www.xiaohongshu.com/explore/69f35b35000000003501fa9e?xsec_token=TBx93XfWzGohdywDZFOL5vkeZIzq2Dwmzs-vbICf7SpmE=&amp;xsec_source=pc_trdark","https://www.xiaohongshu.com/explore/69f35b35000000003501fa9e?xsec_token=TBx93XfWzGohdywDZFOL5vkeZIzq2Dwmzs-vbICf7SpmE=&amp;xsec_source=pc_trdark")</f>
        <v>0.0</v>
      </c>
      <c r="D406" t="inlineStr">
        <is>
          <t>鲜水湾甄选</t>
        </is>
      </c>
      <c r="E406" t="inlineStr">
        <is>
          <t>27401929161</t>
        </is>
      </c>
      <c r="F406" t="inlineStr">
        <is>
          <t>2026-04-30 21:37:57</t>
        </is>
      </c>
      <c r="G406" t="inlineStr">
        <is>
          <t>图文</t>
        </is>
      </c>
      <c r="H406" t="inlineStr">
        <is>
          <t>手剥虾仁 无冰衣无添加 低脂餐一人食 上班带饭 顺丰包邮 5盒装</t>
        </is>
      </c>
      <c r="I406" t="inlineStr">
        <is>
          <t>694baba01d450d00013662f0</t>
        </is>
      </c>
      <c r="J406" t="inlineStr">
        <is>
          <t/>
        </is>
      </c>
      <c r="K406" t="n">
        <v>0.0</v>
      </c>
      <c r="L406" t="n">
        <v>0.0</v>
      </c>
      <c r="M406" t="n">
        <v>4.0</v>
      </c>
      <c r="N406" t="inlineStr">
        <is>
          <t>0.12121212121212122</t>
        </is>
      </c>
      <c r="O406" t="n">
        <v>4.0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inlineStr">
        <is>
          <t/>
        </is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33.0</v>
      </c>
      <c r="AE406" t="n">
        <v>0.0</v>
      </c>
      <c r="AF406" t="n">
        <v>0.0</v>
      </c>
      <c r="AG406" t="n">
        <v>0.0</v>
      </c>
      <c r="AH406" t="n">
        <v>1.0</v>
      </c>
      <c r="AI406" t="n">
        <v>0.0</v>
      </c>
      <c r="AJ406" t="n">
        <v>0.0</v>
      </c>
      <c r="AK406" t="n">
        <v>13.757575757575758</v>
      </c>
      <c r="AL406" t="inlineStr">
        <is>
          <t/>
        </is>
      </c>
    </row>
    <row r="407">
      <c r="A407" t="inlineStr">
        <is>
          <t>上班搭子对我每天吃虾仁表示很奢侈🤫</t>
        </is>
      </c>
      <c r="B407" t="inlineStr">
        <is>
          <t>69f3252c00000000230075c4</t>
        </is>
      </c>
      <c r="C407" s="406" t="n">
        <f>HYPERLINK("https://www.xiaohongshu.com/explore/69f3252c00000000230075c4?xsec_token=TBx93XfWzGohdywDZFOL5vkZQsVTWWhcSY_Dca1R9gCmw=&amp;xsec_source=pc_trdark","https://www.xiaohongshu.com/explore/69f3252c00000000230075c4?xsec_token=TBx93XfWzGohdywDZFOL5vkZQsVTWWhcSY_Dca1R9gCmw=&amp;xsec_source=pc_trdark")</f>
        <v>0.0</v>
      </c>
      <c r="D407" t="inlineStr">
        <is>
          <t>菲菲上班吃什么</t>
        </is>
      </c>
      <c r="E407" t="inlineStr">
        <is>
          <t>49936530607</t>
        </is>
      </c>
      <c r="F407" t="inlineStr">
        <is>
          <t>2026-04-30 17:47:24</t>
        </is>
      </c>
      <c r="G407" t="inlineStr">
        <is>
          <t>图文</t>
        </is>
      </c>
      <c r="H407" t="inlineStr">
        <is>
          <t>手剥虾仁 无冰衣无添加 低脂餐一人食 上班带饭 顺丰包邮 5盒装</t>
        </is>
      </c>
      <c r="I407" t="inlineStr">
        <is>
          <t>694baba01d450d00013662f0</t>
        </is>
      </c>
      <c r="J407" t="inlineStr">
        <is>
          <t/>
        </is>
      </c>
      <c r="K407" t="n">
        <v>0.0</v>
      </c>
      <c r="L407" t="n">
        <v>0.0</v>
      </c>
      <c r="M407" t="n">
        <v>9.0</v>
      </c>
      <c r="N407" t="n">
        <v>0.2727272727272727</v>
      </c>
      <c r="O407" t="n">
        <v>6.0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inlineStr">
        <is>
          <t/>
        </is>
      </c>
      <c r="X407" t="n">
        <v>0.0</v>
      </c>
      <c r="Y407" t="n">
        <v>1.0</v>
      </c>
      <c r="Z407" t="n">
        <v>5.0</v>
      </c>
      <c r="AA407" t="n">
        <v>0.0</v>
      </c>
      <c r="AB407" t="n">
        <v>0.0</v>
      </c>
      <c r="AC407" t="n">
        <v>0.0</v>
      </c>
      <c r="AD407" t="n">
        <v>33.0</v>
      </c>
      <c r="AE407" t="n">
        <v>0.0</v>
      </c>
      <c r="AF407" t="n">
        <v>0.0</v>
      </c>
      <c r="AG407" t="n">
        <v>0.0</v>
      </c>
      <c r="AH407" t="n">
        <v>1.0</v>
      </c>
      <c r="AI407" t="n">
        <v>0.0</v>
      </c>
      <c r="AJ407" t="n">
        <v>0.0</v>
      </c>
      <c r="AK407" t="n">
        <v>19.363636363636363</v>
      </c>
      <c r="AL407" t="inlineStr">
        <is>
          <t/>
        </is>
      </c>
    </row>
    <row r="408">
      <c r="A408" t="inlineStr">
        <is>
          <t>感谢小红书，减脂期买到这么好吃的虾仁</t>
        </is>
      </c>
      <c r="B408" t="inlineStr">
        <is>
          <t>69e86f7f000000002003bad2</t>
        </is>
      </c>
      <c r="C408" s="407" t="n">
        <f>HYPERLINK("https://www.xiaohongshu.com/explore/69e86f7f000000002003bad2?xsec_token=TBrsJGfbmdICsvnXoyd4QdRmSIj72TRMu2Jns461cHp9I=&amp;xsec_source=pc_trdark","https://www.xiaohongshu.com/explore/69e86f7f000000002003bad2?xsec_token=TBrsJGfbmdICsvnXoyd4QdRmSIj72TRMu2Jns461cHp9I=&amp;xsec_source=pc_trdark")</f>
        <v>0.0</v>
      </c>
      <c r="D408" t="inlineStr">
        <is>
          <t>菲菲上班吃什么</t>
        </is>
      </c>
      <c r="E408" t="inlineStr">
        <is>
          <t>49936530607</t>
        </is>
      </c>
      <c r="F408" t="inlineStr">
        <is>
          <t>2026-04-23 08:30:00</t>
        </is>
      </c>
      <c r="G408" t="inlineStr">
        <is>
          <t>图文</t>
        </is>
      </c>
      <c r="H408" t="inlineStr">
        <is>
          <t>手剥虾仁 无冰衣无添加 低脂餐一人食 上班带饭 顺丰包邮 5盒装</t>
        </is>
      </c>
      <c r="I408" t="inlineStr">
        <is>
          <t>694baba01d450d00013662f0</t>
        </is>
      </c>
      <c r="J408" t="inlineStr">
        <is>
          <t/>
        </is>
      </c>
      <c r="K408" t="n">
        <v>0.0</v>
      </c>
      <c r="L408" t="n">
        <v>0.0</v>
      </c>
      <c r="M408" t="n">
        <v>5.0</v>
      </c>
      <c r="N408" t="inlineStr">
        <is>
          <t>0.15151515151515152</t>
        </is>
      </c>
      <c r="O408" t="n">
        <v>3.0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inlineStr">
        <is>
          <t/>
        </is>
      </c>
      <c r="X408" t="n">
        <v>0.0</v>
      </c>
      <c r="Y408" t="n">
        <v>0.0</v>
      </c>
      <c r="Z408" t="n">
        <v>3.0</v>
      </c>
      <c r="AA408" t="n">
        <v>0.0</v>
      </c>
      <c r="AB408" t="n">
        <v>0.0</v>
      </c>
      <c r="AC408" t="n">
        <v>0.0</v>
      </c>
      <c r="AD408" t="n">
        <v>33.0</v>
      </c>
      <c r="AE408" t="n">
        <v>0.0</v>
      </c>
      <c r="AF408" t="n">
        <v>0.0</v>
      </c>
      <c r="AG408" t="n">
        <v>0.0</v>
      </c>
      <c r="AH408" t="n">
        <v>1.0</v>
      </c>
      <c r="AI408" t="n">
        <v>0.0</v>
      </c>
      <c r="AJ408" t="n">
        <v>0.0</v>
      </c>
      <c r="AK408" t="n">
        <v>9.030303030303031</v>
      </c>
      <c r="AL408" t="inlineStr">
        <is>
          <t/>
        </is>
      </c>
    </row>
    <row r="409">
      <c r="A409" t="inlineStr">
        <is>
          <t>59.9r到手5斤，大小一个价，喜欢的来尝尝</t>
        </is>
      </c>
      <c r="B409" t="inlineStr">
        <is>
          <t>691a7ea200000000050388b4</t>
        </is>
      </c>
      <c r="C409" s="408" t="n">
        <f>HYPERLINK("https://www.xiaohongshu.com/explore/691a7ea200000000050388b4?xsec_token=TB7_xX17zVvyJQL8hbcdzoIN866HpH48suQ8lZBcFNk0Q=&amp;xsec_source=pc_trdark","https://www.xiaohongshu.com/explore/691a7ea200000000050388b4?xsec_token=TB7_xX17zVvyJQL8hbcdzoIN866HpH48suQ8lZBcFNk0Q=&amp;xsec_source=pc_trdark")</f>
        <v>0.0</v>
      </c>
      <c r="D409" t="inlineStr">
        <is>
          <t>婉婉上班吃什么</t>
        </is>
      </c>
      <c r="E409" t="inlineStr">
        <is>
          <t>11434449706</t>
        </is>
      </c>
      <c r="F409" t="inlineStr">
        <is>
          <t>2025-11-17 11:47:00</t>
        </is>
      </c>
      <c r="G409" t="inlineStr">
        <is>
          <t>视频</t>
        </is>
      </c>
      <c r="H409" t="inlineStr">
        <is>
          <t>生蚝乳山生蚝海蛎子顺丰包邮</t>
        </is>
      </c>
      <c r="I409" t="inlineStr">
        <is>
          <t>690c70971b787900010866cc</t>
        </is>
      </c>
      <c r="J409" t="n">
        <v>28.0</v>
      </c>
      <c r="K409" t="n">
        <v>0.0</v>
      </c>
      <c r="L409" t="n">
        <v>0.0</v>
      </c>
      <c r="M409" t="n">
        <v>2.0</v>
      </c>
      <c r="N409" t="inlineStr">
        <is>
          <t>0.06060606060606061</t>
        </is>
      </c>
      <c r="O409" t="n">
        <v>2.0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inlineStr">
        <is>
          <t/>
        </is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33.0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9.454545454545455</v>
      </c>
      <c r="AL409" t="inlineStr">
        <is>
          <t>0.08571428571428572</t>
        </is>
      </c>
    </row>
    <row r="410">
      <c r="A410" t="inlineStr">
        <is>
          <t>才100多块钱，轻松解决我半个月的减脂餐</t>
        </is>
      </c>
      <c r="B410" t="inlineStr">
        <is>
          <t>69f2e50200000000360026b9</t>
        </is>
      </c>
      <c r="C410" s="409" t="n">
        <f>HYPERLINK("https://www.xiaohongshu.com/explore/69f2e50200000000360026b9?xsec_token=TBvWHBo3-qwEN9bVc9g-yUNU0IXAGKaeya40_0-OupshI=&amp;xsec_source=pc_trdark","https://www.xiaohongshu.com/explore/69f2e50200000000360026b9?xsec_token=TBvWHBo3-qwEN9bVc9g-yUNU0IXAGKaeya40_0-OupshI=&amp;xsec_source=pc_trdark")</f>
        <v>0.0</v>
      </c>
      <c r="D410" t="inlineStr">
        <is>
          <t>鲜水湾甄选</t>
        </is>
      </c>
      <c r="E410" t="inlineStr">
        <is>
          <t>27401929161</t>
        </is>
      </c>
      <c r="F410" t="inlineStr">
        <is>
          <t>2026-04-30 13:13:38</t>
        </is>
      </c>
      <c r="G410" t="inlineStr">
        <is>
          <t>图文</t>
        </is>
      </c>
      <c r="H410" t="inlineStr">
        <is>
          <t>手剥虾仁 无冰衣无添加 低脂餐一人食 上班带饭 顺丰包邮 5盒装</t>
        </is>
      </c>
      <c r="I410" t="inlineStr">
        <is>
          <t>694baba01d450d00013662f0</t>
        </is>
      </c>
      <c r="J410" t="inlineStr">
        <is>
          <t/>
        </is>
      </c>
      <c r="K410" t="n">
        <v>0.0</v>
      </c>
      <c r="L410" t="n">
        <v>0.0</v>
      </c>
      <c r="M410" t="n">
        <v>2.0</v>
      </c>
      <c r="N410" t="n">
        <v>0.0625</v>
      </c>
      <c r="O410" t="n">
        <v>2.0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inlineStr">
        <is>
          <t/>
        </is>
      </c>
      <c r="X410" t="n">
        <v>0.0</v>
      </c>
      <c r="Y410" t="n">
        <v>0.0</v>
      </c>
      <c r="Z410" t="n">
        <v>4.0</v>
      </c>
      <c r="AA410" t="n">
        <v>0.0</v>
      </c>
      <c r="AB410" t="n">
        <v>0.0</v>
      </c>
      <c r="AC410" t="n">
        <v>0.0</v>
      </c>
      <c r="AD410" t="n">
        <v>32.0</v>
      </c>
      <c r="AE410" t="n">
        <v>0.0</v>
      </c>
      <c r="AF410" t="n">
        <v>0.0</v>
      </c>
      <c r="AG410" t="n">
        <v>0.0</v>
      </c>
      <c r="AH410" t="n">
        <v>1.0</v>
      </c>
      <c r="AI410" t="n">
        <v>0.0</v>
      </c>
      <c r="AJ410" t="n">
        <v>0.0</v>
      </c>
      <c r="AK410" t="n">
        <v>11.84375</v>
      </c>
      <c r="AL410" t="inlineStr">
        <is>
          <t/>
        </is>
      </c>
    </row>
    <row r="411">
      <c r="A411" t="inlineStr">
        <is>
          <t>减脂人假期囤货，直观展示128元的购买力！</t>
        </is>
      </c>
      <c r="B411" t="inlineStr">
        <is>
          <t>69ee1712000000003503ad01</t>
        </is>
      </c>
      <c r="C411" s="410" t="n">
        <f>HYPERLINK("https://www.xiaohongshu.com/explore/69ee1712000000003503ad01?xsec_token=TB3JCI8OO3ItJ5gw9_OIE0bMGlYz7CkPxoVlU2ynAGNQo=&amp;xsec_source=pc_trdark","https://www.xiaohongshu.com/explore/69ee1712000000003503ad01?xsec_token=TB3JCI8OO3ItJ5gw9_OIE0bMGlYz7CkPxoVlU2ynAGNQo=&amp;xsec_source=pc_trdark")</f>
        <v>0.0</v>
      </c>
      <c r="D411" t="inlineStr">
        <is>
          <t>鲜水湾甄选</t>
        </is>
      </c>
      <c r="E411" t="inlineStr">
        <is>
          <t>27401929161</t>
        </is>
      </c>
      <c r="F411" t="inlineStr">
        <is>
          <t>2026-04-26 21:45:54</t>
        </is>
      </c>
      <c r="G411" t="inlineStr">
        <is>
          <t>图文</t>
        </is>
      </c>
      <c r="H411" t="inlineStr">
        <is>
          <t>手剥虾仁 无冰衣无添加 低脂餐一人食 上班带饭 顺丰包邮 5盒装</t>
        </is>
      </c>
      <c r="I411" t="inlineStr">
        <is>
          <t>694baba01d450d00013662f0</t>
        </is>
      </c>
      <c r="J411" t="inlineStr">
        <is>
          <t/>
        </is>
      </c>
      <c r="K411" t="n">
        <v>0.0</v>
      </c>
      <c r="L411" t="n">
        <v>0.0</v>
      </c>
      <c r="M411" t="n">
        <v>4.0</v>
      </c>
      <c r="N411" t="n">
        <v>0.125</v>
      </c>
      <c r="O411" t="n">
        <v>4.0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inlineStr">
        <is>
          <t/>
        </is>
      </c>
      <c r="X411" t="n">
        <v>0.0</v>
      </c>
      <c r="Y411" t="n">
        <v>3.0</v>
      </c>
      <c r="Z411" t="n">
        <v>0.0</v>
      </c>
      <c r="AA411" t="n">
        <v>0.0</v>
      </c>
      <c r="AB411" t="n">
        <v>0.0</v>
      </c>
      <c r="AC411" t="n">
        <v>0.0</v>
      </c>
      <c r="AD411" t="n">
        <v>32.0</v>
      </c>
      <c r="AE411" t="n">
        <v>0.0</v>
      </c>
      <c r="AF411" t="n">
        <v>1.0</v>
      </c>
      <c r="AG411" t="n">
        <v>0.0</v>
      </c>
      <c r="AH411" t="n">
        <v>1.0</v>
      </c>
      <c r="AI411" t="n">
        <v>0.0</v>
      </c>
      <c r="AJ411" t="n">
        <v>0.0</v>
      </c>
      <c r="AK411" t="n">
        <v>6.8125</v>
      </c>
      <c r="AL411" t="inlineStr">
        <is>
          <t/>
        </is>
      </c>
    </row>
    <row r="412">
      <c r="A412" t="inlineStr">
        <is>
          <t>劝所有减脂人：别在超市原价买虾了</t>
        </is>
      </c>
      <c r="B412" t="inlineStr">
        <is>
          <t>69d20194000000002202919a</t>
        </is>
      </c>
      <c r="C412" s="411" t="n">
        <f>HYPERLINK("https://www.xiaohongshu.com/explore/69d20194000000002202919a?xsec_token=TBNrOxL8mRPP3W5KJU-iYJr_wP-Dyn4JwfEYpKDBGhNIA=&amp;xsec_source=pc_trdark","https://www.xiaohongshu.com/explore/69d20194000000002202919a?xsec_token=TBNrOxL8mRPP3W5KJU-iYJr_wP-Dyn4JwfEYpKDBGhNIA=&amp;xsec_source=pc_trdark")</f>
        <v>0.0</v>
      </c>
      <c r="D412" t="inlineStr">
        <is>
          <t>鲜水湾</t>
        </is>
      </c>
      <c r="E412" t="inlineStr">
        <is>
          <t>49316638994</t>
        </is>
      </c>
      <c r="F412" t="inlineStr">
        <is>
          <t>2026-04-05 14:30:44</t>
        </is>
      </c>
      <c r="G412" t="inlineStr">
        <is>
          <t>图文</t>
        </is>
      </c>
      <c r="H412" t="inlineStr">
        <is>
          <t>大虾基围虾王牌大虾厄瓜多尔白虾盐冻虾仁海洋大虾送礼顺丰包邮</t>
        </is>
      </c>
      <c r="I412" t="inlineStr">
        <is>
          <t>690aeb7be379430001e686ac</t>
        </is>
      </c>
      <c r="J412" t="inlineStr">
        <is>
          <t/>
        </is>
      </c>
      <c r="K412" t="n">
        <v>0.0</v>
      </c>
      <c r="L412" t="n">
        <v>0.0</v>
      </c>
      <c r="M412" t="n">
        <v>8.0</v>
      </c>
      <c r="N412" t="n">
        <v>0.25</v>
      </c>
      <c r="O412" t="n">
        <v>7.0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inlineStr">
        <is>
          <t/>
        </is>
      </c>
      <c r="X412" t="n">
        <v>0.0</v>
      </c>
      <c r="Y412" t="n">
        <v>1.0</v>
      </c>
      <c r="Z412" t="n">
        <v>0.0</v>
      </c>
      <c r="AA412" t="n">
        <v>0.0</v>
      </c>
      <c r="AB412" t="n">
        <v>0.0</v>
      </c>
      <c r="AC412" t="n">
        <v>0.0</v>
      </c>
      <c r="AD412" t="n">
        <v>32.0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8.9375</v>
      </c>
      <c r="AL412" t="inlineStr">
        <is>
          <t/>
        </is>
      </c>
    </row>
    <row r="413">
      <c r="A413" t="inlineStr">
        <is>
          <t>99%的南方人都没吃过的北极甜虾你吃过吗</t>
        </is>
      </c>
      <c r="B413" t="inlineStr">
        <is>
          <t>6969f715000000000b00baef</t>
        </is>
      </c>
      <c r="C413" s="412" t="n">
        <f>HYPERLINK("https://www.xiaohongshu.com/explore/6969f715000000000b00baef?xsec_token=TBrfrRU4wM2w5bDKUviah5T-W9Hq5cH3-Hs-_19CceRQA=&amp;xsec_source=pc_trdark","https://www.xiaohongshu.com/explore/6969f715000000000b00baef?xsec_token=TBrfrRU4wM2w5bDKUviah5T-W9Hq5cH3-Hs-_19CceRQA=&amp;xsec_source=pc_trdark")</f>
        <v>0.0</v>
      </c>
      <c r="D413" t="inlineStr">
        <is>
          <t>鲜水湾甄选</t>
        </is>
      </c>
      <c r="E413" t="inlineStr">
        <is>
          <t>27401929161</t>
        </is>
      </c>
      <c r="F413" t="inlineStr">
        <is>
          <t>2026-01-16 16:30:13</t>
        </is>
      </c>
      <c r="G413" t="inlineStr">
        <is>
          <t>视频</t>
        </is>
      </c>
      <c r="H413" t="inlineStr">
        <is>
          <t>北极甜虾头籽甜虾元宝虾北极熊冰虾孕妈妈宝宝辅食顺丰</t>
        </is>
      </c>
      <c r="I413" t="inlineStr">
        <is>
          <t>6953717eb8f0bb000115158d</t>
        </is>
      </c>
      <c r="J413" t="n">
        <v>46.0</v>
      </c>
      <c r="K413" t="n">
        <v>0.0</v>
      </c>
      <c r="L413" t="n">
        <v>0.0</v>
      </c>
      <c r="M413" t="n">
        <v>1.0</v>
      </c>
      <c r="N413" t="n">
        <v>0.03125</v>
      </c>
      <c r="O413" t="n">
        <v>1.0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inlineStr">
        <is>
          <t/>
        </is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32.0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8.09375</v>
      </c>
      <c r="AL413" t="inlineStr">
        <is>
          <t>0.058823529411764705</t>
        </is>
      </c>
    </row>
    <row r="414">
      <c r="A414" t="inlineStr">
        <is>
          <t>用生蚝下个面，也太过瘾了吧！涮锅也好吃！</t>
        </is>
      </c>
      <c r="B414" t="inlineStr">
        <is>
          <t>691a7b380000000007021be5</t>
        </is>
      </c>
      <c r="C414" s="413" t="n">
        <f>HYPERLINK("https://www.xiaohongshu.com/explore/691a7b380000000007021be5?xsec_token=TB7_xX17zVvyJQL8hbcdzoILpsC0BUfoexbMLpoY2g7Gk=&amp;xsec_source=pc_trdark","https://www.xiaohongshu.com/explore/691a7b380000000007021be5?xsec_token=TB7_xX17zVvyJQL8hbcdzoILpsC0BUfoexbMLpoY2g7Gk=&amp;xsec_source=pc_trdark")</f>
        <v>0.0</v>
      </c>
      <c r="D414" t="inlineStr">
        <is>
          <t>婉婉上班吃什么</t>
        </is>
      </c>
      <c r="E414" t="inlineStr">
        <is>
          <t>11434449706</t>
        </is>
      </c>
      <c r="F414" t="inlineStr">
        <is>
          <t>2025-11-17 10:32:41</t>
        </is>
      </c>
      <c r="G414" t="inlineStr">
        <is>
          <t>视频</t>
        </is>
      </c>
      <c r="H414" t="inlineStr">
        <is>
          <t>生蚝乳山生蚝海蛎子顺丰包邮</t>
        </is>
      </c>
      <c r="I414" t="inlineStr">
        <is>
          <t>690c70971b787900010866cc</t>
        </is>
      </c>
      <c r="J414" t="n">
        <v>60.0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inlineStr">
        <is>
          <t/>
        </is>
      </c>
      <c r="R414" t="inlineStr">
        <is>
          <t/>
        </is>
      </c>
      <c r="S414" t="n">
        <v>0.0</v>
      </c>
      <c r="T414" t="n">
        <v>0.0</v>
      </c>
      <c r="U414" t="n">
        <v>0.0</v>
      </c>
      <c r="V414" t="n">
        <v>0.0</v>
      </c>
      <c r="W414" t="inlineStr">
        <is>
          <t/>
        </is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32.0</v>
      </c>
      <c r="AE414" t="n">
        <v>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3.21875</v>
      </c>
      <c r="AL414" t="n">
        <v>0.0</v>
      </c>
    </row>
    <row r="415">
      <c r="A415" t="inlineStr">
        <is>
          <t>和⛰️姆说拜拜了，还是小包装更适合独居人</t>
        </is>
      </c>
      <c r="B415" t="inlineStr">
        <is>
          <t>69f202ce000000003503ba47</t>
        </is>
      </c>
      <c r="C415" s="414" t="n">
        <f>HYPERLINK("https://www.xiaohongshu.com/explore/69f202ce000000003503ba47?xsec_token=TBvWHBo3-qwEN9bVc9g-yUNf5IqE3ReAnAcMZ8j5_yQEs=&amp;xsec_source=pc_trdark","https://www.xiaohongshu.com/explore/69f202ce000000003503ba47?xsec_token=TBvWHBo3-qwEN9bVc9g-yUNf5IqE3ReAnAcMZ8j5_yQEs=&amp;xsec_source=pc_trdark")</f>
        <v>0.0</v>
      </c>
      <c r="D415" t="inlineStr">
        <is>
          <t>鲜水湾甄选</t>
        </is>
      </c>
      <c r="E415" t="inlineStr">
        <is>
          <t>27401929161</t>
        </is>
      </c>
      <c r="F415" t="inlineStr">
        <is>
          <t>2026-04-29 21:08:30</t>
        </is>
      </c>
      <c r="G415" t="inlineStr">
        <is>
          <t>图文</t>
        </is>
      </c>
      <c r="H415" t="inlineStr">
        <is>
          <t>手剥虾仁 无冰衣无添加 低脂餐一人食 上班带饭 顺丰包邮 5盒装</t>
        </is>
      </c>
      <c r="I415" t="inlineStr">
        <is>
          <t>694baba01d450d00013662f0</t>
        </is>
      </c>
      <c r="J415" t="inlineStr">
        <is>
          <t/>
        </is>
      </c>
      <c r="K415" t="n">
        <v>0.0</v>
      </c>
      <c r="L415" t="n">
        <v>0.0</v>
      </c>
      <c r="M415" t="n">
        <v>2.0</v>
      </c>
      <c r="N415" t="inlineStr">
        <is>
          <t>0.06451612903225806</t>
        </is>
      </c>
      <c r="O415" t="n">
        <v>2.0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inlineStr">
        <is>
          <t/>
        </is>
      </c>
      <c r="X415" t="n">
        <v>0.0</v>
      </c>
      <c r="Y415" t="n">
        <v>0.0</v>
      </c>
      <c r="Z415" t="n">
        <v>1.0</v>
      </c>
      <c r="AA415" t="n">
        <v>0.0</v>
      </c>
      <c r="AB415" t="n">
        <v>0.0</v>
      </c>
      <c r="AC415" t="n">
        <v>0.0</v>
      </c>
      <c r="AD415" t="n">
        <v>31.0</v>
      </c>
      <c r="AE415" t="n">
        <v>0.0</v>
      </c>
      <c r="AF415" t="n">
        <v>0.0</v>
      </c>
      <c r="AG415" t="n">
        <v>0.0</v>
      </c>
      <c r="AH415" t="n">
        <v>2.0</v>
      </c>
      <c r="AI415" t="n">
        <v>0.0</v>
      </c>
      <c r="AJ415" t="n">
        <v>0.0</v>
      </c>
      <c r="AK415" t="n">
        <v>7.838709677419355</v>
      </c>
      <c r="AL415" t="inlineStr">
        <is>
          <t/>
        </is>
      </c>
    </row>
    <row r="416">
      <c r="A416" t="inlineStr">
        <is>
          <t>建议十二月狠狠吃生蚝，40+一箱的生蚝真嫩~</t>
        </is>
      </c>
      <c r="B416" t="inlineStr">
        <is>
          <t>693a3eff000000001d03cdbe</t>
        </is>
      </c>
      <c r="C416" s="415" t="n">
        <f>HYPERLINK("https://www.xiaohongshu.com/explore/693a3eff000000001d03cdbe?xsec_token=TBSe-eT4tPFhzXSmwZAcjHHzmieHTnjkTL_S03ZMh_jG0=&amp;xsec_source=pc_trdark","https://www.xiaohongshu.com/explore/693a3eff000000001d03cdbe?xsec_token=TBSe-eT4tPFhzXSmwZAcjHHzmieHTnjkTL_S03ZMh_jG0=&amp;xsec_source=pc_trdark")</f>
        <v>0.0</v>
      </c>
      <c r="D416" t="inlineStr">
        <is>
          <t>婉婉上班吃什么</t>
        </is>
      </c>
      <c r="E416" t="inlineStr">
        <is>
          <t>11434449706</t>
        </is>
      </c>
      <c r="F416" t="inlineStr">
        <is>
          <t>2025-12-11 11:48:15</t>
        </is>
      </c>
      <c r="G416" t="inlineStr">
        <is>
          <t>视频</t>
        </is>
      </c>
      <c r="H416" t="inlineStr">
        <is>
          <t>生蚝乳山生蚝海蛎子顺丰包邮</t>
        </is>
      </c>
      <c r="I416" t="inlineStr">
        <is>
          <t>690c70971b787900010866cc</t>
        </is>
      </c>
      <c r="J416" t="n">
        <v>25.0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inlineStr">
        <is>
          <t/>
        </is>
      </c>
      <c r="R416" t="inlineStr">
        <is>
          <t/>
        </is>
      </c>
      <c r="S416" t="n">
        <v>0.0</v>
      </c>
      <c r="T416" t="n">
        <v>0.0</v>
      </c>
      <c r="U416" t="n">
        <v>0.0</v>
      </c>
      <c r="V416" t="n">
        <v>0.0</v>
      </c>
      <c r="W416" t="inlineStr">
        <is>
          <t/>
        </is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31.0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4.967741935483871</v>
      </c>
      <c r="AL416" t="inlineStr">
        <is>
          <t>0.029411764705882353</t>
        </is>
      </c>
    </row>
    <row r="417">
      <c r="A417" t="inlineStr">
        <is>
          <t>在鲜水湾买的整条三文鱼…</t>
        </is>
      </c>
      <c r="B417" t="inlineStr">
        <is>
          <t>692d40f7000000001e035d9c</t>
        </is>
      </c>
      <c r="C417" s="416" t="n">
        <f>HYPERLINK("https://www.xiaohongshu.com/explore/692d40f7000000001e035d9c?xsec_token=TBOFwnatFKqkrDgIPXNtNGvyrJ-V0NOOSGiFXyf08rjmw=&amp;xsec_source=pc_trdark","https://www.xiaohongshu.com/explore/692d40f7000000001e035d9c?xsec_token=TBOFwnatFKqkrDgIPXNtNGvyrJ-V0NOOSGiFXyf08rjmw=&amp;xsec_source=pc_trdark")</f>
        <v>0.0</v>
      </c>
      <c r="D417" t="inlineStr">
        <is>
          <t>鲜水湾</t>
        </is>
      </c>
      <c r="E417" t="inlineStr">
        <is>
          <t>49316638994</t>
        </is>
      </c>
      <c r="F417" t="inlineStr">
        <is>
          <t>2025-12-01 15:17:11</t>
        </is>
      </c>
      <c r="G417" t="inlineStr">
        <is>
          <t>图文</t>
        </is>
      </c>
      <c r="H417" t="inlineStr">
        <is>
          <t>智利三文鱼切块·整条三文鱼·深海鱼一人食健康饮食</t>
        </is>
      </c>
      <c r="I417" t="inlineStr">
        <is>
          <t>691ac562a524ee0001b51d7b</t>
        </is>
      </c>
      <c r="J417" t="inlineStr">
        <is>
          <t/>
        </is>
      </c>
      <c r="K417" t="n">
        <v>0.0</v>
      </c>
      <c r="L417" t="n">
        <v>0.0</v>
      </c>
      <c r="M417" t="n">
        <v>4.0</v>
      </c>
      <c r="N417" t="inlineStr">
        <is>
          <t>0.12903225806451613</t>
        </is>
      </c>
      <c r="O417" t="n">
        <v>3.0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inlineStr">
        <is>
          <t/>
        </is>
      </c>
      <c r="X417" t="n">
        <v>0.0</v>
      </c>
      <c r="Y417" t="n">
        <v>0.0</v>
      </c>
      <c r="Z417" t="n">
        <v>1.0</v>
      </c>
      <c r="AA417" t="n">
        <v>0.0</v>
      </c>
      <c r="AB417" t="n">
        <v>0.0</v>
      </c>
      <c r="AC417" t="n">
        <v>0.0</v>
      </c>
      <c r="AD417" t="n">
        <v>31.0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13.03225806451613</v>
      </c>
      <c r="AL417" t="inlineStr">
        <is>
          <t/>
        </is>
      </c>
    </row>
    <row r="418">
      <c r="A418" t="inlineStr">
        <is>
          <t>谁懂啊？sam不知道小份装虾仁的快乐啊！</t>
        </is>
      </c>
      <c r="B418" t="inlineStr">
        <is>
          <t>69e721aa00000000230211f1</t>
        </is>
      </c>
      <c r="C418" s="417" t="n">
        <f>HYPERLINK("https://www.xiaohongshu.com/explore/69e721aa00000000230211f1?xsec_token=TBxJD1S06w8M0Ib6UdHEwWiAbIO3XMKt-HqTi4diRwqwM=&amp;xsec_source=pc_trdark","https://www.xiaohongshu.com/explore/69e721aa00000000230211f1?xsec_token=TBxJD1S06w8M0Ib6UdHEwWiAbIO3XMKt-HqTi4diRwqwM=&amp;xsec_source=pc_trdark")</f>
        <v>0.0</v>
      </c>
      <c r="D418" t="inlineStr">
        <is>
          <t>鲜水湾甄选</t>
        </is>
      </c>
      <c r="E418" t="inlineStr">
        <is>
          <t>27401929161</t>
        </is>
      </c>
      <c r="F418" t="inlineStr">
        <is>
          <t>2026-04-22 09:30:00</t>
        </is>
      </c>
      <c r="G418" t="inlineStr">
        <is>
          <t>图文</t>
        </is>
      </c>
      <c r="H418" t="inlineStr">
        <is>
          <t>手剥虾仁 无冰衣无添加 低脂餐一人食 上班带饭 顺丰包邮 5盒装</t>
        </is>
      </c>
      <c r="I418" t="inlineStr">
        <is>
          <t>694baba01d450d00013662f0</t>
        </is>
      </c>
      <c r="J418" t="inlineStr">
        <is>
          <t/>
        </is>
      </c>
      <c r="K418" t="n">
        <v>0.0</v>
      </c>
      <c r="L418" t="n">
        <v>0.0</v>
      </c>
      <c r="M418" t="n">
        <v>7.0</v>
      </c>
      <c r="N418" t="inlineStr">
        <is>
          <t>0.23333333333333334</t>
        </is>
      </c>
      <c r="O418" t="n">
        <v>5.0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inlineStr">
        <is>
          <t/>
        </is>
      </c>
      <c r="X418" t="n">
        <v>0.0</v>
      </c>
      <c r="Y418" t="n">
        <v>4.0</v>
      </c>
      <c r="Z418" t="n">
        <v>1.0</v>
      </c>
      <c r="AA418" t="n">
        <v>0.0</v>
      </c>
      <c r="AB418" t="n">
        <v>0.0</v>
      </c>
      <c r="AC418" t="n">
        <v>0.0</v>
      </c>
      <c r="AD418" t="n">
        <v>30.0</v>
      </c>
      <c r="AE418" t="n">
        <v>0.0</v>
      </c>
      <c r="AF418" t="n">
        <v>0.0</v>
      </c>
      <c r="AG418" t="n">
        <v>0.0</v>
      </c>
      <c r="AH418" t="n">
        <v>1.0</v>
      </c>
      <c r="AI418" t="n">
        <v>0.0</v>
      </c>
      <c r="AJ418" t="n">
        <v>0.0</v>
      </c>
      <c r="AK418" t="n">
        <v>11.233333333333333</v>
      </c>
      <c r="AL418" t="inlineStr">
        <is>
          <t/>
        </is>
      </c>
    </row>
    <row r="419">
      <c r="A419" t="inlineStr">
        <is>
          <t>开始春日减脂，69块直接承包我一周减脂餐</t>
        </is>
      </c>
      <c r="B419" t="inlineStr">
        <is>
          <t>69cbd4ed000000001f006cd9</t>
        </is>
      </c>
      <c r="C419" s="418" t="n">
        <f>HYPERLINK("https://www.xiaohongshu.com/explore/69cbd4ed000000001f006cd9?xsec_token=TBNvk7eB588c7ey-qUUMF7OezF_9sSWz6xHK1fbXkRuUk=&amp;xsec_source=pc_trdark","https://www.xiaohongshu.com/explore/69cbd4ed000000001f006cd9?xsec_token=TBNvk7eB588c7ey-qUUMF7OezF_9sSWz6xHK1fbXkRuUk=&amp;xsec_source=pc_trdark")</f>
        <v>0.0</v>
      </c>
      <c r="D419" t="inlineStr">
        <is>
          <t>菲菲上班吃什么</t>
        </is>
      </c>
      <c r="E419" t="inlineStr">
        <is>
          <t>49936530607</t>
        </is>
      </c>
      <c r="F419" t="inlineStr">
        <is>
          <t>2026-03-31 22:06:37</t>
        </is>
      </c>
      <c r="G419" t="inlineStr">
        <is>
          <t>图文</t>
        </is>
      </c>
      <c r="H419" t="inlineStr">
        <is>
          <t>手剥虾仁 无冰衣无添加 低脂餐一人食 上班带饭 顺丰包邮 5盒装</t>
        </is>
      </c>
      <c r="I419" t="inlineStr">
        <is>
          <t>694baba01d450d00013662f0</t>
        </is>
      </c>
      <c r="J419" t="inlineStr">
        <is>
          <t/>
        </is>
      </c>
      <c r="K419" t="n">
        <v>0.0</v>
      </c>
      <c r="L419" t="n">
        <v>0.0</v>
      </c>
      <c r="M419" t="n">
        <v>7.0</v>
      </c>
      <c r="N419" t="inlineStr">
        <is>
          <t>0.23333333333333334</t>
        </is>
      </c>
      <c r="O419" t="n">
        <v>7.0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inlineStr">
        <is>
          <t/>
        </is>
      </c>
      <c r="X419" t="n">
        <v>0.0</v>
      </c>
      <c r="Y419" t="n">
        <v>1.0</v>
      </c>
      <c r="Z419" t="n">
        <v>2.0</v>
      </c>
      <c r="AA419" t="n">
        <v>0.0</v>
      </c>
      <c r="AB419" t="n">
        <v>0.0</v>
      </c>
      <c r="AC419" t="n">
        <v>0.0</v>
      </c>
      <c r="AD419" t="n">
        <v>30.0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n">
        <v>12.3</v>
      </c>
      <c r="AL419" t="inlineStr">
        <is>
          <t/>
        </is>
      </c>
    </row>
    <row r="420">
      <c r="A420" t="inlineStr">
        <is>
          <t>100来块虾仁吃半个月，打工人带饭上班神器！</t>
        </is>
      </c>
      <c r="B420" t="inlineStr">
        <is>
          <t>69f2f826000000002202b826</t>
        </is>
      </c>
      <c r="C420" s="419" t="n">
        <f>HYPERLINK("https://www.xiaohongshu.com/explore/69f2f826000000002202b826?xsec_token=TBvWHBo3-qwEN9bVc9g-yUNR4NaNhgEvUhGqMqmqRrnP4=&amp;xsec_source=pc_trdark","https://www.xiaohongshu.com/explore/69f2f826000000002202b826?xsec_token=TBvWHBo3-qwEN9bVc9g-yUNR4NaNhgEvUhGqMqmqRrnP4=&amp;xsec_source=pc_trdark")</f>
        <v>0.0</v>
      </c>
      <c r="D420" t="inlineStr">
        <is>
          <t>菲菲上班吃什么</t>
        </is>
      </c>
      <c r="E420" t="inlineStr">
        <is>
          <t>49936530607</t>
        </is>
      </c>
      <c r="F420" t="inlineStr">
        <is>
          <t>2026-04-30 14:35:18</t>
        </is>
      </c>
      <c r="G420" t="inlineStr">
        <is>
          <t>图文</t>
        </is>
      </c>
      <c r="H420" t="inlineStr">
        <is>
          <t>手剥虾仁 无冰衣无添加 低脂餐一人食 上班带饭 顺丰包邮 5盒装</t>
        </is>
      </c>
      <c r="I420" t="inlineStr">
        <is>
          <t>694baba01d450d00013662f0</t>
        </is>
      </c>
      <c r="J420" t="inlineStr">
        <is>
          <t/>
        </is>
      </c>
      <c r="K420" t="n">
        <v>0.0</v>
      </c>
      <c r="L420" t="n">
        <v>0.0</v>
      </c>
      <c r="M420" t="n">
        <v>3.0</v>
      </c>
      <c r="N420" t="inlineStr">
        <is>
          <t>0.10344827586206896</t>
        </is>
      </c>
      <c r="O420" t="n">
        <v>3.0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inlineStr">
        <is>
          <t/>
        </is>
      </c>
      <c r="X420" t="n">
        <v>0.0</v>
      </c>
      <c r="Y420" t="n">
        <v>0.0</v>
      </c>
      <c r="Z420" t="n">
        <v>2.0</v>
      </c>
      <c r="AA420" t="n">
        <v>0.0</v>
      </c>
      <c r="AB420" t="n">
        <v>0.0</v>
      </c>
      <c r="AC420" t="n">
        <v>0.0</v>
      </c>
      <c r="AD420" t="n">
        <v>29.0</v>
      </c>
      <c r="AE420" t="n">
        <v>0.0</v>
      </c>
      <c r="AF420" t="n">
        <v>0.0</v>
      </c>
      <c r="AG420" t="n">
        <v>0.0</v>
      </c>
      <c r="AH420" t="n">
        <v>1.0</v>
      </c>
      <c r="AI420" t="n">
        <v>0.0</v>
      </c>
      <c r="AJ420" t="n">
        <v>0.0</v>
      </c>
      <c r="AK420" t="n">
        <v>15.793103448275861</v>
      </c>
      <c r="AL420" t="inlineStr">
        <is>
          <t/>
        </is>
      </c>
    </row>
    <row r="421">
      <c r="A421" t="inlineStr">
        <is>
          <t>夏天快来了，我决定花69吃一周轻食餐🍤</t>
        </is>
      </c>
      <c r="B421" t="inlineStr">
        <is>
          <t>69f1ad170000000035029b6d</t>
        </is>
      </c>
      <c r="C421" s="420" t="n">
        <f>HYPERLINK("https://www.xiaohongshu.com/explore/69f1ad170000000035029b6d?xsec_token=TBLt8Y96Ok9n09b_UIgIegbuaFtEn8d64cSgf-g5E8l9k=&amp;xsec_source=pc_trdark","https://www.xiaohongshu.com/explore/69f1ad170000000035029b6d?xsec_token=TBLt8Y96Ok9n09b_UIgIegbuaFtEn8d64cSgf-g5E8l9k=&amp;xsec_source=pc_trdark")</f>
        <v>0.0</v>
      </c>
      <c r="D421" t="inlineStr">
        <is>
          <t>鲜水湾甄选</t>
        </is>
      </c>
      <c r="E421" t="inlineStr">
        <is>
          <t>27401929161</t>
        </is>
      </c>
      <c r="F421" t="inlineStr">
        <is>
          <t>2026-04-29 15:02:47</t>
        </is>
      </c>
      <c r="G421" t="inlineStr">
        <is>
          <t>图文</t>
        </is>
      </c>
      <c r="H421" t="inlineStr">
        <is>
          <t>手剥虾仁 无冰衣无添加 低脂餐一人食 上班带饭 顺丰包邮 5盒装</t>
        </is>
      </c>
      <c r="I421" t="inlineStr">
        <is>
          <t>694baba01d450d00013662f0</t>
        </is>
      </c>
      <c r="J421" t="inlineStr">
        <is>
          <t/>
        </is>
      </c>
      <c r="K421" t="n">
        <v>69.0</v>
      </c>
      <c r="L421" t="n">
        <v>1.0</v>
      </c>
      <c r="M421" t="n">
        <v>4.0</v>
      </c>
      <c r="N421" t="inlineStr">
        <is>
          <t>0.13793103448275862</t>
        </is>
      </c>
      <c r="O421" t="n">
        <v>3.0</v>
      </c>
      <c r="P421" t="n">
        <v>1.0</v>
      </c>
      <c r="Q421" t="n">
        <v>0.25</v>
      </c>
      <c r="R421" t="n">
        <v>0.3333333333333333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1.0</v>
      </c>
      <c r="Z421" t="n">
        <v>4.0</v>
      </c>
      <c r="AA421" t="n">
        <v>0.0</v>
      </c>
      <c r="AB421" t="n">
        <v>0.0</v>
      </c>
      <c r="AC421" t="n">
        <v>0.0</v>
      </c>
      <c r="AD421" t="n">
        <v>29.0</v>
      </c>
      <c r="AE421" t="n">
        <v>2.0</v>
      </c>
      <c r="AF421" t="n">
        <v>0.0</v>
      </c>
      <c r="AG421" t="n">
        <v>0.0</v>
      </c>
      <c r="AH421" t="n">
        <v>1.0</v>
      </c>
      <c r="AI421" t="n">
        <v>0.0</v>
      </c>
      <c r="AJ421" t="n">
        <v>0.0</v>
      </c>
      <c r="AK421" t="n">
        <v>35.275862068965516</v>
      </c>
      <c r="AL421" t="inlineStr">
        <is>
          <t/>
        </is>
      </c>
    </row>
    <row r="422">
      <c r="A422" t="inlineStr">
        <is>
          <t>减脂期懒人福音，这个小份虾比某姆还懂我🥰</t>
        </is>
      </c>
      <c r="B422" t="inlineStr">
        <is>
          <t>69e987f10000000023010d9b</t>
        </is>
      </c>
      <c r="C422" s="421" t="n">
        <f>HYPERLINK("https://www.xiaohongshu.com/explore/69e987f10000000023010d9b?xsec_token=TBNkLc7pOHvt_5tNJTpGNllNsIBL90wn8cLSkUfLpBpDo=&amp;xsec_source=pc_trdark","https://www.xiaohongshu.com/explore/69e987f10000000023010d9b?xsec_token=TBNkLc7pOHvt_5tNJTpGNllNsIBL90wn8cLSkUfLpBpDo=&amp;xsec_source=pc_trdark")</f>
        <v>0.0</v>
      </c>
      <c r="D422" t="inlineStr">
        <is>
          <t>鲜水湾甄选</t>
        </is>
      </c>
      <c r="E422" t="inlineStr">
        <is>
          <t>27401929161</t>
        </is>
      </c>
      <c r="F422" t="inlineStr">
        <is>
          <t>2026-04-23 14:40:00</t>
        </is>
      </c>
      <c r="G422" t="inlineStr">
        <is>
          <t>图文</t>
        </is>
      </c>
      <c r="H422" t="inlineStr">
        <is>
          <t>手剥虾仁 无冰衣无添加 低脂餐一人食 上班带饭 顺丰包邮 5盒装</t>
        </is>
      </c>
      <c r="I422" t="inlineStr">
        <is>
          <t>694baba01d450d00013662f0</t>
        </is>
      </c>
      <c r="J422" t="inlineStr">
        <is>
          <t/>
        </is>
      </c>
      <c r="K422" t="n">
        <v>0.0</v>
      </c>
      <c r="L422" t="n">
        <v>0.0</v>
      </c>
      <c r="M422" t="n">
        <v>2.0</v>
      </c>
      <c r="N422" t="inlineStr">
        <is>
          <t>0.06896551724137931</t>
        </is>
      </c>
      <c r="O422" t="n">
        <v>2.0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inlineStr">
        <is>
          <t/>
        </is>
      </c>
      <c r="X422" t="n">
        <v>0.0</v>
      </c>
      <c r="Y422" t="n">
        <v>1.0</v>
      </c>
      <c r="Z422" t="n">
        <v>1.0</v>
      </c>
      <c r="AA422" t="n">
        <v>0.0</v>
      </c>
      <c r="AB422" t="n">
        <v>0.0</v>
      </c>
      <c r="AC422" t="n">
        <v>0.0</v>
      </c>
      <c r="AD422" t="n">
        <v>29.0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5.551724137931035</v>
      </c>
      <c r="AL422" t="inlineStr">
        <is>
          <t/>
        </is>
      </c>
    </row>
    <row r="423">
      <c r="A423" t="inlineStr">
        <is>
          <t>vocal…凭一己之力带动全办公室囤大虾</t>
        </is>
      </c>
      <c r="B423" t="inlineStr">
        <is>
          <t>69d2107c0000000023007868</t>
        </is>
      </c>
      <c r="C423" s="422" t="n">
        <f>HYPERLINK("https://www.xiaohongshu.com/explore/69d2107c0000000023007868?xsec_token=TBNrOxL8mRPP3W5KJU-iYJr6xz2xw6YL4PVCgxYWO-OUU=&amp;xsec_source=pc_trdark","https://www.xiaohongshu.com/explore/69d2107c0000000023007868?xsec_token=TBNrOxL8mRPP3W5KJU-iYJr6xz2xw6YL4PVCgxYWO-OUU=&amp;xsec_source=pc_trdark")</f>
        <v>0.0</v>
      </c>
      <c r="D423" t="inlineStr">
        <is>
          <t>菲菲上班吃什么</t>
        </is>
      </c>
      <c r="E423" t="inlineStr">
        <is>
          <t>49936530607</t>
        </is>
      </c>
      <c r="F423" t="inlineStr">
        <is>
          <t>2026-04-05 15:34:20</t>
        </is>
      </c>
      <c r="G423" t="inlineStr">
        <is>
          <t>图文</t>
        </is>
      </c>
      <c r="H423" t="inlineStr">
        <is>
          <t>大虾基围虾王牌大虾厄瓜多尔白虾盐冻虾仁海洋大虾送礼顺丰包邮</t>
        </is>
      </c>
      <c r="I423" t="inlineStr">
        <is>
          <t>690aeb7be379430001e686ac</t>
        </is>
      </c>
      <c r="J423" t="inlineStr">
        <is>
          <t/>
        </is>
      </c>
      <c r="K423" t="n">
        <v>0.0</v>
      </c>
      <c r="L423" t="n">
        <v>0.0</v>
      </c>
      <c r="M423" t="n">
        <v>3.0</v>
      </c>
      <c r="N423" t="inlineStr">
        <is>
          <t>0.10344827586206896</t>
        </is>
      </c>
      <c r="O423" t="n">
        <v>2.0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inlineStr">
        <is>
          <t/>
        </is>
      </c>
      <c r="X423" t="n">
        <v>0.0</v>
      </c>
      <c r="Y423" t="n">
        <v>0.0</v>
      </c>
      <c r="Z423" t="n">
        <v>1.0</v>
      </c>
      <c r="AA423" t="n">
        <v>0.0</v>
      </c>
      <c r="AB423" t="n">
        <v>0.0</v>
      </c>
      <c r="AC423" t="n">
        <v>0.0</v>
      </c>
      <c r="AD423" t="n">
        <v>29.0</v>
      </c>
      <c r="AE423" t="n">
        <v>1.0</v>
      </c>
      <c r="AF423" t="n">
        <v>0.0</v>
      </c>
      <c r="AG423" t="n">
        <v>0.0</v>
      </c>
      <c r="AH423" t="n">
        <v>1.0</v>
      </c>
      <c r="AI423" t="n">
        <v>0.0</v>
      </c>
      <c r="AJ423" t="n">
        <v>0.0</v>
      </c>
      <c r="AK423" t="n">
        <v>5.9655172413793105</v>
      </c>
      <c r="AL423" t="inlineStr">
        <is>
          <t/>
        </is>
      </c>
    </row>
    <row r="424">
      <c r="A424" t="inlineStr">
        <is>
          <t>泪水打湿控体餐！坚持so到100斤！</t>
        </is>
      </c>
      <c r="B424" t="inlineStr">
        <is>
          <t>69c92c4b000000001a037418</t>
        </is>
      </c>
      <c r="C424" s="423" t="n">
        <f>HYPERLINK("https://www.xiaohongshu.com/explore/69c92c4b000000001a037418?xsec_token=TBbpP5CiN94LtvLtPXlqbAxWUlSJdSlXbGwEKV-nC_i4Y=&amp;xsec_source=pc_trdark","https://www.xiaohongshu.com/explore/69c92c4b000000001a037418?xsec_token=TBbpP5CiN94LtvLtPXlqbAxWUlSJdSlXbGwEKV-nC_i4Y=&amp;xsec_source=pc_trdark")</f>
        <v>0.0</v>
      </c>
      <c r="D424" t="inlineStr">
        <is>
          <t>婉婉上班吃什么</t>
        </is>
      </c>
      <c r="E424" t="inlineStr">
        <is>
          <t>11434449706</t>
        </is>
      </c>
      <c r="F424" t="inlineStr">
        <is>
          <t>2026-03-29 21:42:35</t>
        </is>
      </c>
      <c r="G424" t="inlineStr">
        <is>
          <t>图文</t>
        </is>
      </c>
      <c r="H424" t="inlineStr">
        <is>
          <t>智利三文鱼切块·整条三文鱼·深海鱼一人食健康饮食</t>
        </is>
      </c>
      <c r="I424" t="inlineStr">
        <is>
          <t>691ac562a524ee0001b51d7b</t>
        </is>
      </c>
      <c r="J424" t="inlineStr">
        <is>
          <t/>
        </is>
      </c>
      <c r="K424" t="n">
        <v>118.0</v>
      </c>
      <c r="L424" t="n">
        <v>1.0</v>
      </c>
      <c r="M424" t="n">
        <v>5.0</v>
      </c>
      <c r="N424" t="n">
        <v>0.1724137931034483</v>
      </c>
      <c r="O424" t="n">
        <v>5.0</v>
      </c>
      <c r="P424" t="n">
        <v>1.0</v>
      </c>
      <c r="Q424" t="n">
        <v>0.2</v>
      </c>
      <c r="R424" t="n">
        <v>0.2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2.0</v>
      </c>
      <c r="Z424" t="n">
        <v>1.0</v>
      </c>
      <c r="AA424" t="n">
        <v>0.0</v>
      </c>
      <c r="AB424" t="n">
        <v>0.0</v>
      </c>
      <c r="AC424" t="n">
        <v>0.0</v>
      </c>
      <c r="AD424" t="n">
        <v>29.0</v>
      </c>
      <c r="AE424" t="n">
        <v>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8.758620689655173</v>
      </c>
      <c r="AL424" t="inlineStr">
        <is>
          <t/>
        </is>
      </c>
    </row>
    <row r="425">
      <c r="A425" t="inlineStr">
        <is>
          <t>感谢315🥹，让更多宝妈知道了咱家无添加虾仁</t>
        </is>
      </c>
      <c r="B425" t="inlineStr">
        <is>
          <t>69c396410000000023017924</t>
        </is>
      </c>
      <c r="C425" s="424" t="n">
        <f>HYPERLINK("https://www.xiaohongshu.com/explore/69c396410000000023017924?xsec_token=TBedSEQ7qtT06AlsylOAiUw6flfVHpUzyomzIzIbtRSWY=&amp;xsec_source=pc_trdark","https://www.xiaohongshu.com/explore/69c396410000000023017924?xsec_token=TBedSEQ7qtT06AlsylOAiUw6flfVHpUzyomzIzIbtRSWY=&amp;xsec_source=pc_trdark")</f>
        <v>0.0</v>
      </c>
      <c r="D425" t="inlineStr">
        <is>
          <t>鲜水湾</t>
        </is>
      </c>
      <c r="E425" t="inlineStr">
        <is>
          <t>49316638994</t>
        </is>
      </c>
      <c r="F425" t="inlineStr">
        <is>
          <t>2026-03-25 16:01:05</t>
        </is>
      </c>
      <c r="G425" t="inlineStr">
        <is>
          <t>图文</t>
        </is>
      </c>
      <c r="H425" t="inlineStr">
        <is>
          <t>手剥虾仁 无冰衣无添加 低脂餐一人食 上班带饭 顺丰包邮 5盒装</t>
        </is>
      </c>
      <c r="I425" t="inlineStr">
        <is>
          <t>694baba01d450d00013662f0</t>
        </is>
      </c>
      <c r="J425" t="inlineStr">
        <is>
          <t/>
        </is>
      </c>
      <c r="K425" t="n">
        <v>0.0</v>
      </c>
      <c r="L425" t="n">
        <v>0.0</v>
      </c>
      <c r="M425" t="n">
        <v>8.0</v>
      </c>
      <c r="N425" t="inlineStr">
        <is>
          <t>0.27586206896551724</t>
        </is>
      </c>
      <c r="O425" t="n">
        <v>7.0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inlineStr">
        <is>
          <t/>
        </is>
      </c>
      <c r="X425" t="n">
        <v>0.0</v>
      </c>
      <c r="Y425" t="n">
        <v>2.0</v>
      </c>
      <c r="Z425" t="n">
        <v>4.0</v>
      </c>
      <c r="AA425" t="n">
        <v>0.0</v>
      </c>
      <c r="AB425" t="n">
        <v>0.0</v>
      </c>
      <c r="AC425" t="n">
        <v>0.0</v>
      </c>
      <c r="AD425" t="n">
        <v>29.0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13.517241379310345</v>
      </c>
      <c r="AL425" t="inlineStr">
        <is>
          <t/>
        </is>
      </c>
    </row>
    <row r="426">
      <c r="A426" t="inlineStr">
        <is>
          <t>本以为69没多少，结果够我吃一星期的了</t>
        </is>
      </c>
      <c r="B426" t="inlineStr">
        <is>
          <t>69bd06fa0000000023006f02</t>
        </is>
      </c>
      <c r="C426" s="425" t="n">
        <f>HYPERLINK("https://www.xiaohongshu.com/explore/69bd06fa0000000023006f02?xsec_token=TBRwbx0S6Y78qN5wWC1_PyBNOpdHRWlZaKSmJ3CwPlXpY=&amp;xsec_source=pc_trdark","https://www.xiaohongshu.com/explore/69bd06fa0000000023006f02?xsec_token=TBRwbx0S6Y78qN5wWC1_PyBNOpdHRWlZaKSmJ3CwPlXpY=&amp;xsec_source=pc_trdark")</f>
        <v>0.0</v>
      </c>
      <c r="D426" t="inlineStr">
        <is>
          <t>菲菲上班吃什么</t>
        </is>
      </c>
      <c r="E426" t="inlineStr">
        <is>
          <t>49936530607</t>
        </is>
      </c>
      <c r="F426" t="inlineStr">
        <is>
          <t>2026-03-20 16:36:10</t>
        </is>
      </c>
      <c r="G426" t="inlineStr">
        <is>
          <t>图文</t>
        </is>
      </c>
      <c r="H426" t="inlineStr">
        <is>
          <t>手剥虾仁 无冰衣无添加 低脂餐一人食 上班带饭 顺丰包邮 5盒装</t>
        </is>
      </c>
      <c r="I426" t="inlineStr">
        <is>
          <t>694baba01d450d00013662f0</t>
        </is>
      </c>
      <c r="J426" t="inlineStr">
        <is>
          <t/>
        </is>
      </c>
      <c r="K426" t="n">
        <v>0.0</v>
      </c>
      <c r="L426" t="n">
        <v>0.0</v>
      </c>
      <c r="M426" t="n">
        <v>6.0</v>
      </c>
      <c r="N426" t="inlineStr">
        <is>
          <t>0.20689655172413793</t>
        </is>
      </c>
      <c r="O426" t="n">
        <v>5.0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inlineStr">
        <is>
          <t/>
        </is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29.0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12.172413793103448</v>
      </c>
      <c r="AL426" t="inlineStr">
        <is>
          <t/>
        </is>
      </c>
    </row>
    <row r="427">
      <c r="A427" t="inlineStr">
        <is>
          <t>59.9r到手5斤，大小一个价，喜欢的来尝尝</t>
        </is>
      </c>
      <c r="B427" t="inlineStr">
        <is>
          <t>69255a3e000000001e02599d</t>
        </is>
      </c>
      <c r="C427" s="426" t="n">
        <f>HYPERLINK("https://www.xiaohongshu.com/explore/69255a3e000000001e02599d?xsec_token=TBVx22ZAFho_bBgysCIliGP2XtefPNSKlizIM-CsqTrj0=&amp;xsec_source=pc_trdark","https://www.xiaohongshu.com/explore/69255a3e000000001e02599d?xsec_token=TBVx22ZAFho_bBgysCIliGP2XtefPNSKlizIM-CsqTrj0=&amp;xsec_source=pc_trdark")</f>
        <v>0.0</v>
      </c>
      <c r="D427" t="inlineStr">
        <is>
          <t>婉婉上班吃什么</t>
        </is>
      </c>
      <c r="E427" t="inlineStr">
        <is>
          <t>11434449706</t>
        </is>
      </c>
      <c r="F427" t="inlineStr">
        <is>
          <t>2025-11-25 15:26:54</t>
        </is>
      </c>
      <c r="G427" t="inlineStr">
        <is>
          <t>视频</t>
        </is>
      </c>
      <c r="H427" t="inlineStr">
        <is>
          <t>生蚝乳山生蚝海蛎子顺丰包邮</t>
        </is>
      </c>
      <c r="I427" t="inlineStr">
        <is>
          <t>690c70971b787900010866cc</t>
        </is>
      </c>
      <c r="J427" t="n">
        <v>28.0</v>
      </c>
      <c r="K427" t="n">
        <v>0.0</v>
      </c>
      <c r="L427" t="n">
        <v>0.0</v>
      </c>
      <c r="M427" t="n">
        <v>1.0</v>
      </c>
      <c r="N427" t="inlineStr">
        <is>
          <t>0.034482758620689655</t>
        </is>
      </c>
      <c r="O427" t="n">
        <v>1.0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inlineStr">
        <is>
          <t/>
        </is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29.0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9.827586206896552</v>
      </c>
      <c r="AL427" t="n">
        <v>0.125</v>
      </c>
    </row>
    <row r="428">
      <c r="A428" t="inlineStr">
        <is>
          <t>真的惊了，严重低估了69的购买力！</t>
        </is>
      </c>
      <c r="B428" t="inlineStr">
        <is>
          <t>69ef55f20000000035039e3b</t>
        </is>
      </c>
      <c r="C428" s="427" t="n">
        <f>HYPERLINK("https://www.xiaohongshu.com/explore/69ef55f20000000035039e3b?xsec_token=TB8YlxxIf2o_Xr_LAif13-vCBlT8m9svv8Tmad3XMG5NY=&amp;xsec_source=pc_trdark","https://www.xiaohongshu.com/explore/69ef55f20000000035039e3b?xsec_token=TB8YlxxIf2o_Xr_LAif13-vCBlT8m9svv8Tmad3XMG5NY=&amp;xsec_source=pc_trdark")</f>
        <v>0.0</v>
      </c>
      <c r="D428" t="inlineStr">
        <is>
          <t>鲜水湾甄选</t>
        </is>
      </c>
      <c r="E428" t="inlineStr">
        <is>
          <t>27401929161</t>
        </is>
      </c>
      <c r="F428" t="inlineStr">
        <is>
          <t>2026-04-27 20:26:26</t>
        </is>
      </c>
      <c r="G428" t="inlineStr">
        <is>
          <t>图文</t>
        </is>
      </c>
      <c r="H428" t="inlineStr">
        <is>
          <t>手剥虾仁 无冰衣无添加 低脂餐一人食 上班带饭 顺丰包邮 5盒装</t>
        </is>
      </c>
      <c r="I428" t="inlineStr">
        <is>
          <t>694baba01d450d00013662f0</t>
        </is>
      </c>
      <c r="J428" t="inlineStr">
        <is>
          <t/>
        </is>
      </c>
      <c r="K428" t="n">
        <v>0.0</v>
      </c>
      <c r="L428" t="n">
        <v>0.0</v>
      </c>
      <c r="M428" t="n">
        <v>8.0</v>
      </c>
      <c r="N428" t="n">
        <v>0.2857142857142857</v>
      </c>
      <c r="O428" t="n">
        <v>8.0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inlineStr">
        <is>
          <t/>
        </is>
      </c>
      <c r="X428" t="n">
        <v>0.0</v>
      </c>
      <c r="Y428" t="n">
        <v>2.0</v>
      </c>
      <c r="Z428" t="n">
        <v>0.0</v>
      </c>
      <c r="AA428" t="n">
        <v>0.0</v>
      </c>
      <c r="AB428" t="n">
        <v>0.0</v>
      </c>
      <c r="AC428" t="n">
        <v>0.0</v>
      </c>
      <c r="AD428" t="n">
        <v>28.0</v>
      </c>
      <c r="AE428" t="n">
        <v>0.0</v>
      </c>
      <c r="AF428" t="n">
        <v>0.0</v>
      </c>
      <c r="AG428" t="n">
        <v>0.0</v>
      </c>
      <c r="AH428" t="n">
        <v>1.0</v>
      </c>
      <c r="AI428" t="n">
        <v>0.0</v>
      </c>
      <c r="AJ428" t="n">
        <v>0.0</v>
      </c>
      <c r="AK428" t="n">
        <v>13.607142857142858</v>
      </c>
      <c r="AL428" t="inlineStr">
        <is>
          <t/>
        </is>
      </c>
    </row>
    <row r="429">
      <c r="A429" t="inlineStr">
        <is>
          <t>不夸张，我在xhs买的虾仁从未失手过</t>
        </is>
      </c>
      <c r="B429" t="inlineStr">
        <is>
          <t>69ec68bc000000001f005460</t>
        </is>
      </c>
      <c r="C429" s="428" t="n">
        <f>HYPERLINK("https://www.xiaohongshu.com/explore/69ec68bc000000001f005460?xsec_token=TBnoSF_--XRDuLtfF77lVqP3eCjujChQ7mmJVobgE1FK8=&amp;xsec_source=pc_trdark","https://www.xiaohongshu.com/explore/69ec68bc000000001f005460?xsec_token=TBnoSF_--XRDuLtfF77lVqP3eCjujChQ7mmJVobgE1FK8=&amp;xsec_source=pc_trdark")</f>
        <v>0.0</v>
      </c>
      <c r="D429" t="inlineStr">
        <is>
          <t>婉婉上班吃什么</t>
        </is>
      </c>
      <c r="E429" t="inlineStr">
        <is>
          <t>11434449706</t>
        </is>
      </c>
      <c r="F429" t="inlineStr">
        <is>
          <t>2026-04-25 15:09:48</t>
        </is>
      </c>
      <c r="G429" t="inlineStr">
        <is>
          <t>图文</t>
        </is>
      </c>
      <c r="H429" t="inlineStr">
        <is>
          <t>手剥虾仁 无冰衣无添加 低脂餐一人食 上班带饭 顺丰包邮 5盒装</t>
        </is>
      </c>
      <c r="I429" t="inlineStr">
        <is>
          <t>694baba01d450d00013662f0</t>
        </is>
      </c>
      <c r="J429" t="inlineStr">
        <is>
          <t/>
        </is>
      </c>
      <c r="K429" t="n">
        <v>0.0</v>
      </c>
      <c r="L429" t="n">
        <v>0.0</v>
      </c>
      <c r="M429" t="n">
        <v>5.0</v>
      </c>
      <c r="N429" t="inlineStr">
        <is>
          <t>0.17857142857142858</t>
        </is>
      </c>
      <c r="O429" t="n">
        <v>5.0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inlineStr">
        <is>
          <t/>
        </is>
      </c>
      <c r="X429" t="n">
        <v>0.0</v>
      </c>
      <c r="Y429" t="n">
        <v>0.0</v>
      </c>
      <c r="Z429" t="n">
        <v>10.0</v>
      </c>
      <c r="AA429" t="n">
        <v>0.0</v>
      </c>
      <c r="AB429" t="n">
        <v>0.0</v>
      </c>
      <c r="AC429" t="n">
        <v>0.0</v>
      </c>
      <c r="AD429" t="n">
        <v>28.0</v>
      </c>
      <c r="AE429" t="n">
        <v>1.0</v>
      </c>
      <c r="AF429" t="n">
        <v>0.0</v>
      </c>
      <c r="AG429" t="n">
        <v>0.0</v>
      </c>
      <c r="AH429" t="n">
        <v>2.0</v>
      </c>
      <c r="AI429" t="n">
        <v>0.0</v>
      </c>
      <c r="AJ429" t="n">
        <v>0.0</v>
      </c>
      <c r="AK429" t="n">
        <v>6.25</v>
      </c>
      <c r="AL429" t="inlineStr">
        <is>
          <t/>
        </is>
      </c>
    </row>
    <row r="430">
      <c r="A430" t="inlineStr">
        <is>
          <t>瘦子同事带的饭一天比一天离谱…</t>
        </is>
      </c>
      <c r="B430" t="inlineStr">
        <is>
          <t>69cca8950000000023007bfe</t>
        </is>
      </c>
      <c r="C430" s="429" t="n">
        <f>HYPERLINK("https://www.xiaohongshu.com/explore/69cca8950000000023007bfe?xsec_token=TBmwaR-CbxUmnLfgemf1f-gtGco2_NCU7sF7v0WsOg3O4=&amp;xsec_source=pc_trdark","https://www.xiaohongshu.com/explore/69cca8950000000023007bfe?xsec_token=TBmwaR-CbxUmnLfgemf1f-gtGco2_NCU7sF7v0WsOg3O4=&amp;xsec_source=pc_trdark")</f>
        <v>0.0</v>
      </c>
      <c r="D430" t="inlineStr">
        <is>
          <t>婉婉上班吃什么</t>
        </is>
      </c>
      <c r="E430" t="inlineStr">
        <is>
          <t>11434449706</t>
        </is>
      </c>
      <c r="F430" t="inlineStr">
        <is>
          <t>2026-04-01 13:09:41</t>
        </is>
      </c>
      <c r="G430" t="inlineStr">
        <is>
          <t>图文</t>
        </is>
      </c>
      <c r="H430" t="inlineStr">
        <is>
          <t>手剥虾仁 无冰衣无添加 低脂餐一人食 上班带饭 顺丰包邮 5盒装</t>
        </is>
      </c>
      <c r="I430" t="inlineStr">
        <is>
          <t>694baba01d450d00013662f0</t>
        </is>
      </c>
      <c r="J430" t="inlineStr">
        <is>
          <t/>
        </is>
      </c>
      <c r="K430" t="n">
        <v>0.0</v>
      </c>
      <c r="L430" t="n">
        <v>0.0</v>
      </c>
      <c r="M430" t="n">
        <v>1.0</v>
      </c>
      <c r="N430" t="inlineStr">
        <is>
          <t>0.03571428571428571</t>
        </is>
      </c>
      <c r="O430" t="n">
        <v>1.0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inlineStr">
        <is>
          <t/>
        </is>
      </c>
      <c r="X430" t="n">
        <v>0.0</v>
      </c>
      <c r="Y430" t="n">
        <v>0.0</v>
      </c>
      <c r="Z430" t="n">
        <v>1.0</v>
      </c>
      <c r="AA430" t="n">
        <v>0.0</v>
      </c>
      <c r="AB430" t="n">
        <v>0.0</v>
      </c>
      <c r="AC430" t="n">
        <v>0.0</v>
      </c>
      <c r="AD430" t="n">
        <v>28.0</v>
      </c>
      <c r="AE430" t="n">
        <v>1.0</v>
      </c>
      <c r="AF430" t="n">
        <v>0.0</v>
      </c>
      <c r="AG430" t="n">
        <v>0.0</v>
      </c>
      <c r="AH430" t="n">
        <v>2.0</v>
      </c>
      <c r="AI430" t="n">
        <v>0.0</v>
      </c>
      <c r="AJ430" t="n">
        <v>0.0</v>
      </c>
      <c r="AK430" t="n">
        <v>7.857142857142857</v>
      </c>
      <c r="AL430" t="inlineStr">
        <is>
          <t/>
        </is>
      </c>
    </row>
    <row r="431">
      <c r="A431" t="inlineStr">
        <is>
          <t>别拿Sam和我比真的没有可比性😎</t>
        </is>
      </c>
      <c r="B431" t="inlineStr">
        <is>
          <t>69e871d4000000001e00e242</t>
        </is>
      </c>
      <c r="C431" s="430" t="n">
        <f>HYPERLINK("https://www.xiaohongshu.com/explore/69e871d4000000001e00e242?xsec_token=TBrsJGfbmdICsvnXoyd4QdRs_j4foCogDXpO52xU8r9oA=&amp;xsec_source=pc_trdark","https://www.xiaohongshu.com/explore/69e871d4000000001e00e242?xsec_token=TBrsJGfbmdICsvnXoyd4QdRs_j4foCogDXpO52xU8r9oA=&amp;xsec_source=pc_trdark")</f>
        <v>0.0</v>
      </c>
      <c r="D431" t="inlineStr">
        <is>
          <t>菲菲上班吃什么</t>
        </is>
      </c>
      <c r="E431" t="inlineStr">
        <is>
          <t>49936530607</t>
        </is>
      </c>
      <c r="F431" t="inlineStr">
        <is>
          <t>2026-04-23 10:30:00</t>
        </is>
      </c>
      <c r="G431" t="inlineStr">
        <is>
          <t>图文</t>
        </is>
      </c>
      <c r="H431" t="inlineStr">
        <is>
          <t>手剥虾仁 无冰衣无添加 低脂餐一人食 上班带饭 顺丰包邮 5盒装</t>
        </is>
      </c>
      <c r="I431" t="inlineStr">
        <is>
          <t>694baba01d450d00013662f0</t>
        </is>
      </c>
      <c r="J431" t="inlineStr">
        <is>
          <t/>
        </is>
      </c>
      <c r="K431" t="n">
        <v>0.0</v>
      </c>
      <c r="L431" t="n">
        <v>0.0</v>
      </c>
      <c r="M431" t="n">
        <v>4.0</v>
      </c>
      <c r="N431" t="inlineStr">
        <is>
          <t>0.14814814814814814</t>
        </is>
      </c>
      <c r="O431" t="n">
        <v>3.0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inlineStr">
        <is>
          <t/>
        </is>
      </c>
      <c r="X431" t="n">
        <v>0.0</v>
      </c>
      <c r="Y431" t="n">
        <v>1.0</v>
      </c>
      <c r="Z431" t="n">
        <v>1.0</v>
      </c>
      <c r="AA431" t="n">
        <v>0.0</v>
      </c>
      <c r="AB431" t="n">
        <v>0.0</v>
      </c>
      <c r="AC431" t="n">
        <v>0.0</v>
      </c>
      <c r="AD431" t="n">
        <v>27.0</v>
      </c>
      <c r="AE431" t="n">
        <v>0.0</v>
      </c>
      <c r="AF431" t="n">
        <v>0.0</v>
      </c>
      <c r="AG431" t="n">
        <v>0.0</v>
      </c>
      <c r="AH431" t="n">
        <v>2.0</v>
      </c>
      <c r="AI431" t="n">
        <v>0.0</v>
      </c>
      <c r="AJ431" t="n">
        <v>0.0</v>
      </c>
      <c r="AK431" t="n">
        <v>15.037037037037036</v>
      </c>
      <c r="AL431" t="inlineStr">
        <is>
          <t/>
        </is>
      </c>
    </row>
    <row r="432">
      <c r="A432" t="inlineStr">
        <is>
          <t>减脂期的快乐，来自于这个大虾仁！</t>
        </is>
      </c>
      <c r="B432" t="inlineStr">
        <is>
          <t>69eddafb00000000360010c7</t>
        </is>
      </c>
      <c r="C432" s="431" t="n">
        <f>HYPERLINK("https://www.xiaohongshu.com/explore/69eddafb00000000360010c7?xsec_token=TB3T22OHPTz18Ew6RRyYsIrKHj0VEgnvlICtA9zSfjxkU=&amp;xsec_source=pc_trdark","https://www.xiaohongshu.com/explore/69eddafb00000000360010c7?xsec_token=TB3T22OHPTz18Ew6RRyYsIrKHj0VEgnvlICtA9zSfjxkU=&amp;xsec_source=pc_trdark")</f>
        <v>0.0</v>
      </c>
      <c r="D432" t="inlineStr">
        <is>
          <t>鲜水湾甄选</t>
        </is>
      </c>
      <c r="E432" t="inlineStr">
        <is>
          <t>27401929161</t>
        </is>
      </c>
      <c r="F432" t="inlineStr">
        <is>
          <t>2026-04-26 17:29:31</t>
        </is>
      </c>
      <c r="G432" t="inlineStr">
        <is>
          <t>图文</t>
        </is>
      </c>
      <c r="H432" t="inlineStr">
        <is>
          <t>手剥虾仁 无冰衣无添加 低脂餐一人食 上班带饭 顺丰包邮 5盒装</t>
        </is>
      </c>
      <c r="I432" t="inlineStr">
        <is>
          <t>694baba01d450d00013662f0</t>
        </is>
      </c>
      <c r="J432" t="inlineStr">
        <is>
          <t/>
        </is>
      </c>
      <c r="K432" t="n">
        <v>0.0</v>
      </c>
      <c r="L432" t="n">
        <v>0.0</v>
      </c>
      <c r="M432" t="n">
        <v>2.0</v>
      </c>
      <c r="N432" t="inlineStr">
        <is>
          <t>0.07692307692307693</t>
        </is>
      </c>
      <c r="O432" t="n">
        <v>2.0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inlineStr">
        <is>
          <t/>
        </is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26.0</v>
      </c>
      <c r="AE432" t="n">
        <v>0.0</v>
      </c>
      <c r="AF432" t="n">
        <v>0.0</v>
      </c>
      <c r="AG432" t="n">
        <v>0.0</v>
      </c>
      <c r="AH432" t="n">
        <v>2.0</v>
      </c>
      <c r="AI432" t="n">
        <v>0.0</v>
      </c>
      <c r="AJ432" t="n">
        <v>0.0</v>
      </c>
      <c r="AK432" t="n">
        <v>9.076923076923077</v>
      </c>
      <c r="AL432" t="inlineStr">
        <is>
          <t/>
        </is>
      </c>
    </row>
    <row r="433">
      <c r="A433" t="inlineStr">
        <is>
          <t>减脂期的快乐，我只花了69块就拥有了！</t>
        </is>
      </c>
      <c r="B433" t="inlineStr">
        <is>
          <t>69e73a440000000021007e6f</t>
        </is>
      </c>
      <c r="C433" s="432" t="n">
        <f>HYPERLINK("https://www.xiaohongshu.com/explore/69e73a440000000021007e6f?xsec_token=TBxJD1S06w8M0Ib6UdHEwWiEteXzsKKm2EImQ04lHTT_g=&amp;xsec_source=pc_trdark","https://www.xiaohongshu.com/explore/69e73a440000000021007e6f?xsec_token=TBxJD1S06w8M0Ib6UdHEwWiEteXzsKKm2EImQ04lHTT_g=&amp;xsec_source=pc_trdark")</f>
        <v>0.0</v>
      </c>
      <c r="D433" t="inlineStr">
        <is>
          <t>鲜水湾甄选</t>
        </is>
      </c>
      <c r="E433" t="inlineStr">
        <is>
          <t>27401929161</t>
        </is>
      </c>
      <c r="F433" t="inlineStr">
        <is>
          <t>2026-04-22 15:30:00</t>
        </is>
      </c>
      <c r="G433" t="inlineStr">
        <is>
          <t>图文</t>
        </is>
      </c>
      <c r="H433" t="inlineStr">
        <is>
          <t>手剥虾仁 无冰衣无添加 低脂餐一人食 上班带饭 顺丰包邮 5盒装</t>
        </is>
      </c>
      <c r="I433" t="inlineStr">
        <is>
          <t>694baba01d450d00013662f0</t>
        </is>
      </c>
      <c r="J433" t="inlineStr">
        <is>
          <t/>
        </is>
      </c>
      <c r="K433" t="n">
        <v>0.0</v>
      </c>
      <c r="L433" t="n">
        <v>0.0</v>
      </c>
      <c r="M433" t="n">
        <v>3.0</v>
      </c>
      <c r="N433" t="inlineStr">
        <is>
          <t>0.11538461538461539</t>
        </is>
      </c>
      <c r="O433" t="n">
        <v>3.0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inlineStr">
        <is>
          <t/>
        </is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26.0</v>
      </c>
      <c r="AE433" t="n">
        <v>0.0</v>
      </c>
      <c r="AF433" t="n">
        <v>0.0</v>
      </c>
      <c r="AG433" t="n">
        <v>0.0</v>
      </c>
      <c r="AH433" t="n">
        <v>1.0</v>
      </c>
      <c r="AI433" t="n">
        <v>0.0</v>
      </c>
      <c r="AJ433" t="n">
        <v>0.0</v>
      </c>
      <c r="AK433" t="n">
        <v>5.538461538461538</v>
      </c>
      <c r="AL433" t="inlineStr">
        <is>
          <t/>
        </is>
      </c>
    </row>
    <row r="434">
      <c r="A434" t="inlineStr">
        <is>
          <t>爸妈对我于我每天吃一碗虾仁表示很奢侈…</t>
        </is>
      </c>
      <c r="B434" t="inlineStr">
        <is>
          <t>69bd624d000000002003b666</t>
        </is>
      </c>
      <c r="C434" s="433" t="n">
        <f>HYPERLINK("https://www.xiaohongshu.com/explore/69bd624d000000002003b666?xsec_token=TBRwbx0S6Y78qN5wWC1_PyBE4Oj0S4yC8EPQWHC1dRHn8=&amp;xsec_source=pc_trdark","https://www.xiaohongshu.com/explore/69bd624d000000002003b666?xsec_token=TBRwbx0S6Y78qN5wWC1_PyBE4Oj0S4yC8EPQWHC1dRHn8=&amp;xsec_source=pc_trdark")</f>
        <v>0.0</v>
      </c>
      <c r="D434" t="inlineStr">
        <is>
          <t>菲菲上班吃什么</t>
        </is>
      </c>
      <c r="E434" t="inlineStr">
        <is>
          <t>49936530607</t>
        </is>
      </c>
      <c r="F434" t="inlineStr">
        <is>
          <t>2026-03-20 23:05:49</t>
        </is>
      </c>
      <c r="G434" t="inlineStr">
        <is>
          <t>图文</t>
        </is>
      </c>
      <c r="H434" t="inlineStr">
        <is>
          <t>手剥虾仁 无冰衣无添加 低脂餐一人食 上班带饭 顺丰包邮 5盒装</t>
        </is>
      </c>
      <c r="I434" t="inlineStr">
        <is>
          <t>694baba01d450d00013662f0</t>
        </is>
      </c>
      <c r="J434" t="inlineStr">
        <is>
          <t/>
        </is>
      </c>
      <c r="K434" t="n">
        <v>0.0</v>
      </c>
      <c r="L434" t="n">
        <v>0.0</v>
      </c>
      <c r="M434" t="n">
        <v>2.0</v>
      </c>
      <c r="N434" t="inlineStr">
        <is>
          <t>0.07692307692307693</t>
        </is>
      </c>
      <c r="O434" t="n">
        <v>2.0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inlineStr">
        <is>
          <t/>
        </is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26.0</v>
      </c>
      <c r="AE434" t="n">
        <v>1.0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8.615384615384615</v>
      </c>
      <c r="AL434" t="inlineStr">
        <is>
          <t/>
        </is>
      </c>
    </row>
    <row r="435">
      <c r="A435" t="inlineStr">
        <is>
          <t>买了一整条三文鱼回家过年🧨</t>
        </is>
      </c>
      <c r="B435" t="inlineStr">
        <is>
          <t>698a9b64000000001a02c083</t>
        </is>
      </c>
      <c r="C435" s="434" t="n">
        <f>HYPERLINK("https://www.xiaohongshu.com/explore/698a9b64000000001a02c083?xsec_token=TBG0mKfxVH0N0QJz26OSUyhYFzyb4Pc8wYmcr0of-957U=&amp;xsec_source=pc_trdark","https://www.xiaohongshu.com/explore/698a9b64000000001a02c083?xsec_token=TBG0mKfxVH0N0QJz26OSUyhYFzyb4Pc8wYmcr0of-957U=&amp;xsec_source=pc_trdark")</f>
        <v>0.0</v>
      </c>
      <c r="D435" t="inlineStr">
        <is>
          <t>鲜水湾</t>
        </is>
      </c>
      <c r="E435" t="inlineStr">
        <is>
          <t>49316638994</t>
        </is>
      </c>
      <c r="F435" t="inlineStr">
        <is>
          <t>2026-02-10 10:43:48</t>
        </is>
      </c>
      <c r="G435" t="inlineStr">
        <is>
          <t>图文</t>
        </is>
      </c>
      <c r="H435" t="inlineStr">
        <is>
          <t>智利三文鱼切块·整条三文鱼·深海鱼一人食健康饮食</t>
        </is>
      </c>
      <c r="I435" t="inlineStr">
        <is>
          <t>691ac562a524ee0001b51d7b</t>
        </is>
      </c>
      <c r="J435" t="inlineStr">
        <is>
          <t/>
        </is>
      </c>
      <c r="K435" t="n">
        <v>0.0</v>
      </c>
      <c r="L435" t="n">
        <v>0.0</v>
      </c>
      <c r="M435" t="n">
        <v>2.0</v>
      </c>
      <c r="N435" t="inlineStr">
        <is>
          <t>0.07692307692307693</t>
        </is>
      </c>
      <c r="O435" t="n">
        <v>2.0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inlineStr">
        <is>
          <t/>
        </is>
      </c>
      <c r="X435" t="n">
        <v>0.0</v>
      </c>
      <c r="Y435" t="n">
        <v>0.0</v>
      </c>
      <c r="Z435" t="n">
        <v>3.0</v>
      </c>
      <c r="AA435" t="n">
        <v>0.0</v>
      </c>
      <c r="AB435" t="n">
        <v>0.0</v>
      </c>
      <c r="AC435" t="n">
        <v>0.0</v>
      </c>
      <c r="AD435" t="n">
        <v>26.0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11.423076923076923</v>
      </c>
      <c r="AL435" t="inlineStr">
        <is>
          <t/>
        </is>
      </c>
    </row>
    <row r="436">
      <c r="A436" t="inlineStr">
        <is>
          <t>青岛发过来的，被爸妈夸了一整天</t>
        </is>
      </c>
      <c r="B436" t="inlineStr">
        <is>
          <t>698937ad000000000b009bb0</t>
        </is>
      </c>
      <c r="C436" s="435" t="n">
        <f>HYPERLINK("https://www.xiaohongshu.com/explore/698937ad000000000b009bb0?xsec_token=TBeAeWMkLJ9etYlFDlK3pguRQ81OSHz-Arl4bPUNqa1vE=&amp;xsec_source=pc_trdark","https://www.xiaohongshu.com/explore/698937ad000000000b009bb0?xsec_token=TBeAeWMkLJ9etYlFDlK3pguRQ81OSHz-Arl4bPUNqa1vE=&amp;xsec_source=pc_trdark")</f>
        <v>0.0</v>
      </c>
      <c r="D436" t="inlineStr">
        <is>
          <t>鲜水湾甄选</t>
        </is>
      </c>
      <c r="E436" t="inlineStr">
        <is>
          <t>27401929161</t>
        </is>
      </c>
      <c r="F436" t="inlineStr">
        <is>
          <t>2026-02-09 09:26:06</t>
        </is>
      </c>
      <c r="G436" t="inlineStr">
        <is>
          <t>图文</t>
        </is>
      </c>
      <c r="H436" t="inlineStr">
        <is>
          <t>智利三文鱼切块·整条三文鱼·深海鱼一人食健康饮食</t>
        </is>
      </c>
      <c r="I436" t="inlineStr">
        <is>
          <t>691ac562a524ee0001b51d7b</t>
        </is>
      </c>
      <c r="J436" t="inlineStr">
        <is>
          <t/>
        </is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inlineStr">
        <is>
          <t/>
        </is>
      </c>
      <c r="R436" t="inlineStr">
        <is>
          <t/>
        </is>
      </c>
      <c r="S436" t="n">
        <v>0.0</v>
      </c>
      <c r="T436" t="n">
        <v>0.0</v>
      </c>
      <c r="U436" t="n">
        <v>0.0</v>
      </c>
      <c r="V436" t="n">
        <v>0.0</v>
      </c>
      <c r="W436" t="inlineStr">
        <is>
          <t/>
        </is>
      </c>
      <c r="X436" t="n">
        <v>0.0</v>
      </c>
      <c r="Y436" t="n">
        <v>0.0</v>
      </c>
      <c r="Z436" t="n">
        <v>1.0</v>
      </c>
      <c r="AA436" t="n">
        <v>0.0</v>
      </c>
      <c r="AB436" t="n">
        <v>0.0</v>
      </c>
      <c r="AC436" t="n">
        <v>0.0</v>
      </c>
      <c r="AD436" t="n">
        <v>26.0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5.923076923076923</v>
      </c>
      <c r="AL436" t="inlineStr">
        <is>
          <t/>
        </is>
      </c>
    </row>
    <row r="437">
      <c r="A437" t="inlineStr">
        <is>
          <t>孕妈妈可以放心吃的野生深海虾🦐</t>
        </is>
      </c>
      <c r="B437" t="inlineStr">
        <is>
          <t>696d8f8c000000000b008465</t>
        </is>
      </c>
      <c r="C437" s="436" t="n">
        <f>HYPERLINK("https://www.xiaohongshu.com/explore/696d8f8c000000000b008465?xsec_token=TBhBdCGGh1NnVPomuS6-J4Hz1XU76oCrEKAxts5lHzLJg=&amp;xsec_source=pc_trdark","https://www.xiaohongshu.com/explore/696d8f8c000000000b008465?xsec_token=TBhBdCGGh1NnVPomuS6-J4Hz1XU76oCrEKAxts5lHzLJg=&amp;xsec_source=pc_trdark")</f>
        <v>0.0</v>
      </c>
      <c r="D437" t="inlineStr">
        <is>
          <t>鲜水湾甄选</t>
        </is>
      </c>
      <c r="E437" t="inlineStr">
        <is>
          <t>27401929161</t>
        </is>
      </c>
      <c r="F437" t="inlineStr">
        <is>
          <t>2026-01-19 09:57:32</t>
        </is>
      </c>
      <c r="G437" t="inlineStr">
        <is>
          <t>视频</t>
        </is>
      </c>
      <c r="H437" t="inlineStr">
        <is>
          <t>北极甜虾头籽甜虾元宝虾北极熊冰虾孕妈妈宝宝辅食顺丰</t>
        </is>
      </c>
      <c r="I437" t="inlineStr">
        <is>
          <t>6953717eb8f0bb000115158d</t>
        </is>
      </c>
      <c r="J437" t="n">
        <v>38.0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inlineStr">
        <is>
          <t/>
        </is>
      </c>
      <c r="R437" t="inlineStr">
        <is>
          <t/>
        </is>
      </c>
      <c r="S437" t="n">
        <v>0.0</v>
      </c>
      <c r="T437" t="n">
        <v>0.0</v>
      </c>
      <c r="U437" t="n">
        <v>0.0</v>
      </c>
      <c r="V437" t="n">
        <v>0.0</v>
      </c>
      <c r="W437" t="inlineStr">
        <is>
          <t/>
        </is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26.0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12.615384615384615</v>
      </c>
      <c r="AL437" t="inlineStr">
        <is>
          <t>0.10714285714285714</t>
        </is>
      </c>
    </row>
    <row r="438">
      <c r="A438" t="inlineStr">
        <is>
          <t>生蚝一箱也是码头价，运费算我的！</t>
        </is>
      </c>
      <c r="B438" t="inlineStr">
        <is>
          <t>6916f793000000001b0218c5</t>
        </is>
      </c>
      <c r="C438" s="437" t="n">
        <f>HYPERLINK("https://www.xiaohongshu.com/explore/6916f793000000001b0218c5?xsec_token=TBHZiehrAOyLGw_5sWYDTDSWrChgb-eZfgntb9OL-2Tjw=&amp;xsec_source=pc_trdark","https://www.xiaohongshu.com/explore/6916f793000000001b0218c5?xsec_token=TBHZiehrAOyLGw_5sWYDTDSWrChgb-eZfgntb9OL-2Tjw=&amp;xsec_source=pc_trdark")</f>
        <v>0.0</v>
      </c>
      <c r="D438" t="inlineStr">
        <is>
          <t>婉婉上班吃什么</t>
        </is>
      </c>
      <c r="E438" t="inlineStr">
        <is>
          <t>11434449706</t>
        </is>
      </c>
      <c r="F438" t="inlineStr">
        <is>
          <t>2025-11-14 17:34:11</t>
        </is>
      </c>
      <c r="G438" t="inlineStr">
        <is>
          <t>视频</t>
        </is>
      </c>
      <c r="H438" t="inlineStr">
        <is>
          <t>生蚝乳山生蚝海蛎子顺丰包邮</t>
        </is>
      </c>
      <c r="I438" t="inlineStr">
        <is>
          <t>690c70971b787900010866cc</t>
        </is>
      </c>
      <c r="J438" t="n">
        <v>30.0</v>
      </c>
      <c r="K438" t="n">
        <v>0.0</v>
      </c>
      <c r="L438" t="n">
        <v>0.0</v>
      </c>
      <c r="M438" t="n">
        <v>3.0</v>
      </c>
      <c r="N438" t="inlineStr">
        <is>
          <t>0.11538461538461539</t>
        </is>
      </c>
      <c r="O438" t="n">
        <v>1.0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inlineStr">
        <is>
          <t/>
        </is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26.0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9.73076923076923</v>
      </c>
      <c r="AL438" t="inlineStr">
        <is>
          <t>0.07407407407407407</t>
        </is>
      </c>
    </row>
    <row r="439">
      <c r="A439" t="inlineStr">
        <is>
          <t>听教练的！健身爬坡的姐妹都去吃高蛋白</t>
        </is>
      </c>
      <c r="B439" t="inlineStr">
        <is>
          <t>69846671000000002801fca8</t>
        </is>
      </c>
      <c r="C439" s="438" t="n">
        <f>HYPERLINK("https://www.xiaohongshu.com/explore/69846671000000002801fca8?xsec_token=TBn0ftdrPlwv37Gn1tDFpAI8Oa4NzhM1ITZJXQqcQILNs=&amp;xsec_source=pc_trdark","https://www.xiaohongshu.com/explore/69846671000000002801fca8?xsec_token=TBn0ftdrPlwv37Gn1tDFpAI8Oa4NzhM1ITZJXQqcQILNs=&amp;xsec_source=pc_trdark")</f>
        <v>0.0</v>
      </c>
      <c r="D439" t="inlineStr">
        <is>
          <t>鲜水湾</t>
        </is>
      </c>
      <c r="E439" t="inlineStr">
        <is>
          <t>49316638994</t>
        </is>
      </c>
      <c r="F439" t="inlineStr">
        <is>
          <t>2026-02-05 17:44:17</t>
        </is>
      </c>
      <c r="G439" t="inlineStr">
        <is>
          <t>图文</t>
        </is>
      </c>
      <c r="H439" t="inlineStr">
        <is>
          <t>智利三文鱼切块·整条三文鱼·深海鱼一人食健康饮食</t>
        </is>
      </c>
      <c r="I439" t="inlineStr">
        <is>
          <t>691ac562a524ee0001b51d7b</t>
        </is>
      </c>
      <c r="J439" t="inlineStr">
        <is>
          <t/>
        </is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inlineStr">
        <is>
          <t/>
        </is>
      </c>
      <c r="R439" t="inlineStr">
        <is>
          <t/>
        </is>
      </c>
      <c r="S439" t="n">
        <v>0.0</v>
      </c>
      <c r="T439" t="n">
        <v>0.0</v>
      </c>
      <c r="U439" t="n">
        <v>0.0</v>
      </c>
      <c r="V439" t="n">
        <v>0.0</v>
      </c>
      <c r="W439" t="inlineStr">
        <is>
          <t/>
        </is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25.0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9.32</v>
      </c>
      <c r="AL439" t="inlineStr">
        <is>
          <t/>
        </is>
      </c>
    </row>
    <row r="440">
      <c r="A440" t="inlineStr">
        <is>
          <t>准爸爸吃完这一口又幸福了</t>
        </is>
      </c>
      <c r="B440" t="inlineStr">
        <is>
          <t>6942543a000000001f00d14c</t>
        </is>
      </c>
      <c r="C440" s="439" t="n">
        <f>HYPERLINK("https://www.xiaohongshu.com/explore/6942543a000000001f00d14c?xsec_token=TB0tDM60Z2n8tclFaINyevIV8AAGDWKFpC6kzdoIaSBkY=&amp;xsec_source=pc_trdark","https://www.xiaohongshu.com/explore/6942543a000000001f00d14c?xsec_token=TB0tDM60Z2n8tclFaINyevIV8AAGDWKFpC6kzdoIaSBkY=&amp;xsec_source=pc_trdark")</f>
        <v>0.0</v>
      </c>
      <c r="D440" t="inlineStr">
        <is>
          <t>婉婉上班吃什么</t>
        </is>
      </c>
      <c r="E440" t="inlineStr">
        <is>
          <t>11434449706</t>
        </is>
      </c>
      <c r="F440" t="inlineStr">
        <is>
          <t>2025-12-17 14:56:58</t>
        </is>
      </c>
      <c r="G440" t="inlineStr">
        <is>
          <t>视频</t>
        </is>
      </c>
      <c r="H440" t="inlineStr">
        <is>
          <t>生蚝乳山生蚝海蛎子顺丰包邮</t>
        </is>
      </c>
      <c r="I440" t="inlineStr">
        <is>
          <t>690c70971b787900010866cc</t>
        </is>
      </c>
      <c r="J440" t="n">
        <v>26.0</v>
      </c>
      <c r="K440" t="n">
        <v>0.0</v>
      </c>
      <c r="L440" t="n">
        <v>0.0</v>
      </c>
      <c r="M440" t="n">
        <v>2.0</v>
      </c>
      <c r="N440" t="n">
        <v>0.08</v>
      </c>
      <c r="O440" t="n">
        <v>2.0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inlineStr">
        <is>
          <t/>
        </is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25.0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9.44</v>
      </c>
      <c r="AL440" t="inlineStr">
        <is>
          <t>0.16666666666666666</t>
        </is>
      </c>
    </row>
    <row r="441">
      <c r="A441" t="inlineStr">
        <is>
          <t>不要低估50💰的购买力，敞开吃吧……</t>
        </is>
      </c>
      <c r="B441" t="inlineStr">
        <is>
          <t>6916f37a00000000050114f9</t>
        </is>
      </c>
      <c r="C441" s="440" t="n">
        <f>HYPERLINK("https://www.xiaohongshu.com/explore/6916f37a00000000050114f9?xsec_token=TBHZiehrAOyLGw_5sWYDTDSTqbGta5UKl_XO9bysarN8A=&amp;xsec_source=pc_trdark","https://www.xiaohongshu.com/explore/6916f37a00000000050114f9?xsec_token=TBHZiehrAOyLGw_5sWYDTDSTqbGta5UKl_XO9bysarN8A=&amp;xsec_source=pc_trdark")</f>
        <v>0.0</v>
      </c>
      <c r="D441" t="inlineStr">
        <is>
          <t>婉婉上班吃什么</t>
        </is>
      </c>
      <c r="E441" t="inlineStr">
        <is>
          <t>11434449706</t>
        </is>
      </c>
      <c r="F441" t="inlineStr">
        <is>
          <t>2025-11-14 18:16:26</t>
        </is>
      </c>
      <c r="G441" t="inlineStr">
        <is>
          <t>视频</t>
        </is>
      </c>
      <c r="H441" t="inlineStr">
        <is>
          <t>生蚝乳山生蚝海蛎子顺丰包邮</t>
        </is>
      </c>
      <c r="I441" t="inlineStr">
        <is>
          <t>690c70971b787900010866cc</t>
        </is>
      </c>
      <c r="J441" t="n">
        <v>23.0</v>
      </c>
      <c r="K441" t="n">
        <v>0.0</v>
      </c>
      <c r="L441" t="n">
        <v>0.0</v>
      </c>
      <c r="M441" t="n">
        <v>1.0</v>
      </c>
      <c r="N441" t="n">
        <v>0.04</v>
      </c>
      <c r="O441" t="n">
        <v>1.0</v>
      </c>
      <c r="P441" t="n">
        <v>0.0</v>
      </c>
      <c r="Q441" t="n">
        <v>0.0</v>
      </c>
      <c r="R441" t="n">
        <v>0.0</v>
      </c>
      <c r="S441" t="n">
        <v>109.9</v>
      </c>
      <c r="T441" t="n">
        <v>1.0</v>
      </c>
      <c r="U441" t="n">
        <v>1.0</v>
      </c>
      <c r="V441" t="n">
        <v>0.0</v>
      </c>
      <c r="W441" t="inlineStr">
        <is>
          <t/>
        </is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25.0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3.16</v>
      </c>
      <c r="AL441" t="n">
        <v>0.04</v>
      </c>
    </row>
    <row r="442">
      <c r="A442" t="inlineStr">
        <is>
          <t>这样是不是"精致穷"</t>
        </is>
      </c>
      <c r="B442" t="inlineStr">
        <is>
          <t>69e876960000000020039f02</t>
        </is>
      </c>
      <c r="C442" s="441" t="n">
        <f>HYPERLINK("https://www.xiaohongshu.com/explore/69e876960000000020039f02?xsec_token=TBrsJGfbmdICsvnXoyd4QdRp__hlKtFnfQl0E8eOBCb0k=&amp;xsec_source=pc_trdark","https://www.xiaohongshu.com/explore/69e876960000000020039f02?xsec_token=TBrsJGfbmdICsvnXoyd4QdRp__hlKtFnfQl0E8eOBCb0k=&amp;xsec_source=pc_trdark")</f>
        <v>0.0</v>
      </c>
      <c r="D442" t="inlineStr">
        <is>
          <t>菲菲上班吃什么</t>
        </is>
      </c>
      <c r="E442" t="inlineStr">
        <is>
          <t>49936530607</t>
        </is>
      </c>
      <c r="F442" t="inlineStr">
        <is>
          <t>2026-04-23 14:30:00</t>
        </is>
      </c>
      <c r="G442" t="inlineStr">
        <is>
          <t>图文</t>
        </is>
      </c>
      <c r="H442" t="inlineStr">
        <is>
          <t>手剥虾仁 无冰衣无添加 低脂餐一人食 上班带饭 顺丰包邮 5盒装</t>
        </is>
      </c>
      <c r="I442" t="inlineStr">
        <is>
          <t>694baba01d450d00013662f0</t>
        </is>
      </c>
      <c r="J442" t="inlineStr">
        <is>
          <t/>
        </is>
      </c>
      <c r="K442" t="n">
        <v>0.0</v>
      </c>
      <c r="L442" t="n">
        <v>0.0</v>
      </c>
      <c r="M442" t="n">
        <v>2.0</v>
      </c>
      <c r="N442" t="inlineStr">
        <is>
          <t>0.08333333333333333</t>
        </is>
      </c>
      <c r="O442" t="n">
        <v>2.0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inlineStr">
        <is>
          <t/>
        </is>
      </c>
      <c r="X442" t="n">
        <v>0.0</v>
      </c>
      <c r="Y442" t="n">
        <v>2.0</v>
      </c>
      <c r="Z442" t="n">
        <v>0.0</v>
      </c>
      <c r="AA442" t="n">
        <v>0.0</v>
      </c>
      <c r="AB442" t="n">
        <v>0.0</v>
      </c>
      <c r="AC442" t="n">
        <v>0.0</v>
      </c>
      <c r="AD442" t="n">
        <v>24.0</v>
      </c>
      <c r="AE442" t="n">
        <v>0.0</v>
      </c>
      <c r="AF442" t="n">
        <v>0.0</v>
      </c>
      <c r="AG442" t="n">
        <v>0.0</v>
      </c>
      <c r="AH442" t="n">
        <v>1.0</v>
      </c>
      <c r="AI442" t="n">
        <v>0.0</v>
      </c>
      <c r="AJ442" t="n">
        <v>0.0</v>
      </c>
      <c r="AK442" t="n">
        <v>12.875</v>
      </c>
      <c r="AL442" t="inlineStr">
        <is>
          <t/>
        </is>
      </c>
    </row>
    <row r="443">
      <c r="A443" t="inlineStr">
        <is>
          <t>别拿⛰️姆和我比，真的不够打！</t>
        </is>
      </c>
      <c r="B443" t="inlineStr">
        <is>
          <t>69e73dec000000001d018de6</t>
        </is>
      </c>
      <c r="C443" s="442" t="n">
        <f>HYPERLINK("https://www.xiaohongshu.com/explore/69e73dec000000001d018de6?xsec_token=TBxJD1S06w8M0Ib6UdHEwWiMT4ODSBggQAYF9WFRH6cwU=&amp;xsec_source=pc_trdark","https://www.xiaohongshu.com/explore/69e73dec000000001d018de6?xsec_token=TBxJD1S06w8M0Ib6UdHEwWiMT4ODSBggQAYF9WFRH6cwU=&amp;xsec_source=pc_trdark")</f>
        <v>0.0</v>
      </c>
      <c r="D443" t="inlineStr">
        <is>
          <t>鲜水湾甄选</t>
        </is>
      </c>
      <c r="E443" t="inlineStr">
        <is>
          <t>27401929161</t>
        </is>
      </c>
      <c r="F443" t="inlineStr">
        <is>
          <t>2026-04-22 16:30:00</t>
        </is>
      </c>
      <c r="G443" t="inlineStr">
        <is>
          <t>图文</t>
        </is>
      </c>
      <c r="H443" t="inlineStr">
        <is>
          <t>手剥虾仁 无冰衣无添加 低脂餐一人食 上班带饭 顺丰包邮 5盒装</t>
        </is>
      </c>
      <c r="I443" t="inlineStr">
        <is>
          <t>694baba01d450d00013662f0</t>
        </is>
      </c>
      <c r="J443" t="inlineStr">
        <is>
          <t/>
        </is>
      </c>
      <c r="K443" t="n">
        <v>0.0</v>
      </c>
      <c r="L443" t="n">
        <v>0.0</v>
      </c>
      <c r="M443" t="n">
        <v>1.0</v>
      </c>
      <c r="N443" t="inlineStr">
        <is>
          <t>0.041666666666666664</t>
        </is>
      </c>
      <c r="O443" t="n">
        <v>1.0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inlineStr">
        <is>
          <t/>
        </is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24.0</v>
      </c>
      <c r="AE443" t="n">
        <v>0.0</v>
      </c>
      <c r="AF443" t="n">
        <v>0.0</v>
      </c>
      <c r="AG443" t="n">
        <v>0.0</v>
      </c>
      <c r="AH443" t="n">
        <v>1.0</v>
      </c>
      <c r="AI443" t="n">
        <v>0.0</v>
      </c>
      <c r="AJ443" t="n">
        <v>0.0</v>
      </c>
      <c r="AK443" t="n">
        <v>7.0</v>
      </c>
      <c r="AL443" t="inlineStr">
        <is>
          <t/>
        </is>
      </c>
    </row>
    <row r="444">
      <c r="A444" t="inlineStr">
        <is>
          <t>这个练后餐我真的给到夯！</t>
        </is>
      </c>
      <c r="B444" t="inlineStr">
        <is>
          <t>69bb9b6a0000000023012ff1</t>
        </is>
      </c>
      <c r="C444" s="443" t="n">
        <f>HYPERLINK("https://www.xiaohongshu.com/explore/69bb9b6a0000000023012ff1?xsec_token=TBbjiHoA30T3IRnkbtYIm1O2jdzxCoWRDxquNwSr_l6G4=&amp;xsec_source=pc_trdark","https://www.xiaohongshu.com/explore/69bb9b6a0000000023012ff1?xsec_token=TBbjiHoA30T3IRnkbtYIm1O2jdzxCoWRDxquNwSr_l6G4=&amp;xsec_source=pc_trdark")</f>
        <v>0.0</v>
      </c>
      <c r="D444" t="inlineStr">
        <is>
          <t>鲜水湾甄选</t>
        </is>
      </c>
      <c r="E444" t="inlineStr">
        <is>
          <t>27401929161</t>
        </is>
      </c>
      <c r="F444" t="inlineStr">
        <is>
          <t>2026-03-19 14:44:58</t>
        </is>
      </c>
      <c r="G444" t="inlineStr">
        <is>
          <t>图文</t>
        </is>
      </c>
      <c r="H444" t="inlineStr">
        <is>
          <t>手剥虾仁 无冰衣无添加 低脂餐一人食 上班带饭 顺丰包邮 5盒装</t>
        </is>
      </c>
      <c r="I444" t="inlineStr">
        <is>
          <t>694baba01d450d00013662f0</t>
        </is>
      </c>
      <c r="J444" t="inlineStr">
        <is>
          <t/>
        </is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inlineStr">
        <is>
          <t/>
        </is>
      </c>
      <c r="R444" t="inlineStr">
        <is>
          <t/>
        </is>
      </c>
      <c r="S444" t="n">
        <v>0.0</v>
      </c>
      <c r="T444" t="n">
        <v>0.0</v>
      </c>
      <c r="U444" t="n">
        <v>0.0</v>
      </c>
      <c r="V444" t="n">
        <v>0.0</v>
      </c>
      <c r="W444" t="inlineStr">
        <is>
          <t/>
        </is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24.0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8.791666666666666</v>
      </c>
      <c r="AL444" t="inlineStr">
        <is>
          <t/>
        </is>
      </c>
    </row>
    <row r="445">
      <c r="A445" t="inlineStr">
        <is>
          <t>第一次对爬坡后吃快碳+蛋白起了敬意……</t>
        </is>
      </c>
      <c r="B445" t="inlineStr">
        <is>
          <t>69abf19e0000000022032f19</t>
        </is>
      </c>
      <c r="C445" s="444" t="n">
        <f>HYPERLINK("https://www.xiaohongshu.com/explore/69abf19e0000000022032f19?xsec_token=TBjk1R4L6FFMBESMYKkkhLfP4xlBSe6SOmPirq4V9Lu4M=&amp;xsec_source=pc_trdark","https://www.xiaohongshu.com/explore/69abf19e0000000022032f19?xsec_token=TBjk1R4L6FFMBESMYKkkhLfP4xlBSe6SOmPirq4V9Lu4M=&amp;xsec_source=pc_trdark")</f>
        <v>0.0</v>
      </c>
      <c r="D445" t="inlineStr">
        <is>
          <t>鲜水湾甄选</t>
        </is>
      </c>
      <c r="E445" t="inlineStr">
        <is>
          <t>27401929161</t>
        </is>
      </c>
      <c r="F445" t="inlineStr">
        <is>
          <t>2026-03-07 17:36:30</t>
        </is>
      </c>
      <c r="G445" t="inlineStr">
        <is>
          <t>图文</t>
        </is>
      </c>
      <c r="H445" t="inlineStr">
        <is>
          <t>手剥虾仁 无冰衣无添加 低脂餐一人食 上班带饭 顺丰包邮 5盒装</t>
        </is>
      </c>
      <c r="I445" t="inlineStr">
        <is>
          <t>694baba01d450d00013662f0</t>
        </is>
      </c>
      <c r="J445" t="inlineStr">
        <is>
          <t/>
        </is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inlineStr">
        <is>
          <t/>
        </is>
      </c>
      <c r="R445" t="inlineStr">
        <is>
          <t/>
        </is>
      </c>
      <c r="S445" t="n">
        <v>0.0</v>
      </c>
      <c r="T445" t="n">
        <v>0.0</v>
      </c>
      <c r="U445" t="n">
        <v>0.0</v>
      </c>
      <c r="V445" t="n">
        <v>0.0</v>
      </c>
      <c r="W445" t="inlineStr">
        <is>
          <t/>
        </is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24.0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7.416666666666667</v>
      </c>
      <c r="AL445" t="inlineStr">
        <is>
          <t/>
        </is>
      </c>
    </row>
    <row r="446">
      <c r="A446" t="inlineStr">
        <is>
          <t>不愧是10w网友认证过的乳山生蚝 ?太绝了！</t>
        </is>
      </c>
      <c r="B446" t="inlineStr">
        <is>
          <t>691a79eb0000000007021690</t>
        </is>
      </c>
      <c r="C446" s="445" t="n">
        <f>HYPERLINK("https://www.xiaohongshu.com/explore/691a79eb0000000007021690?xsec_token=TB7_xX17zVvyJQL8hbcdzoIH0Hg5sHUedXiVWPK2J0n74=&amp;xsec_source=pc_trdark","https://www.xiaohongshu.com/explore/691a79eb0000000007021690?xsec_token=TB7_xX17zVvyJQL8hbcdzoIH0Hg5sHUedXiVWPK2J0n74=&amp;xsec_source=pc_trdark")</f>
        <v>0.0</v>
      </c>
      <c r="D446" t="inlineStr">
        <is>
          <t>婉婉上班吃什么</t>
        </is>
      </c>
      <c r="E446" t="inlineStr">
        <is>
          <t>11434449706</t>
        </is>
      </c>
      <c r="F446" t="inlineStr">
        <is>
          <t>2025-11-17 09:27:07</t>
        </is>
      </c>
      <c r="G446" t="inlineStr">
        <is>
          <t>视频</t>
        </is>
      </c>
      <c r="H446" t="inlineStr">
        <is>
          <t>生蚝乳山生蚝海蛎子顺丰包邮</t>
        </is>
      </c>
      <c r="I446" t="inlineStr">
        <is>
          <t>690c70971b787900010866cc</t>
        </is>
      </c>
      <c r="J446" t="n">
        <v>25.0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inlineStr">
        <is>
          <t/>
        </is>
      </c>
      <c r="R446" t="inlineStr">
        <is>
          <t/>
        </is>
      </c>
      <c r="S446" t="n">
        <v>0.0</v>
      </c>
      <c r="T446" t="n">
        <v>0.0</v>
      </c>
      <c r="U446" t="n">
        <v>0.0</v>
      </c>
      <c r="V446" t="n">
        <v>0.0</v>
      </c>
      <c r="W446" t="inlineStr">
        <is>
          <t/>
        </is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24.0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6.833333333333333</v>
      </c>
      <c r="AL446" t="inlineStr">
        <is>
          <t>0.07407407407407407</t>
        </is>
      </c>
    </row>
    <row r="447">
      <c r="A447" t="inlineStr">
        <is>
          <t>从此西餐厅别想赚我一分钱！</t>
        </is>
      </c>
      <c r="B447" t="inlineStr">
        <is>
          <t>69a1b573000000001a0340c8</t>
        </is>
      </c>
      <c r="C447" s="446" t="n">
        <f>HYPERLINK("https://www.xiaohongshu.com/explore/69a1b573000000001a0340c8?xsec_token=TBk7Tu9foWGIsieMmGc2tlwncyOwrgcJ6OMGqntCl6zgg=&amp;xsec_source=pc_trdark","https://www.xiaohongshu.com/explore/69a1b573000000001a0340c8?xsec_token=TBk7Tu9foWGIsieMmGc2tlwncyOwrgcJ6OMGqntCl6zgg=&amp;xsec_source=pc_trdark")</f>
        <v>0.0</v>
      </c>
      <c r="D447" t="inlineStr">
        <is>
          <t>鲜水湾</t>
        </is>
      </c>
      <c r="E447" t="inlineStr">
        <is>
          <t>49316638994</t>
        </is>
      </c>
      <c r="F447" t="inlineStr">
        <is>
          <t>2026-02-27 23:17:07</t>
        </is>
      </c>
      <c r="G447" t="inlineStr">
        <is>
          <t>图文</t>
        </is>
      </c>
      <c r="H447" t="inlineStr">
        <is>
          <t>智利三文鱼切块·整条三文鱼·深海鱼一人食健康饮食</t>
        </is>
      </c>
      <c r="I447" t="inlineStr">
        <is>
          <t>691ac562a524ee0001b51d7b</t>
        </is>
      </c>
      <c r="J447" t="inlineStr">
        <is>
          <t/>
        </is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inlineStr">
        <is>
          <t/>
        </is>
      </c>
      <c r="R447" t="inlineStr">
        <is>
          <t/>
        </is>
      </c>
      <c r="S447" t="n">
        <v>0.0</v>
      </c>
      <c r="T447" t="n">
        <v>0.0</v>
      </c>
      <c r="U447" t="n">
        <v>0.0</v>
      </c>
      <c r="V447" t="n">
        <v>0.0</v>
      </c>
      <c r="W447" t="inlineStr">
        <is>
          <t/>
        </is>
      </c>
      <c r="X447" t="n">
        <v>0.0</v>
      </c>
      <c r="Y447" t="n">
        <v>0.0</v>
      </c>
      <c r="Z447" t="n">
        <v>1.0</v>
      </c>
      <c r="AA447" t="n">
        <v>0.0</v>
      </c>
      <c r="AB447" t="n">
        <v>0.0</v>
      </c>
      <c r="AC447" t="n">
        <v>0.0</v>
      </c>
      <c r="AD447" t="n">
        <v>23.0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7.260869565217392</v>
      </c>
      <c r="AL447" t="inlineStr">
        <is>
          <t/>
        </is>
      </c>
    </row>
    <row r="448">
      <c r="A448" t="inlineStr">
        <is>
          <t>同事都说我天天吃虾仁，看着好奢侈😅</t>
        </is>
      </c>
      <c r="B448" t="inlineStr">
        <is>
          <t>69f30527000000001a02cc0e</t>
        </is>
      </c>
      <c r="C448" s="447" t="n">
        <f>HYPERLINK("https://www.xiaohongshu.com/explore/69f30527000000001a02cc0e?xsec_token=TBx93XfWzGohdywDZFOL5vkSeaW3qO-RJAeSLFWal6I5g=&amp;xsec_source=pc_trdark","https://www.xiaohongshu.com/explore/69f30527000000001a02cc0e?xsec_token=TBx93XfWzGohdywDZFOL5vkSeaW3qO-RJAeSLFWal6I5g=&amp;xsec_source=pc_trdark")</f>
        <v>0.0</v>
      </c>
      <c r="D448" t="inlineStr">
        <is>
          <t>菲菲上班吃什么</t>
        </is>
      </c>
      <c r="E448" t="inlineStr">
        <is>
          <t>49936530607</t>
        </is>
      </c>
      <c r="F448" t="inlineStr">
        <is>
          <t>2026-04-30 15:30:47</t>
        </is>
      </c>
      <c r="G448" t="inlineStr">
        <is>
          <t>图文</t>
        </is>
      </c>
      <c r="H448" t="inlineStr">
        <is>
          <t>手剥虾仁 无冰衣无添加 低脂餐一人食 上班带饭 顺丰包邮 5盒装</t>
        </is>
      </c>
      <c r="I448" t="inlineStr">
        <is>
          <t>694baba01d450d00013662f0</t>
        </is>
      </c>
      <c r="J448" t="inlineStr">
        <is>
          <t/>
        </is>
      </c>
      <c r="K448" t="n">
        <v>0.0</v>
      </c>
      <c r="L448" t="n">
        <v>0.0</v>
      </c>
      <c r="M448" t="n">
        <v>8.0</v>
      </c>
      <c r="N448" t="inlineStr">
        <is>
          <t>0.36363636363636365</t>
        </is>
      </c>
      <c r="O448" t="n">
        <v>6.0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inlineStr">
        <is>
          <t/>
        </is>
      </c>
      <c r="X448" t="n">
        <v>0.0</v>
      </c>
      <c r="Y448" t="n">
        <v>2.0</v>
      </c>
      <c r="Z448" t="n">
        <v>2.0</v>
      </c>
      <c r="AA448" t="n">
        <v>0.0</v>
      </c>
      <c r="AB448" t="n">
        <v>0.0</v>
      </c>
      <c r="AC448" t="n">
        <v>0.0</v>
      </c>
      <c r="AD448" t="n">
        <v>22.0</v>
      </c>
      <c r="AE448" t="n">
        <v>0.0</v>
      </c>
      <c r="AF448" t="n">
        <v>0.0</v>
      </c>
      <c r="AG448" t="n">
        <v>0.0</v>
      </c>
      <c r="AH448" t="n">
        <v>1.0</v>
      </c>
      <c r="AI448" t="n">
        <v>1.0</v>
      </c>
      <c r="AJ448" t="n">
        <v>0.0</v>
      </c>
      <c r="AK448" t="n">
        <v>8.681818181818182</v>
      </c>
      <c r="AL448" t="inlineStr">
        <is>
          <t/>
        </is>
      </c>
    </row>
    <row r="449">
      <c r="A449" t="inlineStr">
        <is>
          <t>谁懂❗️网购虾仁终于得到全家一致好评🍤</t>
        </is>
      </c>
      <c r="B449" t="inlineStr">
        <is>
          <t>69f1734c000000002301c1fa</t>
        </is>
      </c>
      <c r="C449" s="448" t="n">
        <f>HYPERLINK("https://www.xiaohongshu.com/explore/69f1734c000000002301c1fa?xsec_token=TBLt8Y96Ok9n09b_UIgIegbh5ezhF2YegnpMVZ_Lc3d88=&amp;xsec_source=pc_trdark","https://www.xiaohongshu.com/explore/69f1734c000000002301c1fa?xsec_token=TBLt8Y96Ok9n09b_UIgIegbh5ezhF2YegnpMVZ_Lc3d88=&amp;xsec_source=pc_trdark")</f>
        <v>0.0</v>
      </c>
      <c r="D449" t="inlineStr">
        <is>
          <t>菲菲上班吃什么</t>
        </is>
      </c>
      <c r="E449" t="inlineStr">
        <is>
          <t>49936530607</t>
        </is>
      </c>
      <c r="F449" t="inlineStr">
        <is>
          <t>2026-04-29 10:56:12</t>
        </is>
      </c>
      <c r="G449" t="inlineStr">
        <is>
          <t>图文</t>
        </is>
      </c>
      <c r="H449" t="inlineStr">
        <is>
          <t>手剥虾仁 无冰衣无添加 低脂餐一人食 上班带饭 顺丰包邮 5盒装</t>
        </is>
      </c>
      <c r="I449" t="inlineStr">
        <is>
          <t>694baba01d450d00013662f0</t>
        </is>
      </c>
      <c r="J449" t="inlineStr">
        <is>
          <t/>
        </is>
      </c>
      <c r="K449" t="n">
        <v>0.0</v>
      </c>
      <c r="L449" t="n">
        <v>0.0</v>
      </c>
      <c r="M449" t="n">
        <v>1.0</v>
      </c>
      <c r="N449" t="inlineStr">
        <is>
          <t>0.045454545454545456</t>
        </is>
      </c>
      <c r="O449" t="n">
        <v>1.0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inlineStr">
        <is>
          <t/>
        </is>
      </c>
      <c r="X449" t="n">
        <v>0.0</v>
      </c>
      <c r="Y449" t="n">
        <v>0.0</v>
      </c>
      <c r="Z449" t="n">
        <v>2.0</v>
      </c>
      <c r="AA449" t="n">
        <v>0.0</v>
      </c>
      <c r="AB449" t="n">
        <v>0.0</v>
      </c>
      <c r="AC449" t="n">
        <v>0.0</v>
      </c>
      <c r="AD449" t="n">
        <v>22.0</v>
      </c>
      <c r="AE449" t="n">
        <v>0.0</v>
      </c>
      <c r="AF449" t="n">
        <v>0.0</v>
      </c>
      <c r="AG449" t="n">
        <v>0.0</v>
      </c>
      <c r="AH449" t="n">
        <v>1.0</v>
      </c>
      <c r="AI449" t="n">
        <v>0.0</v>
      </c>
      <c r="AJ449" t="n">
        <v>0.0</v>
      </c>
      <c r="AK449" t="n">
        <v>12.318181818181818</v>
      </c>
      <c r="AL449" t="inlineStr">
        <is>
          <t/>
        </is>
      </c>
    </row>
    <row r="450">
      <c r="A450" t="inlineStr">
        <is>
          <t>拒绝外卖！一个人吃不腻的干净饭</t>
        </is>
      </c>
      <c r="B450" t="inlineStr">
        <is>
          <t>69c9d7ec0000000023016d9a</t>
        </is>
      </c>
      <c r="C450" s="449" t="n">
        <f>HYPERLINK("https://www.xiaohongshu.com/explore/69c9d7ec0000000023016d9a?xsec_token=TBbpP5CiN94LtvLtPXlqbAxWp9ykeSf_mjqVUZSr0Zwzw=&amp;xsec_source=pc_trdark","https://www.xiaohongshu.com/explore/69c9d7ec0000000023016d9a?xsec_token=TBbpP5CiN94LtvLtPXlqbAxWp9ykeSf_mjqVUZSr0Zwzw=&amp;xsec_source=pc_trdark")</f>
        <v>0.0</v>
      </c>
      <c r="D450" t="inlineStr">
        <is>
          <t>婉婉上班吃什么</t>
        </is>
      </c>
      <c r="E450" t="inlineStr">
        <is>
          <t>11434449706</t>
        </is>
      </c>
      <c r="F450" t="inlineStr">
        <is>
          <t>2026-03-30 09:54:52</t>
        </is>
      </c>
      <c r="G450" t="inlineStr">
        <is>
          <t>图文</t>
        </is>
      </c>
      <c r="H450" t="inlineStr">
        <is>
          <t>手剥虾仁 无冰衣无添加 低脂餐一人食 上班带饭 顺丰包邮 5盒装</t>
        </is>
      </c>
      <c r="I450" t="inlineStr">
        <is>
          <t>694baba01d450d00013662f0</t>
        </is>
      </c>
      <c r="J450" t="inlineStr">
        <is>
          <t/>
        </is>
      </c>
      <c r="K450" t="n">
        <v>0.0</v>
      </c>
      <c r="L450" t="n">
        <v>0.0</v>
      </c>
      <c r="M450" t="n">
        <v>1.0</v>
      </c>
      <c r="N450" t="inlineStr">
        <is>
          <t>0.045454545454545456</t>
        </is>
      </c>
      <c r="O450" t="n">
        <v>1.0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inlineStr">
        <is>
          <t/>
        </is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22.0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9.090909090909092</v>
      </c>
      <c r="AL450" t="inlineStr">
        <is>
          <t/>
        </is>
      </c>
    </row>
    <row r="451">
      <c r="A451" t="inlineStr">
        <is>
          <t>上班带饭！我推荐这款8斤整条三文鱼</t>
        </is>
      </c>
      <c r="B451" t="inlineStr">
        <is>
          <t>69a7e033000000002202f15e</t>
        </is>
      </c>
      <c r="C451" s="450" t="n">
        <f>HYPERLINK("https://www.xiaohongshu.com/explore/69a7e033000000002202f15e?xsec_token=TBfaHJOfbObHzNAqAc3bkGM63pso5-p8oM0ORzbfiCt-8=&amp;xsec_source=pc_trdark","https://www.xiaohongshu.com/explore/69a7e033000000002202f15e?xsec_token=TBfaHJOfbObHzNAqAc3bkGM63pso5-p8oM0ORzbfiCt-8=&amp;xsec_source=pc_trdark")</f>
        <v>0.0</v>
      </c>
      <c r="D451" t="inlineStr">
        <is>
          <t>鲜水湾甄选</t>
        </is>
      </c>
      <c r="E451" t="inlineStr">
        <is>
          <t>27401929161</t>
        </is>
      </c>
      <c r="F451" t="inlineStr">
        <is>
          <t>2026-03-04 15:33:07</t>
        </is>
      </c>
      <c r="G451" t="inlineStr">
        <is>
          <t>图文</t>
        </is>
      </c>
      <c r="H451" t="inlineStr">
        <is>
          <t>智利三文鱼切块·整条三文鱼·深海鱼一人食健康饮食</t>
        </is>
      </c>
      <c r="I451" t="inlineStr">
        <is>
          <t>691ac562a524ee0001b51d7b</t>
        </is>
      </c>
      <c r="J451" t="inlineStr">
        <is>
          <t/>
        </is>
      </c>
      <c r="K451" t="n">
        <v>338.0</v>
      </c>
      <c r="L451" t="n">
        <v>1.0</v>
      </c>
      <c r="M451" t="n">
        <v>5.0</v>
      </c>
      <c r="N451" t="inlineStr">
        <is>
          <t>0.22727272727272727</t>
        </is>
      </c>
      <c r="O451" t="n">
        <v>4.0</v>
      </c>
      <c r="P451" t="n">
        <v>1.0</v>
      </c>
      <c r="Q451" t="n">
        <v>0.2</v>
      </c>
      <c r="R451" t="n">
        <v>0.25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3.0</v>
      </c>
      <c r="Z451" t="n">
        <v>0.0</v>
      </c>
      <c r="AA451" t="n">
        <v>0.0</v>
      </c>
      <c r="AB451" t="n">
        <v>0.0</v>
      </c>
      <c r="AC451" t="n">
        <v>0.0</v>
      </c>
      <c r="AD451" t="n">
        <v>22.0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25.5</v>
      </c>
      <c r="AL451" t="inlineStr">
        <is>
          <t/>
        </is>
      </c>
    </row>
    <row r="452">
      <c r="A452" t="inlineStr">
        <is>
          <t>还有多少南方宝宝没吃过这个北极甜虾</t>
        </is>
      </c>
      <c r="B452" t="inlineStr">
        <is>
          <t>6982a4ac000000000a033c8c</t>
        </is>
      </c>
      <c r="C452" s="451" t="n">
        <f>HYPERLINK("https://www.xiaohongshu.com/explore/6982a4ac000000000a033c8c?xsec_token=TBRUGO98Ap-B8eSGcZxxfvdI_zbT9qm-KkSyV0Kdwpj5Q=&amp;xsec_source=pc_trdark","https://www.xiaohongshu.com/explore/6982a4ac000000000a033c8c?xsec_token=TBRUGO98Ap-B8eSGcZxxfvdI_zbT9qm-KkSyV0Kdwpj5Q=&amp;xsec_source=pc_trdark")</f>
        <v>0.0</v>
      </c>
      <c r="D452" t="inlineStr">
        <is>
          <t>鲜水湾甄选</t>
        </is>
      </c>
      <c r="E452" t="inlineStr">
        <is>
          <t>27401929161</t>
        </is>
      </c>
      <c r="F452" t="inlineStr">
        <is>
          <t>2026-02-04 09:45:16</t>
        </is>
      </c>
      <c r="G452" t="inlineStr">
        <is>
          <t>视频</t>
        </is>
      </c>
      <c r="H452" t="inlineStr">
        <is>
          <t>北极甜虾头籽甜虾元宝虾北极熊冰虾孕妈妈宝宝辅食顺丰</t>
        </is>
      </c>
      <c r="I452" t="inlineStr">
        <is>
          <t>6953717eb8f0bb000115158d</t>
        </is>
      </c>
      <c r="J452" t="n">
        <v>53.0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inlineStr">
        <is>
          <t/>
        </is>
      </c>
      <c r="R452" t="inlineStr">
        <is>
          <t/>
        </is>
      </c>
      <c r="S452" t="n">
        <v>0.0</v>
      </c>
      <c r="T452" t="n">
        <v>0.0</v>
      </c>
      <c r="U452" t="n">
        <v>0.0</v>
      </c>
      <c r="V452" t="n">
        <v>0.0</v>
      </c>
      <c r="W452" t="inlineStr">
        <is>
          <t/>
        </is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22.0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5.909090909090909</v>
      </c>
      <c r="AL452" t="inlineStr">
        <is>
          <t>0.045454545454545456</t>
        </is>
      </c>
    </row>
    <row r="453">
      <c r="A453" t="inlineStr">
        <is>
          <t>真心建议姐妹们尝尝这个三倍体生蚝！</t>
        </is>
      </c>
      <c r="B453" t="inlineStr">
        <is>
          <t>6916983e00000000070142da</t>
        </is>
      </c>
      <c r="C453" s="452" t="n">
        <f>HYPERLINK("https://www.xiaohongshu.com/explore/6916983e00000000070142da?xsec_token=TBHZiehrAOyLGw_5sWYDTDSe4rKUHPLiLaUlfZ0sWdDd0=&amp;xsec_source=pc_trdark","https://www.xiaohongshu.com/explore/6916983e00000000070142da?xsec_token=TBHZiehrAOyLGw_5sWYDTDSe4rKUHPLiLaUlfZ0sWdDd0=&amp;xsec_source=pc_trdark")</f>
        <v>0.0</v>
      </c>
      <c r="D453" t="inlineStr">
        <is>
          <t>婉婉上班吃什么</t>
        </is>
      </c>
      <c r="E453" t="inlineStr">
        <is>
          <t>11434449706</t>
        </is>
      </c>
      <c r="F453" t="inlineStr">
        <is>
          <t>2025-11-14 10:47:26</t>
        </is>
      </c>
      <c r="G453" t="inlineStr">
        <is>
          <t>视频</t>
        </is>
      </c>
      <c r="H453" t="inlineStr">
        <is>
          <t>生蚝乳山生蚝海蛎子顺丰包邮</t>
        </is>
      </c>
      <c r="I453" t="inlineStr">
        <is>
          <t>690c70971b787900010866cc</t>
        </is>
      </c>
      <c r="J453" t="n">
        <v>41.0</v>
      </c>
      <c r="K453" t="n">
        <v>0.0</v>
      </c>
      <c r="L453" t="n">
        <v>0.0</v>
      </c>
      <c r="M453" t="n">
        <v>2.0</v>
      </c>
      <c r="N453" t="inlineStr">
        <is>
          <t>0.09523809523809523</t>
        </is>
      </c>
      <c r="O453" t="n">
        <v>2.0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inlineStr">
        <is>
          <t/>
        </is>
      </c>
      <c r="X453" t="n">
        <v>0.0</v>
      </c>
      <c r="Y453" t="n">
        <v>0.0</v>
      </c>
      <c r="Z453" t="n">
        <v>2.0</v>
      </c>
      <c r="AA453" t="n">
        <v>0.0</v>
      </c>
      <c r="AB453" t="n">
        <v>0.0</v>
      </c>
      <c r="AC453" t="n">
        <v>0.0</v>
      </c>
      <c r="AD453" t="n">
        <v>21.0</v>
      </c>
      <c r="AE453" t="n">
        <v>1.0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5.9523809523809526</v>
      </c>
      <c r="AL453" t="n">
        <v>0.0</v>
      </c>
    </row>
    <row r="454">
      <c r="A454" t="inlineStr">
        <is>
          <t>终于等到夏天，我要开始猛吃猛控体了</t>
        </is>
      </c>
      <c r="B454" t="inlineStr">
        <is>
          <t>69e9b21700000000210074dc</t>
        </is>
      </c>
      <c r="C454" s="453" t="n">
        <f>HYPERLINK("https://www.xiaohongshu.com/explore/69e9b21700000000210074dc?xsec_token=TBNkLc7pOHvt_5tNJTpGNllHMQKcyW_tPUNdLpNwW-Hbo=&amp;xsec_source=pc_trdark","https://www.xiaohongshu.com/explore/69e9b21700000000210074dc?xsec_token=TBNkLc7pOHvt_5tNJTpGNllHMQKcyW_tPUNdLpNwW-Hbo=&amp;xsec_source=pc_trdark")</f>
        <v>0.0</v>
      </c>
      <c r="D454" t="inlineStr">
        <is>
          <t>鲜水湾甄选</t>
        </is>
      </c>
      <c r="E454" t="inlineStr">
        <is>
          <t>27401929161</t>
        </is>
      </c>
      <c r="F454" t="inlineStr">
        <is>
          <t>2026-04-24 21:30:00</t>
        </is>
      </c>
      <c r="G454" t="inlineStr">
        <is>
          <t>图文</t>
        </is>
      </c>
      <c r="H454" t="inlineStr">
        <is>
          <t>手剥虾仁 无冰衣无添加 低脂餐一人食 上班带饭 顺丰包邮 5盒装</t>
        </is>
      </c>
      <c r="I454" t="inlineStr">
        <is>
          <t>694baba01d450d00013662f0</t>
        </is>
      </c>
      <c r="J454" t="inlineStr">
        <is>
          <t/>
        </is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inlineStr">
        <is>
          <t/>
        </is>
      </c>
      <c r="R454" t="inlineStr">
        <is>
          <t/>
        </is>
      </c>
      <c r="S454" t="n">
        <v>0.0</v>
      </c>
      <c r="T454" t="n">
        <v>0.0</v>
      </c>
      <c r="U454" t="n">
        <v>0.0</v>
      </c>
      <c r="V454" t="n">
        <v>0.0</v>
      </c>
      <c r="W454" t="inlineStr">
        <is>
          <t/>
        </is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20.0</v>
      </c>
      <c r="AE454" t="n">
        <v>0.0</v>
      </c>
      <c r="AF454" t="n">
        <v>0.0</v>
      </c>
      <c r="AG454" t="n">
        <v>0.0</v>
      </c>
      <c r="AH454" t="n">
        <v>1.0</v>
      </c>
      <c r="AI454" t="n">
        <v>0.0</v>
      </c>
      <c r="AJ454" t="n">
        <v>0.0</v>
      </c>
      <c r="AK454" t="n">
        <v>5.15</v>
      </c>
      <c r="AL454" t="inlineStr">
        <is>
          <t/>
        </is>
      </c>
    </row>
    <row r="455">
      <c r="A455" t="inlineStr">
        <is>
          <t>别问我宝宝能不能吃虾仁？你买就行了！</t>
        </is>
      </c>
      <c r="B455" t="inlineStr">
        <is>
          <t>69e9a841000000001a02c77e</t>
        </is>
      </c>
      <c r="C455" s="454" t="n">
        <f>HYPERLINK("https://www.xiaohongshu.com/explore/69e9a841000000001a02c77e?xsec_token=TBNkLc7pOHvt_5tNJTpGNllK1gulsT1kYag3MVsL0KQ-0=&amp;xsec_source=pc_trdark","https://www.xiaohongshu.com/explore/69e9a841000000001a02c77e?xsec_token=TBNkLc7pOHvt_5tNJTpGNllK1gulsT1kYag3MVsL0KQ-0=&amp;xsec_source=pc_trdark")</f>
        <v>0.0</v>
      </c>
      <c r="D455" t="inlineStr">
        <is>
          <t>菲菲上班吃什么</t>
        </is>
      </c>
      <c r="E455" t="inlineStr">
        <is>
          <t>49936530607</t>
        </is>
      </c>
      <c r="F455" t="inlineStr">
        <is>
          <t>2026-04-24 22:30:00</t>
        </is>
      </c>
      <c r="G455" t="inlineStr">
        <is>
          <t>图文</t>
        </is>
      </c>
      <c r="H455" t="inlineStr">
        <is>
          <t>手剥虾仁 无冰衣无添加 低脂餐一人食 上班带饭 顺丰包邮 5盒装</t>
        </is>
      </c>
      <c r="I455" t="inlineStr">
        <is>
          <t>694baba01d450d00013662f0</t>
        </is>
      </c>
      <c r="J455" t="inlineStr">
        <is>
          <t/>
        </is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inlineStr">
        <is>
          <t/>
        </is>
      </c>
      <c r="R455" t="inlineStr">
        <is>
          <t/>
        </is>
      </c>
      <c r="S455" t="n">
        <v>0.0</v>
      </c>
      <c r="T455" t="n">
        <v>0.0</v>
      </c>
      <c r="U455" t="n">
        <v>0.0</v>
      </c>
      <c r="V455" t="n">
        <v>0.0</v>
      </c>
      <c r="W455" t="inlineStr">
        <is>
          <t/>
        </is>
      </c>
      <c r="X455" t="n">
        <v>0.0</v>
      </c>
      <c r="Y455" t="n">
        <v>0.0</v>
      </c>
      <c r="Z455" t="n">
        <v>1.0</v>
      </c>
      <c r="AA455" t="n">
        <v>0.0</v>
      </c>
      <c r="AB455" t="n">
        <v>0.0</v>
      </c>
      <c r="AC455" t="n">
        <v>0.0</v>
      </c>
      <c r="AD455" t="n">
        <v>20.0</v>
      </c>
      <c r="AE455" t="n">
        <v>1.0</v>
      </c>
      <c r="AF455" t="n">
        <v>0.0</v>
      </c>
      <c r="AG455" t="n">
        <v>0.0</v>
      </c>
      <c r="AH455" t="n">
        <v>1.0</v>
      </c>
      <c r="AI455" t="n">
        <v>0.0</v>
      </c>
      <c r="AJ455" t="n">
        <v>0.0</v>
      </c>
      <c r="AK455" t="n">
        <v>26.55</v>
      </c>
      <c r="AL455" t="inlineStr">
        <is>
          <t/>
        </is>
      </c>
    </row>
    <row r="456">
      <c r="A456" t="inlineStr">
        <is>
          <t>带饭的尽头…真的是极简</t>
        </is>
      </c>
      <c r="B456" t="inlineStr">
        <is>
          <t>69ca2a12000000002800a3fc</t>
        </is>
      </c>
      <c r="C456" s="455" t="n">
        <f>HYPERLINK("https://www.xiaohongshu.com/explore/69ca2a12000000002800a3fc?xsec_token=TBZMwIQ43aS0K0DsaEHGlBqjPy6f1AqJZUap9MJ_avY6Q=&amp;xsec_source=pc_trdark","https://www.xiaohongshu.com/explore/69ca2a12000000002800a3fc?xsec_token=TBZMwIQ43aS0K0DsaEHGlBqjPy6f1AqJZUap9MJ_avY6Q=&amp;xsec_source=pc_trdark")</f>
        <v>0.0</v>
      </c>
      <c r="D456" t="inlineStr">
        <is>
          <t>鲜水湾</t>
        </is>
      </c>
      <c r="E456" t="inlineStr">
        <is>
          <t>49316638994</t>
        </is>
      </c>
      <c r="F456" t="inlineStr">
        <is>
          <t>2026-03-30 15:45:22</t>
        </is>
      </c>
      <c r="G456" t="inlineStr">
        <is>
          <t>图文</t>
        </is>
      </c>
      <c r="H456" t="inlineStr">
        <is>
          <t>手剥虾仁 无冰衣无添加 低脂餐一人食 上班带饭 顺丰包邮 5盒装</t>
        </is>
      </c>
      <c r="I456" t="inlineStr">
        <is>
          <t>694baba01d450d00013662f0</t>
        </is>
      </c>
      <c r="J456" t="inlineStr">
        <is>
          <t/>
        </is>
      </c>
      <c r="K456" t="n">
        <v>128.0</v>
      </c>
      <c r="L456" t="n">
        <v>1.0</v>
      </c>
      <c r="M456" t="n">
        <v>2.0</v>
      </c>
      <c r="N456" t="n">
        <v>0.1</v>
      </c>
      <c r="O456" t="n">
        <v>2.0</v>
      </c>
      <c r="P456" t="n">
        <v>1.0</v>
      </c>
      <c r="Q456" t="n">
        <v>0.5</v>
      </c>
      <c r="R456" t="n">
        <v>0.5</v>
      </c>
      <c r="S456" t="n">
        <v>197.0</v>
      </c>
      <c r="T456" t="n">
        <v>2.0</v>
      </c>
      <c r="U456" t="n">
        <v>2.0</v>
      </c>
      <c r="V456" t="n">
        <v>128.0</v>
      </c>
      <c r="W456" t="n">
        <v>1.0</v>
      </c>
      <c r="X456" t="n">
        <v>1.0</v>
      </c>
      <c r="Y456" t="n">
        <v>0.0</v>
      </c>
      <c r="Z456" t="n">
        <v>1.0</v>
      </c>
      <c r="AA456" t="n">
        <v>0.0</v>
      </c>
      <c r="AB456" t="n">
        <v>0.0</v>
      </c>
      <c r="AC456" t="n">
        <v>0.0</v>
      </c>
      <c r="AD456" t="n">
        <v>20.0</v>
      </c>
      <c r="AE456" t="n">
        <v>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n">
        <v>16.15</v>
      </c>
      <c r="AL456" t="inlineStr">
        <is>
          <t/>
        </is>
      </c>
    </row>
    <row r="457">
      <c r="A457" t="inlineStr">
        <is>
          <t>和老妈商量后，推出减脂小包装虾仁</t>
        </is>
      </c>
      <c r="B457" t="inlineStr">
        <is>
          <t>69c1f4ad000000001a035fed</t>
        </is>
      </c>
      <c r="C457" s="456" t="n">
        <f>HYPERLINK("https://www.xiaohongshu.com/explore/69c1f4ad000000001a035fed?xsec_token=TBltfkQyXS0u_Ko7SgIzuBYs8NINwajQsGf388jgtKFP4=&amp;xsec_source=pc_trdark","https://www.xiaohongshu.com/explore/69c1f4ad000000001a035fed?xsec_token=TBltfkQyXS0u_Ko7SgIzuBYs8NINwajQsGf388jgtKFP4=&amp;xsec_source=pc_trdark")</f>
        <v>0.0</v>
      </c>
      <c r="D457" t="inlineStr">
        <is>
          <t>鲜水湾</t>
        </is>
      </c>
      <c r="E457" t="inlineStr">
        <is>
          <t>49316638994</t>
        </is>
      </c>
      <c r="F457" t="inlineStr">
        <is>
          <t>2026-03-24 10:19:25</t>
        </is>
      </c>
      <c r="G457" t="inlineStr">
        <is>
          <t>图文</t>
        </is>
      </c>
      <c r="H457" t="inlineStr">
        <is>
          <t>手剥虾仁 无冰衣无添加 低脂餐一人食 上班带饭 顺丰包邮 5盒装</t>
        </is>
      </c>
      <c r="I457" t="inlineStr">
        <is>
          <t>694baba01d450d00013662f0</t>
        </is>
      </c>
      <c r="J457" t="inlineStr">
        <is>
          <t/>
        </is>
      </c>
      <c r="K457" t="n">
        <v>69.0</v>
      </c>
      <c r="L457" t="n">
        <v>1.0</v>
      </c>
      <c r="M457" t="n">
        <v>7.0</v>
      </c>
      <c r="N457" t="n">
        <v>0.35</v>
      </c>
      <c r="O457" t="n">
        <v>7.0</v>
      </c>
      <c r="P457" t="n">
        <v>1.0</v>
      </c>
      <c r="Q457" t="inlineStr">
        <is>
          <t>0.14285714285714285</t>
        </is>
      </c>
      <c r="R457" t="inlineStr">
        <is>
          <t>0.14285714285714285</t>
        </is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3.0</v>
      </c>
      <c r="Z457" t="n">
        <v>0.0</v>
      </c>
      <c r="AA457" t="n">
        <v>0.0</v>
      </c>
      <c r="AB457" t="n">
        <v>0.0</v>
      </c>
      <c r="AC457" t="n">
        <v>0.0</v>
      </c>
      <c r="AD457" t="n">
        <v>20.0</v>
      </c>
      <c r="AE457" t="n">
        <v>1.0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15.35</v>
      </c>
      <c r="AL457" t="inlineStr">
        <is>
          <t/>
        </is>
      </c>
    </row>
    <row r="458">
      <c r="A458" t="inlineStr">
        <is>
          <t>青岛发过来的，被爸妈夸了一整天</t>
        </is>
      </c>
      <c r="B458" t="inlineStr">
        <is>
          <t>6986df320000000028009681</t>
        </is>
      </c>
      <c r="C458" s="457" t="n">
        <f>HYPERLINK("https://www.xiaohongshu.com/explore/6986df320000000028009681?xsec_token=TB-LsRJw2UEyjZbU1RZqmjvtwtRMuw6d13bODal5ehtLk=&amp;xsec_source=pc_trdark","https://www.xiaohongshu.com/explore/6986df320000000028009681?xsec_token=TB-LsRJw2UEyjZbU1RZqmjvtwtRMuw6d13bODal5ehtLk=&amp;xsec_source=pc_trdark")</f>
        <v>0.0</v>
      </c>
      <c r="D458" t="inlineStr">
        <is>
          <t>鲜水湾</t>
        </is>
      </c>
      <c r="E458" t="inlineStr">
        <is>
          <t>49316638994</t>
        </is>
      </c>
      <c r="F458" t="inlineStr">
        <is>
          <t>2026-02-07 14:44:02</t>
        </is>
      </c>
      <c r="G458" t="inlineStr">
        <is>
          <t>图文</t>
        </is>
      </c>
      <c r="H458" t="inlineStr">
        <is>
          <t>智利三文鱼切块·整条三文鱼·深海鱼一人食健康饮食</t>
        </is>
      </c>
      <c r="I458" t="inlineStr">
        <is>
          <t>691ac562a524ee0001b51d7b</t>
        </is>
      </c>
      <c r="J458" t="inlineStr">
        <is>
          <t/>
        </is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inlineStr">
        <is>
          <t/>
        </is>
      </c>
      <c r="R458" t="inlineStr">
        <is>
          <t/>
        </is>
      </c>
      <c r="S458" t="n">
        <v>0.0</v>
      </c>
      <c r="T458" t="n">
        <v>0.0</v>
      </c>
      <c r="U458" t="n">
        <v>0.0</v>
      </c>
      <c r="V458" t="n">
        <v>0.0</v>
      </c>
      <c r="W458" t="inlineStr">
        <is>
          <t/>
        </is>
      </c>
      <c r="X458" t="n">
        <v>0.0</v>
      </c>
      <c r="Y458" t="n">
        <v>0.0</v>
      </c>
      <c r="Z458" t="n">
        <v>1.0</v>
      </c>
      <c r="AA458" t="n">
        <v>0.0</v>
      </c>
      <c r="AB458" t="n">
        <v>0.0</v>
      </c>
      <c r="AC458" t="n">
        <v>0.0</v>
      </c>
      <c r="AD458" t="n">
        <v>20.0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4.4</v>
      </c>
      <c r="AL458" t="inlineStr">
        <is>
          <t/>
        </is>
      </c>
    </row>
    <row r="459">
      <c r="A459" t="inlineStr">
        <is>
          <t>我的老天奶！40多买的乳山生蚝太好吃了！</t>
        </is>
      </c>
      <c r="B459" t="inlineStr">
        <is>
          <t>69367592000000001f00b9d5</t>
        </is>
      </c>
      <c r="C459" s="458" t="n">
        <f>HYPERLINK("https://www.xiaohongshu.com/explore/69367592000000001f00b9d5?xsec_token=TBlR01uRP0dY963Q_AxX8vHHkdu4G-K6XHvFrldCgAvmE=&amp;xsec_source=pc_trdark","https://www.xiaohongshu.com/explore/69367592000000001f00b9d5?xsec_token=TBlR01uRP0dY963Q_AxX8vHHkdu4G-K6XHvFrldCgAvmE=&amp;xsec_source=pc_trdark")</f>
        <v>0.0</v>
      </c>
      <c r="D459" t="inlineStr">
        <is>
          <t>婉婉上班吃什么</t>
        </is>
      </c>
      <c r="E459" t="inlineStr">
        <is>
          <t>11434449706</t>
        </is>
      </c>
      <c r="F459" t="inlineStr">
        <is>
          <t>2025-12-08 14:52:02</t>
        </is>
      </c>
      <c r="G459" t="inlineStr">
        <is>
          <t>视频</t>
        </is>
      </c>
      <c r="H459" t="inlineStr">
        <is>
          <t>生蚝乳山生蚝海蛎子顺丰包邮</t>
        </is>
      </c>
      <c r="I459" t="inlineStr">
        <is>
          <t>690c70971b787900010866cc</t>
        </is>
      </c>
      <c r="J459" t="n">
        <v>37.0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inlineStr">
        <is>
          <t/>
        </is>
      </c>
      <c r="R459" t="inlineStr">
        <is>
          <t/>
        </is>
      </c>
      <c r="S459" t="n">
        <v>0.0</v>
      </c>
      <c r="T459" t="n">
        <v>0.0</v>
      </c>
      <c r="U459" t="n">
        <v>0.0</v>
      </c>
      <c r="V459" t="n">
        <v>0.0</v>
      </c>
      <c r="W459" t="inlineStr">
        <is>
          <t/>
        </is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20.0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6.2</v>
      </c>
      <c r="AL459" t="inlineStr">
        <is>
          <t>0.047619047619047616</t>
        </is>
      </c>
    </row>
    <row r="460">
      <c r="A460" t="inlineStr">
        <is>
          <t>以前是山姆，现在是小红书</t>
        </is>
      </c>
      <c r="B460" t="inlineStr">
        <is>
          <t>6933b8fe000000001e03b9f0</t>
        </is>
      </c>
      <c r="C460" s="459" t="n">
        <f>HYPERLINK("https://www.xiaohongshu.com/explore/6933b8fe000000001e03b9f0?xsec_token=TBtLw60d0rN_yGhfj7_ewzhSlK-dul8ye9Ak2yEu59ojA=&amp;xsec_source=pc_trdark","https://www.xiaohongshu.com/explore/6933b8fe000000001e03b9f0?xsec_token=TBtLw60d0rN_yGhfj7_ewzhSlK-dul8ye9Ak2yEu59ojA=&amp;xsec_source=pc_trdark")</f>
        <v>0.0</v>
      </c>
      <c r="D460" t="inlineStr">
        <is>
          <t>鲜水湾</t>
        </is>
      </c>
      <c r="E460" t="inlineStr">
        <is>
          <t>49316638994</t>
        </is>
      </c>
      <c r="F460" t="inlineStr">
        <is>
          <t>2025-12-06 13:02:54</t>
        </is>
      </c>
      <c r="G460" t="inlineStr">
        <is>
          <t>图文</t>
        </is>
      </c>
      <c r="H460" t="inlineStr">
        <is>
          <t>智利三文鱼切块·整条三文鱼·深海鱼一人食健康饮食</t>
        </is>
      </c>
      <c r="I460" t="inlineStr">
        <is>
          <t>691ac562a524ee0001b51d7b</t>
        </is>
      </c>
      <c r="J460" t="inlineStr">
        <is>
          <t/>
        </is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inlineStr">
        <is>
          <t/>
        </is>
      </c>
      <c r="R460" t="inlineStr">
        <is>
          <t/>
        </is>
      </c>
      <c r="S460" t="n">
        <v>0.0</v>
      </c>
      <c r="T460" t="n">
        <v>0.0</v>
      </c>
      <c r="U460" t="n">
        <v>0.0</v>
      </c>
      <c r="V460" t="n">
        <v>0.0</v>
      </c>
      <c r="W460" t="inlineStr">
        <is>
          <t/>
        </is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20.0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7.85</v>
      </c>
      <c r="AL460" t="inlineStr">
        <is>
          <t/>
        </is>
      </c>
    </row>
    <row r="461">
      <c r="A461" t="inlineStr">
        <is>
          <t>还以为100来块没多少，结果够我吃半个月</t>
        </is>
      </c>
      <c r="B461" t="inlineStr">
        <is>
          <t>69f06fca000000001a03482d</t>
        </is>
      </c>
      <c r="C461" s="460" t="n">
        <f>HYPERLINK("https://www.xiaohongshu.com/explore/69f06fca000000001a03482d?xsec_token=TBvHxiGmj2CedfPdQHdLJBmFNrU5w7t5XjVl_oYud6vug=&amp;xsec_source=pc_trdark","https://www.xiaohongshu.com/explore/69f06fca000000001a03482d?xsec_token=TBvHxiGmj2CedfPdQHdLJBmFNrU5w7t5XjVl_oYud6vug=&amp;xsec_source=pc_trdark")</f>
        <v>0.0</v>
      </c>
      <c r="D461" t="inlineStr">
        <is>
          <t>菲菲上班吃什么</t>
        </is>
      </c>
      <c r="E461" t="inlineStr">
        <is>
          <t>49936530607</t>
        </is>
      </c>
      <c r="F461" t="inlineStr">
        <is>
          <t>2026-04-28 16:28:58</t>
        </is>
      </c>
      <c r="G461" t="inlineStr">
        <is>
          <t>图文</t>
        </is>
      </c>
      <c r="H461" t="inlineStr">
        <is>
          <t>手剥虾仁 无冰衣无添加 低脂餐一人食 上班带饭 顺丰包邮 5盒装</t>
        </is>
      </c>
      <c r="I461" t="inlineStr">
        <is>
          <t>694baba01d450d00013662f0</t>
        </is>
      </c>
      <c r="J461" t="inlineStr">
        <is>
          <t/>
        </is>
      </c>
      <c r="K461" t="n">
        <v>69.0</v>
      </c>
      <c r="L461" t="n">
        <v>1.0</v>
      </c>
      <c r="M461" t="n">
        <v>3.0</v>
      </c>
      <c r="N461" t="inlineStr">
        <is>
          <t>0.15789473684210525</t>
        </is>
      </c>
      <c r="O461" t="n">
        <v>2.0</v>
      </c>
      <c r="P461" t="n">
        <v>1.0</v>
      </c>
      <c r="Q461" t="n">
        <v>0.3333333333333333</v>
      </c>
      <c r="R461" t="n">
        <v>0.5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1.0</v>
      </c>
      <c r="Z461" t="n">
        <v>0.0</v>
      </c>
      <c r="AA461" t="n">
        <v>0.0</v>
      </c>
      <c r="AB461" t="n">
        <v>0.0</v>
      </c>
      <c r="AC461" t="n">
        <v>0.0</v>
      </c>
      <c r="AD461" t="n">
        <v>19.0</v>
      </c>
      <c r="AE461" t="n">
        <v>0.0</v>
      </c>
      <c r="AF461" t="n">
        <v>0.0</v>
      </c>
      <c r="AG461" t="n">
        <v>0.0</v>
      </c>
      <c r="AH461" t="n">
        <v>1.0</v>
      </c>
      <c r="AI461" t="n">
        <v>0.0</v>
      </c>
      <c r="AJ461" t="n">
        <v>0.0</v>
      </c>
      <c r="AK461" t="n">
        <v>24.31578947368421</v>
      </c>
      <c r="AL461" t="inlineStr">
        <is>
          <t/>
        </is>
      </c>
    </row>
    <row r="462">
      <c r="A462" t="inlineStr">
        <is>
          <t>五一减脂搭子 | 一人食小包装🤩</t>
        </is>
      </c>
      <c r="B462" t="inlineStr">
        <is>
          <t>69e9adf10000000022025f7a</t>
        </is>
      </c>
      <c r="C462" s="461" t="n">
        <f>HYPERLINK("https://www.xiaohongshu.com/explore/69e9adf10000000022025f7a?xsec_token=TBNkLc7pOHvt_5tNJTpGNllPrXwMiyH-3sJfI1qAX3tuY=&amp;xsec_source=pc_trdark","https://www.xiaohongshu.com/explore/69e9adf10000000022025f7a?xsec_token=TBNkLc7pOHvt_5tNJTpGNllPrXwMiyH-3sJfI1qAX3tuY=&amp;xsec_source=pc_trdark")</f>
        <v>0.0</v>
      </c>
      <c r="D462" t="inlineStr">
        <is>
          <t>菲菲上班吃什么</t>
        </is>
      </c>
      <c r="E462" t="inlineStr">
        <is>
          <t>49936530607</t>
        </is>
      </c>
      <c r="F462" t="inlineStr">
        <is>
          <t>2026-04-24 17:00:00</t>
        </is>
      </c>
      <c r="G462" t="inlineStr">
        <is>
          <t>图文</t>
        </is>
      </c>
      <c r="H462" t="inlineStr">
        <is>
          <t>手剥虾仁 无冰衣无添加 低脂餐一人食 上班带饭 顺丰包邮 5盒装</t>
        </is>
      </c>
      <c r="I462" t="inlineStr">
        <is>
          <t>694baba01d450d00013662f0</t>
        </is>
      </c>
      <c r="J462" t="inlineStr">
        <is>
          <t/>
        </is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inlineStr">
        <is>
          <t/>
        </is>
      </c>
      <c r="R462" t="inlineStr">
        <is>
          <t/>
        </is>
      </c>
      <c r="S462" t="n">
        <v>0.0</v>
      </c>
      <c r="T462" t="n">
        <v>0.0</v>
      </c>
      <c r="U462" t="n">
        <v>0.0</v>
      </c>
      <c r="V462" t="n">
        <v>0.0</v>
      </c>
      <c r="W462" t="inlineStr">
        <is>
          <t/>
        </is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19.0</v>
      </c>
      <c r="AE462" t="n">
        <v>0.0</v>
      </c>
      <c r="AF462" t="n">
        <v>0.0</v>
      </c>
      <c r="AG462" t="n">
        <v>0.0</v>
      </c>
      <c r="AH462" t="n">
        <v>1.0</v>
      </c>
      <c r="AI462" t="n">
        <v>0.0</v>
      </c>
      <c r="AJ462" t="n">
        <v>0.0</v>
      </c>
      <c r="AK462" t="n">
        <v>16.31578947368421</v>
      </c>
      <c r="AL462" t="inlineStr">
        <is>
          <t/>
        </is>
      </c>
    </row>
    <row r="463">
      <c r="A463" t="inlineStr">
        <is>
          <t>减脂人真的不要低估69块钱的购买力....</t>
        </is>
      </c>
      <c r="B463" t="inlineStr">
        <is>
          <t>69cb8c790000000020038236</t>
        </is>
      </c>
      <c r="C463" s="462" t="n">
        <f>HYPERLINK("https://www.xiaohongshu.com/explore/69cb8c790000000020038236?xsec_token=TBNvk7eB588c7ey-qUUMF7OYRh0m9zbo1YxB5eFME8wK0=&amp;xsec_source=pc_trdark","https://www.xiaohongshu.com/explore/69cb8c790000000020038236?xsec_token=TBNvk7eB588c7ey-qUUMF7OYRh0m9zbo1YxB5eFME8wK0=&amp;xsec_source=pc_trdark")</f>
        <v>0.0</v>
      </c>
      <c r="D463" t="inlineStr">
        <is>
          <t>婉婉上班吃什么</t>
        </is>
      </c>
      <c r="E463" t="inlineStr">
        <is>
          <t>11434449706</t>
        </is>
      </c>
      <c r="F463" t="inlineStr">
        <is>
          <t>2026-03-31 16:57:30</t>
        </is>
      </c>
      <c r="G463" t="inlineStr">
        <is>
          <t>图文</t>
        </is>
      </c>
      <c r="H463" t="inlineStr">
        <is>
          <t>手剥虾仁 无冰衣无添加 低脂餐一人食 上班带饭 顺丰包邮 5盒装</t>
        </is>
      </c>
      <c r="I463" t="inlineStr">
        <is>
          <t>694baba01d450d00013662f0</t>
        </is>
      </c>
      <c r="J463" t="inlineStr">
        <is>
          <t/>
        </is>
      </c>
      <c r="K463" t="n">
        <v>0.0</v>
      </c>
      <c r="L463" t="n">
        <v>0.0</v>
      </c>
      <c r="M463" t="n">
        <v>2.0</v>
      </c>
      <c r="N463" t="inlineStr">
        <is>
          <t>0.10526315789473684</t>
        </is>
      </c>
      <c r="O463" t="n">
        <v>2.0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inlineStr">
        <is>
          <t/>
        </is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19.0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15.68421052631579</v>
      </c>
      <c r="AL463" t="inlineStr">
        <is>
          <t/>
        </is>
      </c>
    </row>
    <row r="464">
      <c r="A464" t="inlineStr">
        <is>
          <t>100块吃不了一顿火锅，但能承包我一周轻食餐</t>
        </is>
      </c>
      <c r="B464" t="inlineStr">
        <is>
          <t>69c1e82a000000001f0069c8</t>
        </is>
      </c>
      <c r="C464" s="463" t="n">
        <f>HYPERLINK("https://www.xiaohongshu.com/explore/69c1e82a000000001f0069c8?xsec_token=TBltfkQyXS0u_Ko7SgIzuBYmmRjj7lHjnPY5B8Fq3XMYc=&amp;xsec_source=pc_trdark","https://www.xiaohongshu.com/explore/69c1e82a000000001f0069c8?xsec_token=TBltfkQyXS0u_Ko7SgIzuBYmmRjj7lHjnPY5B8Fq3XMYc=&amp;xsec_source=pc_trdark")</f>
        <v>0.0</v>
      </c>
      <c r="D464" t="inlineStr">
        <is>
          <t>鲜水湾</t>
        </is>
      </c>
      <c r="E464" t="inlineStr">
        <is>
          <t>49316638994</t>
        </is>
      </c>
      <c r="F464" t="inlineStr">
        <is>
          <t>2026-03-24 09:26:02</t>
        </is>
      </c>
      <c r="G464" t="inlineStr">
        <is>
          <t>图文</t>
        </is>
      </c>
      <c r="H464" t="inlineStr">
        <is>
          <t>手剥虾仁 无冰衣无添加 低脂餐一人食 上班带饭 顺丰包邮 5盒装</t>
        </is>
      </c>
      <c r="I464" t="inlineStr">
        <is>
          <t>694baba01d450d00013662f0</t>
        </is>
      </c>
      <c r="J464" t="inlineStr">
        <is>
          <t/>
        </is>
      </c>
      <c r="K464" t="n">
        <v>0.0</v>
      </c>
      <c r="L464" t="n">
        <v>0.0</v>
      </c>
      <c r="M464" t="n">
        <v>7.0</v>
      </c>
      <c r="N464" t="n">
        <v>0.3684210526315789</v>
      </c>
      <c r="O464" t="n">
        <v>6.0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inlineStr">
        <is>
          <t/>
        </is>
      </c>
      <c r="X464" t="n">
        <v>0.0</v>
      </c>
      <c r="Y464" t="n">
        <v>2.0</v>
      </c>
      <c r="Z464" t="n">
        <v>0.0</v>
      </c>
      <c r="AA464" t="n">
        <v>0.0</v>
      </c>
      <c r="AB464" t="n">
        <v>0.0</v>
      </c>
      <c r="AC464" t="n">
        <v>0.0</v>
      </c>
      <c r="AD464" t="n">
        <v>19.0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19.42105263157895</v>
      </c>
      <c r="AL464" t="inlineStr">
        <is>
          <t/>
        </is>
      </c>
    </row>
    <row r="465">
      <c r="A465" t="inlineStr">
        <is>
          <t>我也不想买啊🥹但69够我吃一周轻食餐的了</t>
        </is>
      </c>
      <c r="B465" t="inlineStr">
        <is>
          <t>69bbe275000000002800b6c0</t>
        </is>
      </c>
      <c r="C465" s="464" t="n">
        <f>HYPERLINK("https://www.xiaohongshu.com/explore/69bbe275000000002800b6c0?xsec_token=TBbjiHoA30T3IRnkbtYIm1O3l3hV-Xq7HfvCa3FsLTq84=&amp;xsec_source=pc_trdark","https://www.xiaohongshu.com/explore/69bbe275000000002800b6c0?xsec_token=TBbjiHoA30T3IRnkbtYIm1O3l3hV-Xq7HfvCa3FsLTq84=&amp;xsec_source=pc_trdark")</f>
        <v>0.0</v>
      </c>
      <c r="D465" t="inlineStr">
        <is>
          <t>菲菲上班吃什么</t>
        </is>
      </c>
      <c r="E465" t="inlineStr">
        <is>
          <t>49936530607</t>
        </is>
      </c>
      <c r="F465" t="inlineStr">
        <is>
          <t>2026-03-19 19:48:05</t>
        </is>
      </c>
      <c r="G465" t="inlineStr">
        <is>
          <t>图文</t>
        </is>
      </c>
      <c r="H465" t="inlineStr">
        <is>
          <t>手剥虾仁 无冰衣无添加 低脂餐一人食 上班带饭 顺丰包邮 5盒装</t>
        </is>
      </c>
      <c r="I465" t="inlineStr">
        <is>
          <t>694baba01d450d00013662f0</t>
        </is>
      </c>
      <c r="J465" t="inlineStr">
        <is>
          <t/>
        </is>
      </c>
      <c r="K465" t="n">
        <v>138.0</v>
      </c>
      <c r="L465" t="n">
        <v>2.0</v>
      </c>
      <c r="M465" t="n">
        <v>14.0</v>
      </c>
      <c r="N465" t="n">
        <v>0.7368421052631579</v>
      </c>
      <c r="O465" t="n">
        <v>10.0</v>
      </c>
      <c r="P465" t="n">
        <v>2.0</v>
      </c>
      <c r="Q465" t="inlineStr">
        <is>
          <t>0.14285714285714285</t>
        </is>
      </c>
      <c r="R465" t="n">
        <v>0.2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1.0</v>
      </c>
      <c r="Z465" t="n">
        <v>0.0</v>
      </c>
      <c r="AA465" t="n">
        <v>0.0</v>
      </c>
      <c r="AB465" t="n">
        <v>0.0</v>
      </c>
      <c r="AC465" t="n">
        <v>0.0</v>
      </c>
      <c r="AD465" t="n">
        <v>19.0</v>
      </c>
      <c r="AE465" t="n">
        <v>0.0</v>
      </c>
      <c r="AF465" t="n">
        <v>1.0</v>
      </c>
      <c r="AG465" t="n">
        <v>0.0</v>
      </c>
      <c r="AH465" t="n">
        <v>0.0</v>
      </c>
      <c r="AI465" t="n">
        <v>0.0</v>
      </c>
      <c r="AJ465" t="n">
        <v>0.0</v>
      </c>
      <c r="AK465" t="n">
        <v>15.894736842105264</v>
      </c>
      <c r="AL465" t="inlineStr">
        <is>
          <t/>
        </is>
      </c>
    </row>
    <row r="466">
      <c r="A466" t="inlineStr">
        <is>
          <t>早八人：我怎么没早点发现小包装虾仁🍤</t>
        </is>
      </c>
      <c r="B466" t="inlineStr">
        <is>
          <t>69b6ca1a000000001f003390</t>
        </is>
      </c>
      <c r="C466" s="465" t="n">
        <f>HYPERLINK("https://www.xiaohongshu.com/explore/69b6ca1a000000001f003390?xsec_token=TBwpaEqA4ODk9qkUKPtwfpqSD_w6hBo3VZX2RBfEf9d7Q=&amp;xsec_source=pc_trdark","https://www.xiaohongshu.com/explore/69b6ca1a000000001f003390?xsec_token=TBwpaEqA4ODk9qkUKPtwfpqSD_w6hBo3VZX2RBfEf9d7Q=&amp;xsec_source=pc_trdark")</f>
        <v>0.0</v>
      </c>
      <c r="D466" t="inlineStr">
        <is>
          <t>婉婉上班吃什么</t>
        </is>
      </c>
      <c r="E466" t="inlineStr">
        <is>
          <t>11434449706</t>
        </is>
      </c>
      <c r="F466" t="inlineStr">
        <is>
          <t>2026-03-15 23:02:50</t>
        </is>
      </c>
      <c r="G466" t="inlineStr">
        <is>
          <t>图文</t>
        </is>
      </c>
      <c r="H466" t="inlineStr">
        <is>
          <t>手剥虾仁 无冰衣无添加 低脂餐一人食 上班带饭 顺丰包邮 5盒装</t>
        </is>
      </c>
      <c r="I466" t="inlineStr">
        <is>
          <t>694baba01d450d00013662f0</t>
        </is>
      </c>
      <c r="J466" t="inlineStr">
        <is>
          <t/>
        </is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inlineStr">
        <is>
          <t/>
        </is>
      </c>
      <c r="R466" t="inlineStr">
        <is>
          <t/>
        </is>
      </c>
      <c r="S466" t="n">
        <v>0.0</v>
      </c>
      <c r="T466" t="n">
        <v>0.0</v>
      </c>
      <c r="U466" t="n">
        <v>0.0</v>
      </c>
      <c r="V466" t="n">
        <v>0.0</v>
      </c>
      <c r="W466" t="inlineStr">
        <is>
          <t/>
        </is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19.0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5.631578947368421</v>
      </c>
      <c r="AL466" t="inlineStr">
        <is>
          <t/>
        </is>
      </c>
    </row>
    <row r="467">
      <c r="A467" t="inlineStr">
        <is>
          <t>我妈让我通知各位：23一斤的大虾真的可以冲</t>
        </is>
      </c>
      <c r="B467" t="inlineStr">
        <is>
          <t>693d3be4000000001e0339c1</t>
        </is>
      </c>
      <c r="C467" s="466" t="n">
        <f>HYPERLINK("https://www.xiaohongshu.com/explore/693d3be4000000001e0339c1?xsec_token=TBz651BHP1Dr15NeLsAqSGPjA0MwwK3lizKrf8Smu6AWc=&amp;xsec_source=pc_trdark","https://www.xiaohongshu.com/explore/693d3be4000000001e0339c1?xsec_token=TBz651BHP1Dr15NeLsAqSGPjA0MwwK3lizKrf8Smu6AWc=&amp;xsec_source=pc_trdark")</f>
        <v>0.0</v>
      </c>
      <c r="D467" t="inlineStr">
        <is>
          <t>鲜水湾</t>
        </is>
      </c>
      <c r="E467" t="inlineStr">
        <is>
          <t>49316638994</t>
        </is>
      </c>
      <c r="F467" t="inlineStr">
        <is>
          <t>2025-12-13 18:11:48</t>
        </is>
      </c>
      <c r="G467" t="inlineStr">
        <is>
          <t>图文</t>
        </is>
      </c>
      <c r="H467" t="inlineStr">
        <is>
          <t>大虾基围虾王牌大虾厄瓜多尔白虾盐冻虾仁海洋大虾送礼顺丰包邮</t>
        </is>
      </c>
      <c r="I467" t="inlineStr">
        <is>
          <t>690aeb7be379430001e686ac</t>
        </is>
      </c>
      <c r="J467" t="inlineStr">
        <is>
          <t/>
        </is>
      </c>
      <c r="K467" t="n">
        <v>0.0</v>
      </c>
      <c r="L467" t="n">
        <v>0.0</v>
      </c>
      <c r="M467" t="n">
        <v>3.0</v>
      </c>
      <c r="N467" t="inlineStr">
        <is>
          <t>0.15789473684210525</t>
        </is>
      </c>
      <c r="O467" t="n">
        <v>2.0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inlineStr">
        <is>
          <t/>
        </is>
      </c>
      <c r="X467" t="n">
        <v>0.0</v>
      </c>
      <c r="Y467" t="n">
        <v>0.0</v>
      </c>
      <c r="Z467" t="n">
        <v>3.0</v>
      </c>
      <c r="AA467" t="n">
        <v>0.0</v>
      </c>
      <c r="AB467" t="n">
        <v>0.0</v>
      </c>
      <c r="AC467" t="n">
        <v>0.0</v>
      </c>
      <c r="AD467" t="n">
        <v>19.0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81.57894736842105</v>
      </c>
      <c r="AL467" t="inlineStr">
        <is>
          <t/>
        </is>
      </c>
    </row>
    <row r="468">
      <c r="A468" t="inlineStr">
        <is>
          <t>普通人减脂真不贵！69实现一周虾仁自由✨</t>
        </is>
      </c>
      <c r="B468" t="inlineStr">
        <is>
          <t>69ede86a000000001e00df64</t>
        </is>
      </c>
      <c r="C468" s="467" t="n">
        <f>HYPERLINK("https://www.xiaohongshu.com/explore/69ede86a000000001e00df64?xsec_token=TB3T22OHPTz18Ew6RRyYsIrHgTCrEr-OFYYLokfXVIJW4=&amp;xsec_source=pc_trdark","https://www.xiaohongshu.com/explore/69ede86a000000001e00df64?xsec_token=TB3T22OHPTz18Ew6RRyYsIrHgTCrEr-OFYYLokfXVIJW4=&amp;xsec_source=pc_trdark")</f>
        <v>0.0</v>
      </c>
      <c r="D468" t="inlineStr">
        <is>
          <t>菲菲上班吃什么</t>
        </is>
      </c>
      <c r="E468" t="inlineStr">
        <is>
          <t>49936530607</t>
        </is>
      </c>
      <c r="F468" t="inlineStr">
        <is>
          <t>2026-04-26 18:26:50</t>
        </is>
      </c>
      <c r="G468" t="inlineStr">
        <is>
          <t>图文</t>
        </is>
      </c>
      <c r="H468" t="inlineStr">
        <is>
          <t>手剥虾仁 无冰衣无添加 低脂餐一人食 上班带饭 顺丰包邮 5盒装</t>
        </is>
      </c>
      <c r="I468" t="inlineStr">
        <is>
          <t>694baba01d450d00013662f0</t>
        </is>
      </c>
      <c r="J468" t="inlineStr">
        <is>
          <t/>
        </is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inlineStr">
        <is>
          <t/>
        </is>
      </c>
      <c r="R468" t="inlineStr">
        <is>
          <t/>
        </is>
      </c>
      <c r="S468" t="n">
        <v>0.0</v>
      </c>
      <c r="T468" t="n">
        <v>0.0</v>
      </c>
      <c r="U468" t="n">
        <v>0.0</v>
      </c>
      <c r="V468" t="n">
        <v>0.0</v>
      </c>
      <c r="W468" t="inlineStr">
        <is>
          <t/>
        </is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18.0</v>
      </c>
      <c r="AE468" t="n">
        <v>1.0</v>
      </c>
      <c r="AF468" t="n">
        <v>0.0</v>
      </c>
      <c r="AG468" t="n">
        <v>0.0</v>
      </c>
      <c r="AH468" t="n">
        <v>2.0</v>
      </c>
      <c r="AI468" t="n">
        <v>0.0</v>
      </c>
      <c r="AJ468" t="n">
        <v>0.0</v>
      </c>
      <c r="AK468" t="n">
        <v>11.11111111111111</v>
      </c>
      <c r="AL468" t="inlineStr">
        <is>
          <t/>
        </is>
      </c>
    </row>
    <row r="469">
      <c r="A469" t="inlineStr">
        <is>
          <t>现在的年轻人真的低估了100来块的购买力！</t>
        </is>
      </c>
      <c r="B469" t="inlineStr">
        <is>
          <t>69c24388000000002202ac04</t>
        </is>
      </c>
      <c r="C469" s="468" t="n">
        <f>HYPERLINK("https://www.xiaohongshu.com/explore/69c24388000000002202ac04?xsec_token=TBUqBR5MVQnv6JPS0VJV95uDefB4ya4NNaD8F0Hp3-I8A=&amp;xsec_source=pc_trdark","https://www.xiaohongshu.com/explore/69c24388000000002202ac04?xsec_token=TBUqBR5MVQnv6JPS0VJV95uDefB4ya4NNaD8F0Hp3-I8A=&amp;xsec_source=pc_trdark")</f>
        <v>0.0</v>
      </c>
      <c r="D469" t="inlineStr">
        <is>
          <t>菲菲上班吃什么</t>
        </is>
      </c>
      <c r="E469" t="inlineStr">
        <is>
          <t>49936530607</t>
        </is>
      </c>
      <c r="F469" t="inlineStr">
        <is>
          <t>2026-03-24 15:55:52</t>
        </is>
      </c>
      <c r="G469" t="inlineStr">
        <is>
          <t>图文</t>
        </is>
      </c>
      <c r="H469" t="inlineStr">
        <is>
          <t>智利三文鱼切块·整条三文鱼·深海鱼一人食健康饮食</t>
        </is>
      </c>
      <c r="I469" t="inlineStr">
        <is>
          <t>691ac562a524ee0001b51d7b</t>
        </is>
      </c>
      <c r="J469" t="inlineStr">
        <is>
          <t/>
        </is>
      </c>
      <c r="K469" t="n">
        <v>0.0</v>
      </c>
      <c r="L469" t="n">
        <v>0.0</v>
      </c>
      <c r="M469" t="n">
        <v>1.0</v>
      </c>
      <c r="N469" t="inlineStr">
        <is>
          <t>0.05555555555555555</t>
        </is>
      </c>
      <c r="O469" t="n">
        <v>1.0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inlineStr">
        <is>
          <t/>
        </is>
      </c>
      <c r="X469" t="n">
        <v>0.0</v>
      </c>
      <c r="Y469" t="n">
        <v>1.0</v>
      </c>
      <c r="Z469" t="n">
        <v>1.0</v>
      </c>
      <c r="AA469" t="n">
        <v>0.0</v>
      </c>
      <c r="AB469" t="n">
        <v>0.0</v>
      </c>
      <c r="AC469" t="n">
        <v>0.0</v>
      </c>
      <c r="AD469" t="n">
        <v>18.0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7.388888888888889</v>
      </c>
      <c r="AL469" t="inlineStr">
        <is>
          <t/>
        </is>
      </c>
    </row>
    <row r="470">
      <c r="A470" t="inlineStr">
        <is>
          <t>懂货的姐妹很多，不要总想着买便宜虾仁</t>
        </is>
      </c>
      <c r="B470" t="inlineStr">
        <is>
          <t>69bcad5f000000002202a466</t>
        </is>
      </c>
      <c r="C470" s="469" t="n">
        <f>HYPERLINK("https://www.xiaohongshu.com/explore/69bcad5f000000002202a466?xsec_token=TBfIJFVzszocpn5U7ogutYTQQ7NQpU09XtAY4jyEL8T28=&amp;xsec_source=pc_trdark","https://www.xiaohongshu.com/explore/69bcad5f000000002202a466?xsec_token=TBfIJFVzszocpn5U7ogutYTQQ7NQpU09XtAY4jyEL8T28=&amp;xsec_source=pc_trdark")</f>
        <v>0.0</v>
      </c>
      <c r="D470" t="inlineStr">
        <is>
          <t>鲜水湾</t>
        </is>
      </c>
      <c r="E470" t="inlineStr">
        <is>
          <t>49316638994</t>
        </is>
      </c>
      <c r="F470" t="inlineStr">
        <is>
          <t>2026-03-20 10:13:51</t>
        </is>
      </c>
      <c r="G470" t="inlineStr">
        <is>
          <t>图文</t>
        </is>
      </c>
      <c r="H470" t="inlineStr">
        <is>
          <t>手剥虾仁 无冰衣无添加 低脂餐一人食 上班带饭 顺丰包邮 5盒装</t>
        </is>
      </c>
      <c r="I470" t="inlineStr">
        <is>
          <t>694baba01d450d00013662f0</t>
        </is>
      </c>
      <c r="J470" t="inlineStr">
        <is>
          <t/>
        </is>
      </c>
      <c r="K470" t="n">
        <v>138.0</v>
      </c>
      <c r="L470" t="n">
        <v>1.0</v>
      </c>
      <c r="M470" t="n">
        <v>3.0</v>
      </c>
      <c r="N470" t="inlineStr">
        <is>
          <t>0.16666666666666666</t>
        </is>
      </c>
      <c r="O470" t="n">
        <v>3.0</v>
      </c>
      <c r="P470" t="n">
        <v>1.0</v>
      </c>
      <c r="Q470" t="n">
        <v>0.3333333333333333</v>
      </c>
      <c r="R470" t="n">
        <v>0.3333333333333333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3.0</v>
      </c>
      <c r="Z470" t="n">
        <v>0.0</v>
      </c>
      <c r="AA470" t="n">
        <v>0.0</v>
      </c>
      <c r="AB470" t="n">
        <v>0.0</v>
      </c>
      <c r="AC470" t="n">
        <v>0.0</v>
      </c>
      <c r="AD470" t="n">
        <v>18.0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23.38888888888889</v>
      </c>
      <c r="AL470" t="inlineStr">
        <is>
          <t/>
        </is>
      </c>
    </row>
    <row r="471">
      <c r="A471" t="inlineStr">
        <is>
          <t>直观感受一下70块的购买力，顺丰包邮</t>
        </is>
      </c>
      <c r="B471" t="inlineStr">
        <is>
          <t>69b8fede000000001b022197</t>
        </is>
      </c>
      <c r="C471" s="470" t="n">
        <f>HYPERLINK("https://www.xiaohongshu.com/explore/69b8fede000000001b022197?xsec_token=TBfbAEHpo8FSFeopDu7XYUinW2lo2UiWNDuOkT2DIy0QA=&amp;xsec_source=pc_trdark","https://www.xiaohongshu.com/explore/69b8fede000000001b022197?xsec_token=TBfbAEHpo8FSFeopDu7XYUinW2lo2UiWNDuOkT2DIy0QA=&amp;xsec_source=pc_trdark")</f>
        <v>0.0</v>
      </c>
      <c r="D471" t="inlineStr">
        <is>
          <t>婉婉上班吃什么</t>
        </is>
      </c>
      <c r="E471" t="inlineStr">
        <is>
          <t>11434449706</t>
        </is>
      </c>
      <c r="F471" t="inlineStr">
        <is>
          <t>2026-03-17 15:12:30</t>
        </is>
      </c>
      <c r="G471" t="inlineStr">
        <is>
          <t>图文</t>
        </is>
      </c>
      <c r="H471" t="inlineStr">
        <is>
          <t>手剥虾仁 无冰衣无添加 低脂餐一人食 上班带饭 顺丰包邮 5盒装</t>
        </is>
      </c>
      <c r="I471" t="inlineStr">
        <is>
          <t>694baba01d450d00013662f0</t>
        </is>
      </c>
      <c r="J471" t="inlineStr">
        <is>
          <t/>
        </is>
      </c>
      <c r="K471" t="n">
        <v>0.0</v>
      </c>
      <c r="L471" t="n">
        <v>0.0</v>
      </c>
      <c r="M471" t="n">
        <v>2.0</v>
      </c>
      <c r="N471" t="n">
        <v>0.1111111111111111</v>
      </c>
      <c r="O471" t="n">
        <v>2.0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inlineStr">
        <is>
          <t/>
        </is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18.0</v>
      </c>
      <c r="AE471" t="n">
        <v>1.0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12.777777777777779</v>
      </c>
      <c r="AL471" t="inlineStr">
        <is>
          <t/>
        </is>
      </c>
    </row>
    <row r="472">
      <c r="A472" t="inlineStr">
        <is>
          <t>奉劝女孩们对70的购买力有点概念！</t>
        </is>
      </c>
      <c r="B472" t="inlineStr">
        <is>
          <t>69b5000d00000000220289ed</t>
        </is>
      </c>
      <c r="C472" s="471" t="n">
        <f>HYPERLINK("https://www.xiaohongshu.com/explore/69b5000d00000000220289ed?xsec_token=TBYgTJ9EzKmyKny4Vfc-tHEwudjjn0rnHN8ne086zGalc=&amp;xsec_source=pc_trdark","https://www.xiaohongshu.com/explore/69b5000d00000000220289ed?xsec_token=TBYgTJ9EzKmyKny4Vfc-tHEwudjjn0rnHN8ne086zGalc=&amp;xsec_source=pc_trdark")</f>
        <v>0.0</v>
      </c>
      <c r="D472" t="inlineStr">
        <is>
          <t>婉婉上班吃什么</t>
        </is>
      </c>
      <c r="E472" t="inlineStr">
        <is>
          <t>11434449706</t>
        </is>
      </c>
      <c r="F472" t="inlineStr">
        <is>
          <t>2026-03-14 14:28:29</t>
        </is>
      </c>
      <c r="G472" t="inlineStr">
        <is>
          <t>图文</t>
        </is>
      </c>
      <c r="H472" t="inlineStr">
        <is>
          <t>手剥虾仁 无冰衣无添加 低脂餐一人食 上班带饭 顺丰包邮 5盒装</t>
        </is>
      </c>
      <c r="I472" t="inlineStr">
        <is>
          <t>694baba01d450d00013662f0</t>
        </is>
      </c>
      <c r="J472" t="inlineStr">
        <is>
          <t/>
        </is>
      </c>
      <c r="K472" t="n">
        <v>0.0</v>
      </c>
      <c r="L472" t="n">
        <v>0.0</v>
      </c>
      <c r="M472" t="n">
        <v>2.0</v>
      </c>
      <c r="N472" t="n">
        <v>0.1111111111111111</v>
      </c>
      <c r="O472" t="n">
        <v>2.0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inlineStr">
        <is>
          <t/>
        </is>
      </c>
      <c r="X472" t="n">
        <v>0.0</v>
      </c>
      <c r="Y472" t="n">
        <v>0.0</v>
      </c>
      <c r="Z472" t="n">
        <v>1.0</v>
      </c>
      <c r="AA472" t="n">
        <v>0.0</v>
      </c>
      <c r="AB472" t="n">
        <v>0.0</v>
      </c>
      <c r="AC472" t="n">
        <v>0.0</v>
      </c>
      <c r="AD472" t="n">
        <v>18.0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7.444444444444445</v>
      </c>
      <c r="AL472" t="inlineStr">
        <is>
          <t/>
        </is>
      </c>
    </row>
    <row r="473">
      <c r="A473" t="inlineStr">
        <is>
          <t>2030大虾到底什么意思？不懂就先不要买</t>
        </is>
      </c>
      <c r="B473" t="inlineStr">
        <is>
          <t>69ac2c3c000000001a01e13f</t>
        </is>
      </c>
      <c r="C473" s="472" t="n">
        <f>HYPERLINK("https://www.xiaohongshu.com/explore/69ac2c3c000000001a01e13f?xsec_token=TBJgc9C9Zxv_xTZMGIz7T6c_9DdzPAH_ZyB93aHuSH6hA=&amp;xsec_source=pc_trdark","https://www.xiaohongshu.com/explore/69ac2c3c000000001a01e13f?xsec_token=TBJgc9C9Zxv_xTZMGIz7T6c_9DdzPAH_ZyB93aHuSH6hA=&amp;xsec_source=pc_trdark")</f>
        <v>0.0</v>
      </c>
      <c r="D473" t="inlineStr">
        <is>
          <t>鲜水湾</t>
        </is>
      </c>
      <c r="E473" t="inlineStr">
        <is>
          <t>49316638994</t>
        </is>
      </c>
      <c r="F473" t="inlineStr">
        <is>
          <t>2026-03-07 21:46:36</t>
        </is>
      </c>
      <c r="G473" t="inlineStr">
        <is>
          <t>图文</t>
        </is>
      </c>
      <c r="H473" t="inlineStr">
        <is>
          <t>大虾基围虾王牌大虾厄瓜多尔白虾盐冻虾仁海洋大虾送礼顺丰包邮</t>
        </is>
      </c>
      <c r="I473" t="inlineStr">
        <is>
          <t>690aeb7be379430001e686ac</t>
        </is>
      </c>
      <c r="J473" t="inlineStr">
        <is>
          <t/>
        </is>
      </c>
      <c r="K473" t="n">
        <v>0.0</v>
      </c>
      <c r="L473" t="n">
        <v>0.0</v>
      </c>
      <c r="M473" t="n">
        <v>1.0</v>
      </c>
      <c r="N473" t="inlineStr">
        <is>
          <t>0.05555555555555555</t>
        </is>
      </c>
      <c r="O473" t="n">
        <v>1.0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inlineStr">
        <is>
          <t/>
        </is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18.0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n">
        <v>8.38888888888889</v>
      </c>
      <c r="AL473" t="inlineStr">
        <is>
          <t/>
        </is>
      </c>
    </row>
    <row r="474">
      <c r="A474" t="inlineStr">
        <is>
          <t>小红书诚不欺我😭香煎三文鱼真的超好吃！</t>
        </is>
      </c>
      <c r="B474" t="inlineStr">
        <is>
          <t>6936ce79000000001e02e3c2</t>
        </is>
      </c>
      <c r="C474" s="473" t="n">
        <f>HYPERLINK("https://www.xiaohongshu.com/explore/6936ce79000000001e02e3c2?xsec_token=TBlR01uRP0dY963Q_AxX8vHKuz4QQcb-jS2lEfPVjHVsA=&amp;xsec_source=pc_trdark","https://www.xiaohongshu.com/explore/6936ce79000000001e02e3c2?xsec_token=TBlR01uRP0dY963Q_AxX8vHKuz4QQcb-jS2lEfPVjHVsA=&amp;xsec_source=pc_trdark")</f>
        <v>0.0</v>
      </c>
      <c r="D474" t="inlineStr">
        <is>
          <t>鲜水湾</t>
        </is>
      </c>
      <c r="E474" t="inlineStr">
        <is>
          <t>49316638994</t>
        </is>
      </c>
      <c r="F474" t="inlineStr">
        <is>
          <t>2025-12-08 21:11:21</t>
        </is>
      </c>
      <c r="G474" t="inlineStr">
        <is>
          <t>图文</t>
        </is>
      </c>
      <c r="H474" t="inlineStr">
        <is>
          <t>智利三文鱼切块·整条三文鱼·深海鱼一人食健康饮食</t>
        </is>
      </c>
      <c r="I474" t="inlineStr">
        <is>
          <t>691ac562a524ee0001b51d7b</t>
        </is>
      </c>
      <c r="J474" t="inlineStr">
        <is>
          <t/>
        </is>
      </c>
      <c r="K474" t="n">
        <v>0.0</v>
      </c>
      <c r="L474" t="n">
        <v>0.0</v>
      </c>
      <c r="M474" t="n">
        <v>2.0</v>
      </c>
      <c r="N474" t="n">
        <v>0.1111111111111111</v>
      </c>
      <c r="O474" t="n">
        <v>1.0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inlineStr">
        <is>
          <t/>
        </is>
      </c>
      <c r="X474" t="n">
        <v>0.0</v>
      </c>
      <c r="Y474" t="n">
        <v>2.0</v>
      </c>
      <c r="Z474" t="n">
        <v>0.0</v>
      </c>
      <c r="AA474" t="n">
        <v>0.0</v>
      </c>
      <c r="AB474" t="n">
        <v>0.0</v>
      </c>
      <c r="AC474" t="n">
        <v>0.0</v>
      </c>
      <c r="AD474" t="n">
        <v>18.0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4.944444444444445</v>
      </c>
      <c r="AL474" t="inlineStr">
        <is>
          <t/>
        </is>
      </c>
    </row>
    <row r="475">
      <c r="A475" t="inlineStr">
        <is>
          <t>60块的购买力又刷新了我的认知！</t>
        </is>
      </c>
      <c r="B475" t="inlineStr">
        <is>
          <t>6916ee160000000005012c8b</t>
        </is>
      </c>
      <c r="C475" s="474" t="n">
        <f>HYPERLINK("https://www.xiaohongshu.com/explore/6916ee160000000005012c8b?xsec_token=TBHZiehrAOyLGw_5sWYDTDSeI0v6Sx52eesnzvEiyObhc=&amp;xsec_source=pc_trdark","https://www.xiaohongshu.com/explore/6916ee160000000005012c8b?xsec_token=TBHZiehrAOyLGw_5sWYDTDSeI0v6Sx52eesnzvEiyObhc=&amp;xsec_source=pc_trdark")</f>
        <v>0.0</v>
      </c>
      <c r="D475" t="inlineStr">
        <is>
          <t>婉婉上班吃什么</t>
        </is>
      </c>
      <c r="E475" t="inlineStr">
        <is>
          <t>11434449706</t>
        </is>
      </c>
      <c r="F475" t="inlineStr">
        <is>
          <t>2025-11-14 16:53:42</t>
        </is>
      </c>
      <c r="G475" t="inlineStr">
        <is>
          <t>视频</t>
        </is>
      </c>
      <c r="H475" t="inlineStr">
        <is>
          <t>生蚝乳山生蚝海蛎子顺丰包邮</t>
        </is>
      </c>
      <c r="I475" t="inlineStr">
        <is>
          <t>690c70971b787900010866cc</t>
        </is>
      </c>
      <c r="J475" t="n">
        <v>14.0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inlineStr">
        <is>
          <t/>
        </is>
      </c>
      <c r="R475" t="inlineStr">
        <is>
          <t/>
        </is>
      </c>
      <c r="S475" t="n">
        <v>0.0</v>
      </c>
      <c r="T475" t="n">
        <v>0.0</v>
      </c>
      <c r="U475" t="n">
        <v>0.0</v>
      </c>
      <c r="V475" t="n">
        <v>0.0</v>
      </c>
      <c r="W475" t="inlineStr">
        <is>
          <t/>
        </is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18.0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7.333333333333333</v>
      </c>
      <c r="AL475" t="inlineStr">
        <is>
          <t>0.19047619047619047</t>
        </is>
      </c>
    </row>
    <row r="476">
      <c r="A476" t="inlineStr">
        <is>
          <t>买的时候也没人告诉我啊，69能吃一周啊</t>
        </is>
      </c>
      <c r="B476" t="inlineStr">
        <is>
          <t>69e98c0c000000001a02c24d</t>
        </is>
      </c>
      <c r="C476" s="475" t="n">
        <f>HYPERLINK("https://www.xiaohongshu.com/explore/69e98c0c000000001a02c24d?xsec_token=TBNkLc7pOHvt_5tNJTpGNllJ3PMCi5IPPl6apqec0i-s4=&amp;xsec_source=pc_trdark","https://www.xiaohongshu.com/explore/69e98c0c000000001a02c24d?xsec_token=TBNkLc7pOHvt_5tNJTpGNllJ3PMCi5IPPl6apqec0i-s4=&amp;xsec_source=pc_trdark")</f>
        <v>0.0</v>
      </c>
      <c r="D476" t="inlineStr">
        <is>
          <t>菲菲上班吃什么</t>
        </is>
      </c>
      <c r="E476" t="inlineStr">
        <is>
          <t>49936530607</t>
        </is>
      </c>
      <c r="F476" t="inlineStr">
        <is>
          <t>2026-04-24 07:30:00</t>
        </is>
      </c>
      <c r="G476" t="inlineStr">
        <is>
          <t>图文</t>
        </is>
      </c>
      <c r="H476" t="inlineStr">
        <is>
          <t>手剥虾仁 无冰衣无添加 低脂餐一人食 上班带饭 顺丰包邮 5盒装</t>
        </is>
      </c>
      <c r="I476" t="inlineStr">
        <is>
          <t>694baba01d450d00013662f0</t>
        </is>
      </c>
      <c r="J476" t="inlineStr">
        <is>
          <t/>
        </is>
      </c>
      <c r="K476" t="n">
        <v>0.0</v>
      </c>
      <c r="L476" t="n">
        <v>0.0</v>
      </c>
      <c r="M476" t="n">
        <v>2.0</v>
      </c>
      <c r="N476" t="inlineStr">
        <is>
          <t>0.11764705882352941</t>
        </is>
      </c>
      <c r="O476" t="n">
        <v>2.0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inlineStr">
        <is>
          <t/>
        </is>
      </c>
      <c r="X476" t="n">
        <v>0.0</v>
      </c>
      <c r="Y476" t="n">
        <v>2.0</v>
      </c>
      <c r="Z476" t="n">
        <v>1.0</v>
      </c>
      <c r="AA476" t="n">
        <v>0.0</v>
      </c>
      <c r="AB476" t="n">
        <v>0.0</v>
      </c>
      <c r="AC476" t="n">
        <v>0.0</v>
      </c>
      <c r="AD476" t="n">
        <v>17.0</v>
      </c>
      <c r="AE476" t="n">
        <v>0.0</v>
      </c>
      <c r="AF476" t="n">
        <v>0.0</v>
      </c>
      <c r="AG476" t="n">
        <v>0.0</v>
      </c>
      <c r="AH476" t="n">
        <v>2.0</v>
      </c>
      <c r="AI476" t="n">
        <v>0.0</v>
      </c>
      <c r="AJ476" t="n">
        <v>0.0</v>
      </c>
      <c r="AK476" t="n">
        <v>7.588235294117647</v>
      </c>
      <c r="AL476" t="inlineStr">
        <is>
          <t/>
        </is>
      </c>
    </row>
    <row r="477">
      <c r="A477" t="inlineStr">
        <is>
          <t>吃了15天虾的后果。。。</t>
        </is>
      </c>
      <c r="B477" t="inlineStr">
        <is>
          <t>69e87a69000000002003b2af</t>
        </is>
      </c>
      <c r="C477" s="476" t="n">
        <f>HYPERLINK("https://www.xiaohongshu.com/explore/69e87a69000000002003b2af?xsec_token=TBrsJGfbmdICsvnXoyd4QdRgqs9-1GaUCgvXdB9Lew-_s=&amp;xsec_source=pc_trdark","https://www.xiaohongshu.com/explore/69e87a69000000002003b2af?xsec_token=TBrsJGfbmdICsvnXoyd4QdRgqs9-1GaUCgvXdB9Lew-_s=&amp;xsec_source=pc_trdark")</f>
        <v>0.0</v>
      </c>
      <c r="D477" t="inlineStr">
        <is>
          <t>菲菲上班吃什么</t>
        </is>
      </c>
      <c r="E477" t="inlineStr">
        <is>
          <t>49936530607</t>
        </is>
      </c>
      <c r="F477" t="inlineStr">
        <is>
          <t>2026-04-23 16:30:00</t>
        </is>
      </c>
      <c r="G477" t="inlineStr">
        <is>
          <t>图文</t>
        </is>
      </c>
      <c r="H477" t="inlineStr">
        <is>
          <t>手剥虾仁 无冰衣无添加 低脂餐一人食 上班带饭 顺丰包邮 5盒装</t>
        </is>
      </c>
      <c r="I477" t="inlineStr">
        <is>
          <t>694baba01d450d00013662f0</t>
        </is>
      </c>
      <c r="J477" t="inlineStr">
        <is>
          <t/>
        </is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inlineStr">
        <is>
          <t/>
        </is>
      </c>
      <c r="R477" t="inlineStr">
        <is>
          <t/>
        </is>
      </c>
      <c r="S477" t="n">
        <v>0.0</v>
      </c>
      <c r="T477" t="n">
        <v>0.0</v>
      </c>
      <c r="U477" t="n">
        <v>0.0</v>
      </c>
      <c r="V477" t="n">
        <v>0.0</v>
      </c>
      <c r="W477" t="inlineStr">
        <is>
          <t/>
        </is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17.0</v>
      </c>
      <c r="AE477" t="n">
        <v>0.0</v>
      </c>
      <c r="AF477" t="n">
        <v>0.0</v>
      </c>
      <c r="AG477" t="n">
        <v>0.0</v>
      </c>
      <c r="AH477" t="n">
        <v>2.0</v>
      </c>
      <c r="AI477" t="n">
        <v>0.0</v>
      </c>
      <c r="AJ477" t="n">
        <v>0.0</v>
      </c>
      <c r="AK477" t="n">
        <v>6.764705882352941</v>
      </c>
      <c r="AL477" t="inlineStr">
        <is>
          <t/>
        </is>
      </c>
    </row>
    <row r="478">
      <c r="A478" t="inlineStr">
        <is>
          <t>厨房小白看这里！0失败的香煎三文鱼教程✅</t>
        </is>
      </c>
      <c r="B478" t="inlineStr">
        <is>
          <t>69415ddb000000001e034d33</t>
        </is>
      </c>
      <c r="C478" s="477" t="n">
        <f>HYPERLINK("https://www.xiaohongshu.com/explore/69415ddb000000001e034d33?xsec_token=TBv6go0WlLO6PYi5tzBr5K9YRgNpyTaicAvnbadSUBCKA=&amp;xsec_source=pc_trdark","https://www.xiaohongshu.com/explore/69415ddb000000001e034d33?xsec_token=TBv6go0WlLO6PYi5tzBr5K9YRgNpyTaicAvnbadSUBCKA=&amp;xsec_source=pc_trdark")</f>
        <v>0.0</v>
      </c>
      <c r="D478" t="inlineStr">
        <is>
          <t>鲜水湾</t>
        </is>
      </c>
      <c r="E478" t="inlineStr">
        <is>
          <t>49316638994</t>
        </is>
      </c>
      <c r="F478" t="inlineStr">
        <is>
          <t>2025-12-16 21:25:47</t>
        </is>
      </c>
      <c r="G478" t="inlineStr">
        <is>
          <t>图文</t>
        </is>
      </c>
      <c r="H478" t="inlineStr">
        <is>
          <t>智利三文鱼切块·整条三文鱼·深海鱼一人食健康饮食</t>
        </is>
      </c>
      <c r="I478" t="inlineStr">
        <is>
          <t>691ac562a524ee0001b51d7b</t>
        </is>
      </c>
      <c r="J478" t="inlineStr">
        <is>
          <t/>
        </is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inlineStr">
        <is>
          <t/>
        </is>
      </c>
      <c r="R478" t="inlineStr">
        <is>
          <t/>
        </is>
      </c>
      <c r="S478" t="n">
        <v>0.0</v>
      </c>
      <c r="T478" t="n">
        <v>0.0</v>
      </c>
      <c r="U478" t="n">
        <v>0.0</v>
      </c>
      <c r="V478" t="n">
        <v>0.0</v>
      </c>
      <c r="W478" t="inlineStr">
        <is>
          <t/>
        </is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17.0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16.11764705882353</v>
      </c>
      <c r="AL478" t="inlineStr">
        <is>
          <t/>
        </is>
      </c>
    </row>
    <row r="479">
      <c r="A479" t="inlineStr">
        <is>
          <t>泪水打湿减脂餐 发誓降到99……</t>
        </is>
      </c>
      <c r="B479" t="inlineStr">
        <is>
          <t>69f1d292000000003600326b</t>
        </is>
      </c>
      <c r="C479" s="478" t="n">
        <f>HYPERLINK("https://www.xiaohongshu.com/explore/69f1d292000000003600326b?xsec_token=TBLt8Y96Ok9n09b_UIgIegbv02wergR8YB5WjwtREA3wM=&amp;xsec_source=pc_trdark","https://www.xiaohongshu.com/explore/69f1d292000000003600326b?xsec_token=TBLt8Y96Ok9n09b_UIgIegbv02wergR8YB5WjwtREA3wM=&amp;xsec_source=pc_trdark")</f>
        <v>0.0</v>
      </c>
      <c r="D479" t="inlineStr">
        <is>
          <t>鲜水湾甄选</t>
        </is>
      </c>
      <c r="E479" t="inlineStr">
        <is>
          <t>27401929161</t>
        </is>
      </c>
      <c r="F479" t="inlineStr">
        <is>
          <t>2026-04-29 17:42:42</t>
        </is>
      </c>
      <c r="G479" t="inlineStr">
        <is>
          <t>图文</t>
        </is>
      </c>
      <c r="H479" t="inlineStr">
        <is>
          <t>手剥虾仁 无冰衣无添加 低脂餐一人食 上班带饭 顺丰包邮 5盒装</t>
        </is>
      </c>
      <c r="I479" t="inlineStr">
        <is>
          <t>694baba01d450d00013662f0</t>
        </is>
      </c>
      <c r="J479" t="inlineStr">
        <is>
          <t/>
        </is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inlineStr">
        <is>
          <t/>
        </is>
      </c>
      <c r="R479" t="inlineStr">
        <is>
          <t/>
        </is>
      </c>
      <c r="S479" t="n">
        <v>0.0</v>
      </c>
      <c r="T479" t="n">
        <v>0.0</v>
      </c>
      <c r="U479" t="n">
        <v>0.0</v>
      </c>
      <c r="V479" t="n">
        <v>0.0</v>
      </c>
      <c r="W479" t="inlineStr">
        <is>
          <t/>
        </is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16.0</v>
      </c>
      <c r="AE479" t="n">
        <v>0.0</v>
      </c>
      <c r="AF479" t="n">
        <v>0.0</v>
      </c>
      <c r="AG479" t="n">
        <v>0.0</v>
      </c>
      <c r="AH479" t="n">
        <v>1.0</v>
      </c>
      <c r="AI479" t="n">
        <v>0.0</v>
      </c>
      <c r="AJ479" t="n">
        <v>0.0</v>
      </c>
      <c r="AK479" t="n">
        <v>4.5</v>
      </c>
      <c r="AL479" t="inlineStr">
        <is>
          <t/>
        </is>
      </c>
    </row>
    <row r="480">
      <c r="A480" t="inlineStr">
        <is>
          <t>年轻人真的不能低估10来块钱的购买力</t>
        </is>
      </c>
      <c r="B480" t="inlineStr">
        <is>
          <t>69e9c8870000000011023007</t>
        </is>
      </c>
      <c r="C480" s="479" t="n">
        <f>HYPERLINK("https://www.xiaohongshu.com/explore/69e9c8870000000011023007?xsec_token=TBNkLc7pOHvt_5tNJTpGNllFfWLooQDqM_f1ixR8uCKC8=&amp;xsec_source=pc_trdark","https://www.xiaohongshu.com/explore/69e9c8870000000011023007?xsec_token=TBNkLc7pOHvt_5tNJTpGNllFfWLooQDqM_f1ixR8uCKC8=&amp;xsec_source=pc_trdark")</f>
        <v>0.0</v>
      </c>
      <c r="D480" t="inlineStr">
        <is>
          <t>鲜水湾甄选</t>
        </is>
      </c>
      <c r="E480" t="inlineStr">
        <is>
          <t>27401929161</t>
        </is>
      </c>
      <c r="F480" t="inlineStr">
        <is>
          <t>2026-04-24 18:00:00</t>
        </is>
      </c>
      <c r="G480" t="inlineStr">
        <is>
          <t>图文</t>
        </is>
      </c>
      <c r="H480" t="inlineStr">
        <is>
          <t>手剥虾仁 无冰衣无添加 低脂餐一人食 上班带饭 顺丰包邮 5盒装</t>
        </is>
      </c>
      <c r="I480" t="inlineStr">
        <is>
          <t>694baba01d450d00013662f0</t>
        </is>
      </c>
      <c r="J480" t="inlineStr">
        <is>
          <t/>
        </is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inlineStr">
        <is>
          <t/>
        </is>
      </c>
      <c r="R480" t="inlineStr">
        <is>
          <t/>
        </is>
      </c>
      <c r="S480" t="n">
        <v>0.0</v>
      </c>
      <c r="T480" t="n">
        <v>0.0</v>
      </c>
      <c r="U480" t="n">
        <v>0.0</v>
      </c>
      <c r="V480" t="n">
        <v>0.0</v>
      </c>
      <c r="W480" t="inlineStr">
        <is>
          <t/>
        </is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16.0</v>
      </c>
      <c r="AE480" t="n">
        <v>0.0</v>
      </c>
      <c r="AF480" t="n">
        <v>0.0</v>
      </c>
      <c r="AG480" t="n">
        <v>0.0</v>
      </c>
      <c r="AH480" t="n">
        <v>1.0</v>
      </c>
      <c r="AI480" t="n">
        <v>0.0</v>
      </c>
      <c r="AJ480" t="n">
        <v>0.0</v>
      </c>
      <c r="AK480" t="n">
        <v>8.0625</v>
      </c>
      <c r="AL480" t="inlineStr">
        <is>
          <t/>
        </is>
      </c>
    </row>
    <row r="481">
      <c r="A481" t="inlineStr">
        <is>
          <t>女孩们，吃饭的首要任务，是吃够100g蛋白质！</t>
        </is>
      </c>
      <c r="B481" t="inlineStr">
        <is>
          <t>69e7355000000000230204e4</t>
        </is>
      </c>
      <c r="C481" s="480" t="n">
        <f>HYPERLINK("https://www.xiaohongshu.com/explore/69e7355000000000230204e4?xsec_token=TBxJD1S06w8M0Ib6UdHEwWiGD6BvCNY_exoU54moFxEJM=&amp;xsec_source=pc_trdark","https://www.xiaohongshu.com/explore/69e7355000000000230204e4?xsec_token=TBxJD1S06w8M0Ib6UdHEwWiGD6BvCNY_exoU54moFxEJM=&amp;xsec_source=pc_trdark")</f>
        <v>0.0</v>
      </c>
      <c r="D481" t="inlineStr">
        <is>
          <t>鲜水湾甄选</t>
        </is>
      </c>
      <c r="E481" t="inlineStr">
        <is>
          <t>27401929161</t>
        </is>
      </c>
      <c r="F481" t="inlineStr">
        <is>
          <t>2026-04-22 14:30:00</t>
        </is>
      </c>
      <c r="G481" t="inlineStr">
        <is>
          <t>图文</t>
        </is>
      </c>
      <c r="H481" t="inlineStr">
        <is>
          <t>手剥虾仁 无冰衣无添加 低脂餐一人食 上班带饭 顺丰包邮 5盒装</t>
        </is>
      </c>
      <c r="I481" t="inlineStr">
        <is>
          <t>694baba01d450d00013662f0</t>
        </is>
      </c>
      <c r="J481" t="inlineStr">
        <is>
          <t/>
        </is>
      </c>
      <c r="K481" t="n">
        <v>0.0</v>
      </c>
      <c r="L481" t="n">
        <v>0.0</v>
      </c>
      <c r="M481" t="n">
        <v>2.0</v>
      </c>
      <c r="N481" t="n">
        <v>0.125</v>
      </c>
      <c r="O481" t="n">
        <v>2.0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inlineStr">
        <is>
          <t/>
        </is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16.0</v>
      </c>
      <c r="AE481" t="n">
        <v>1.0</v>
      </c>
      <c r="AF481" t="n">
        <v>0.0</v>
      </c>
      <c r="AG481" t="n">
        <v>0.0</v>
      </c>
      <c r="AH481" t="n">
        <v>2.0</v>
      </c>
      <c r="AI481" t="n">
        <v>0.0</v>
      </c>
      <c r="AJ481" t="n">
        <v>0.0</v>
      </c>
      <c r="AK481" t="n">
        <v>14.0</v>
      </c>
      <c r="AL481" t="inlineStr">
        <is>
          <t/>
        </is>
      </c>
    </row>
    <row r="482">
      <c r="A482" t="inlineStr">
        <is>
          <t>唯一缺点：每年冬天才能吃到巅峰状态！</t>
        </is>
      </c>
      <c r="B482" t="inlineStr">
        <is>
          <t>6965fec9000000001a02b1ff</t>
        </is>
      </c>
      <c r="C482" s="481" t="n">
        <f>HYPERLINK("https://www.xiaohongshu.com/explore/6965fec9000000001a02b1ff?xsec_token=TBE9WU_urHEsXnQ8_LNO6gIQDV7v5DHA9yxliHE0F7npA=&amp;xsec_source=pc_trdark","https://www.xiaohongshu.com/explore/6965fec9000000001a02b1ff?xsec_token=TBE9WU_urHEsXnQ8_LNO6gIQDV7v5DHA9yxliHE0F7npA=&amp;xsec_source=pc_trdark")</f>
        <v>0.0</v>
      </c>
      <c r="D482" t="inlineStr">
        <is>
          <t>婉婉上班吃什么</t>
        </is>
      </c>
      <c r="E482" t="inlineStr">
        <is>
          <t>11434449706</t>
        </is>
      </c>
      <c r="F482" t="inlineStr">
        <is>
          <t>2026-01-13 16:14:01</t>
        </is>
      </c>
      <c r="G482" t="inlineStr">
        <is>
          <t>视频</t>
        </is>
      </c>
      <c r="H482" t="inlineStr">
        <is>
          <t>生蚝乳山生蚝海蛎子顺丰包邮</t>
        </is>
      </c>
      <c r="I482" t="inlineStr">
        <is>
          <t>690c70971b787900010866cc</t>
        </is>
      </c>
      <c r="J482" t="n">
        <v>23.0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inlineStr">
        <is>
          <t/>
        </is>
      </c>
      <c r="R482" t="inlineStr">
        <is>
          <t/>
        </is>
      </c>
      <c r="S482" t="n">
        <v>0.0</v>
      </c>
      <c r="T482" t="n">
        <v>0.0</v>
      </c>
      <c r="U482" t="n">
        <v>0.0</v>
      </c>
      <c r="V482" t="n">
        <v>0.0</v>
      </c>
      <c r="W482" t="inlineStr">
        <is>
          <t/>
        </is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16.0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5.9375</v>
      </c>
      <c r="AL482" t="n">
        <v>0.0625</v>
      </c>
    </row>
    <row r="483">
      <c r="A483" t="inlineStr">
        <is>
          <t>山东大生蚝肥了！49.9五斤顺丰包邮到家</t>
        </is>
      </c>
      <c r="B483" t="inlineStr">
        <is>
          <t>6940ef3c000000001e02c2f8</t>
        </is>
      </c>
      <c r="C483" s="482" t="n">
        <f>HYPERLINK("https://www.xiaohongshu.com/explore/6940ef3c000000001e02c2f8?xsec_token=TBzm36tUj4jhogPihZGtakWUx_qiRbauHFRKJ3QaYzcoQ=&amp;xsec_source=pc_trdark","https://www.xiaohongshu.com/explore/6940ef3c000000001e02c2f8?xsec_token=TBzm36tUj4jhogPihZGtakWUx_qiRbauHFRKJ3QaYzcoQ=&amp;xsec_source=pc_trdark")</f>
        <v>0.0</v>
      </c>
      <c r="D483" t="inlineStr">
        <is>
          <t>婉婉上班吃什么</t>
        </is>
      </c>
      <c r="E483" t="inlineStr">
        <is>
          <t>11434449706</t>
        </is>
      </c>
      <c r="F483" t="inlineStr">
        <is>
          <t>2025-12-16 13:33:48</t>
        </is>
      </c>
      <c r="G483" t="inlineStr">
        <is>
          <t>视频</t>
        </is>
      </c>
      <c r="H483" t="inlineStr">
        <is>
          <t>生蚝乳山生蚝海蛎子顺丰包邮</t>
        </is>
      </c>
      <c r="I483" t="inlineStr">
        <is>
          <t>690c70971b787900010866cc</t>
        </is>
      </c>
      <c r="J483" t="n">
        <v>21.0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inlineStr">
        <is>
          <t/>
        </is>
      </c>
      <c r="R483" t="inlineStr">
        <is>
          <t/>
        </is>
      </c>
      <c r="S483" t="n">
        <v>0.0</v>
      </c>
      <c r="T483" t="n">
        <v>0.0</v>
      </c>
      <c r="U483" t="n">
        <v>0.0</v>
      </c>
      <c r="V483" t="n">
        <v>0.0</v>
      </c>
      <c r="W483" t="inlineStr">
        <is>
          <t/>
        </is>
      </c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16.0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5.9375</v>
      </c>
      <c r="AL483" t="inlineStr">
        <is>
          <t>0.05555555555555555</t>
        </is>
      </c>
    </row>
    <row r="484">
      <c r="A484" t="inlineStr">
        <is>
          <t>同事对于我每天吃一盒虾仁，表示很奢侈！</t>
        </is>
      </c>
      <c r="B484" t="inlineStr">
        <is>
          <t>69e83557000000002003a5df</t>
        </is>
      </c>
      <c r="C484" s="483" t="n">
        <f>HYPERLINK("https://www.xiaohongshu.com/explore/69e83557000000002003a5df?xsec_token=TBrsJGfbmdICsvnXoyd4QdRuq8Ul7zuOb0bBRKU_1GULg=&amp;xsec_source=pc_trdark","https://www.xiaohongshu.com/explore/69e83557000000002003a5df?xsec_token=TBrsJGfbmdICsvnXoyd4QdRuq8Ul7zuOb0bBRKU_1GULg=&amp;xsec_source=pc_trdark")</f>
        <v>0.0</v>
      </c>
      <c r="D484" t="inlineStr">
        <is>
          <t>菲菲上班吃什么</t>
        </is>
      </c>
      <c r="E484" t="inlineStr">
        <is>
          <t>49936530607</t>
        </is>
      </c>
      <c r="F484" t="inlineStr">
        <is>
          <t>2026-04-22 10:41:27</t>
        </is>
      </c>
      <c r="G484" t="inlineStr">
        <is>
          <t>图文</t>
        </is>
      </c>
      <c r="H484" t="inlineStr">
        <is>
          <t>手剥虾仁 无冰衣无添加 低脂餐一人食 上班带饭 顺丰包邮 5盒装</t>
        </is>
      </c>
      <c r="I484" t="inlineStr">
        <is>
          <t>694baba01d450d00013662f0</t>
        </is>
      </c>
      <c r="J484" t="inlineStr">
        <is>
          <t/>
        </is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inlineStr">
        <is>
          <t/>
        </is>
      </c>
      <c r="R484" t="inlineStr">
        <is>
          <t/>
        </is>
      </c>
      <c r="S484" t="n">
        <v>0.0</v>
      </c>
      <c r="T484" t="n">
        <v>0.0</v>
      </c>
      <c r="U484" t="n">
        <v>0.0</v>
      </c>
      <c r="V484" t="n">
        <v>0.0</v>
      </c>
      <c r="W484" t="inlineStr">
        <is>
          <t/>
        </is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15.0</v>
      </c>
      <c r="AE484" t="n">
        <v>0.0</v>
      </c>
      <c r="AF484" t="n">
        <v>0.0</v>
      </c>
      <c r="AG484" t="n">
        <v>0.0</v>
      </c>
      <c r="AH484" t="n">
        <v>1.0</v>
      </c>
      <c r="AI484" t="n">
        <v>0.0</v>
      </c>
      <c r="AJ484" t="n">
        <v>0.0</v>
      </c>
      <c r="AK484" t="n">
        <v>14.933333333333334</v>
      </c>
      <c r="AL484" t="inlineStr">
        <is>
          <t/>
        </is>
      </c>
    </row>
    <row r="485">
      <c r="A485" t="inlineStr">
        <is>
          <t>说一个撑死人但热量很低的东西</t>
        </is>
      </c>
      <c r="B485" t="inlineStr">
        <is>
          <t>69bd64bf000000002300553e</t>
        </is>
      </c>
      <c r="C485" s="484" t="n">
        <f>HYPERLINK("https://www.xiaohongshu.com/explore/69bd64bf000000002300553e?xsec_token=TBRwbx0S6Y78qN5wWC1_PyBGhoiRMj1TAICo4pUZmkzu0=&amp;xsec_source=pc_trdark","https://www.xiaohongshu.com/explore/69bd64bf000000002300553e?xsec_token=TBRwbx0S6Y78qN5wWC1_PyBGhoiRMj1TAICo4pUZmkzu0=&amp;xsec_source=pc_trdark")</f>
        <v>0.0</v>
      </c>
      <c r="D485" t="inlineStr">
        <is>
          <t>菲菲上班吃什么</t>
        </is>
      </c>
      <c r="E485" t="inlineStr">
        <is>
          <t>49936530607</t>
        </is>
      </c>
      <c r="F485" t="inlineStr">
        <is>
          <t>2026-03-20 23:16:15</t>
        </is>
      </c>
      <c r="G485" t="inlineStr">
        <is>
          <t>图文</t>
        </is>
      </c>
      <c r="H485" t="inlineStr">
        <is>
          <t>手剥虾仁 无冰衣无添加 低脂餐一人食 上班带饭 顺丰包邮 5盒装</t>
        </is>
      </c>
      <c r="I485" t="inlineStr">
        <is>
          <t>694baba01d450d00013662f0</t>
        </is>
      </c>
      <c r="J485" t="inlineStr">
        <is>
          <t/>
        </is>
      </c>
      <c r="K485" t="n">
        <v>0.0</v>
      </c>
      <c r="L485" t="n">
        <v>0.0</v>
      </c>
      <c r="M485" t="n">
        <v>2.0</v>
      </c>
      <c r="N485" t="inlineStr">
        <is>
          <t>0.13333333333333333</t>
        </is>
      </c>
      <c r="O485" t="n">
        <v>2.0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inlineStr">
        <is>
          <t/>
        </is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15.0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16.2</v>
      </c>
      <c r="AL485" t="inlineStr">
        <is>
          <t/>
        </is>
      </c>
    </row>
    <row r="486">
      <c r="A486" t="inlineStr">
        <is>
          <t>以为300块没多少，结果吃了半个月</t>
        </is>
      </c>
      <c r="B486" t="inlineStr">
        <is>
          <t>69b132b60000000006008aed</t>
        </is>
      </c>
      <c r="C486" s="485" t="n">
        <f>HYPERLINK("https://www.xiaohongshu.com/explore/69b132b60000000006008aed?xsec_token=TBPThwaY7kqe53qUk5J0OyzgfG1Iy5wqzAvKp5GDYhs4Y=&amp;xsec_source=pc_trdark","https://www.xiaohongshu.com/explore/69b132b60000000006008aed?xsec_token=TBPThwaY7kqe53qUk5J0OyzgfG1Iy5wqzAvKp5GDYhs4Y=&amp;xsec_source=pc_trdark")</f>
        <v>0.0</v>
      </c>
      <c r="D486" t="inlineStr">
        <is>
          <t>婉婉上班吃什么</t>
        </is>
      </c>
      <c r="E486" t="inlineStr">
        <is>
          <t>11434449706</t>
        </is>
      </c>
      <c r="F486" t="inlineStr">
        <is>
          <t>2026-03-11 17:15:34</t>
        </is>
      </c>
      <c r="G486" t="inlineStr">
        <is>
          <t>图文</t>
        </is>
      </c>
      <c r="H486" t="inlineStr">
        <is>
          <t>智利三文鱼切块·整条三文鱼·深海鱼一人食健康饮食</t>
        </is>
      </c>
      <c r="I486" t="inlineStr">
        <is>
          <t>691ac562a524ee0001b51d7b</t>
        </is>
      </c>
      <c r="J486" t="inlineStr">
        <is>
          <t/>
        </is>
      </c>
      <c r="K486" t="n">
        <v>0.0</v>
      </c>
      <c r="L486" t="n">
        <v>0.0</v>
      </c>
      <c r="M486" t="n">
        <v>2.0</v>
      </c>
      <c r="N486" t="inlineStr">
        <is>
          <t>0.13333333333333333</t>
        </is>
      </c>
      <c r="O486" t="n">
        <v>2.0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inlineStr">
        <is>
          <t/>
        </is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15.0</v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11.533333333333333</v>
      </c>
      <c r="AL486" t="inlineStr">
        <is>
          <t/>
        </is>
      </c>
    </row>
    <row r="487">
      <c r="A487" t="inlineStr">
        <is>
          <t>蛋白质健身教练推荐我吃三文鱼排</t>
        </is>
      </c>
      <c r="B487" t="inlineStr">
        <is>
          <t>699ec98d000000001a01ed96</t>
        </is>
      </c>
      <c r="C487" s="486" t="n">
        <f>HYPERLINK("https://www.xiaohongshu.com/explore/699ec98d000000001a01ed96?xsec_token=TBggKgSP0tIUAtqBAPfP3mLdlGNOXhAv0abcSVh7WkQrk=&amp;xsec_source=pc_trdark","https://www.xiaohongshu.com/explore/699ec98d000000001a01ed96?xsec_token=TBggKgSP0tIUAtqBAPfP3mLdlGNOXhAv0abcSVh7WkQrk=&amp;xsec_source=pc_trdark")</f>
        <v>0.0</v>
      </c>
      <c r="D487" t="inlineStr">
        <is>
          <t>鲜水湾</t>
        </is>
      </c>
      <c r="E487" t="inlineStr">
        <is>
          <t>49316638994</t>
        </is>
      </c>
      <c r="F487" t="inlineStr">
        <is>
          <t>2026-02-25 18:06:05</t>
        </is>
      </c>
      <c r="G487" t="inlineStr">
        <is>
          <t>图文</t>
        </is>
      </c>
      <c r="H487" t="inlineStr">
        <is>
          <t>智利三文鱼切块·整条三文鱼·深海鱼一人食健康饮食</t>
        </is>
      </c>
      <c r="I487" t="inlineStr">
        <is>
          <t>691ac562a524ee0001b51d7b</t>
        </is>
      </c>
      <c r="J487" t="inlineStr">
        <is>
          <t/>
        </is>
      </c>
      <c r="K487" t="n">
        <v>0.0</v>
      </c>
      <c r="L487" t="n">
        <v>0.0</v>
      </c>
      <c r="M487" t="n">
        <v>1.0</v>
      </c>
      <c r="N487" t="inlineStr">
        <is>
          <t>0.06666666666666667</t>
        </is>
      </c>
      <c r="O487" t="n">
        <v>1.0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inlineStr">
        <is>
          <t/>
        </is>
      </c>
      <c r="X487" t="n">
        <v>0.0</v>
      </c>
      <c r="Y487" t="n">
        <v>1.0</v>
      </c>
      <c r="Z487" t="n">
        <v>0.0</v>
      </c>
      <c r="AA487" t="n">
        <v>0.0</v>
      </c>
      <c r="AB487" t="n">
        <v>0.0</v>
      </c>
      <c r="AC487" t="n">
        <v>0.0</v>
      </c>
      <c r="AD487" t="n">
        <v>15.0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14.133333333333333</v>
      </c>
      <c r="AL487" t="inlineStr">
        <is>
          <t/>
        </is>
      </c>
    </row>
    <row r="488">
      <c r="A488" t="inlineStr">
        <is>
          <t>40多的乳山生蚝太肥了！好好吃啊</t>
        </is>
      </c>
      <c r="B488" t="inlineStr">
        <is>
          <t>694b5431000000001e00acd4</t>
        </is>
      </c>
      <c r="C488" s="487" t="n">
        <f>HYPERLINK("https://www.xiaohongshu.com/explore/694b5431000000001e00acd4?xsec_token=TBJ1d3lsVKl7u73DozgnzSfvzPKARdzhfUzdrmxgDiM1Q=&amp;xsec_source=pc_trdark","https://www.xiaohongshu.com/explore/694b5431000000001e00acd4?xsec_token=TBJ1d3lsVKl7u73DozgnzSfvzPKARdzhfUzdrmxgDiM1Q=&amp;xsec_source=pc_trdark")</f>
        <v>0.0</v>
      </c>
      <c r="D488" t="inlineStr">
        <is>
          <t>婉婉上班吃什么</t>
        </is>
      </c>
      <c r="E488" t="inlineStr">
        <is>
          <t>11434449706</t>
        </is>
      </c>
      <c r="F488" t="inlineStr">
        <is>
          <t>2025-12-24 10:47:13</t>
        </is>
      </c>
      <c r="G488" t="inlineStr">
        <is>
          <t>视频</t>
        </is>
      </c>
      <c r="H488" t="inlineStr">
        <is>
          <t>生蚝乳山生蚝海蛎子顺丰包邮</t>
        </is>
      </c>
      <c r="I488" t="inlineStr">
        <is>
          <t>690c70971b787900010866cc</t>
        </is>
      </c>
      <c r="J488" t="n">
        <v>31.0</v>
      </c>
      <c r="K488" t="n">
        <v>0.0</v>
      </c>
      <c r="L488" t="n">
        <v>0.0</v>
      </c>
      <c r="M488" t="n">
        <v>1.0</v>
      </c>
      <c r="N488" t="inlineStr">
        <is>
          <t>0.06666666666666667</t>
        </is>
      </c>
      <c r="O488" t="n">
        <v>1.0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inlineStr">
        <is>
          <t/>
        </is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15.0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4.466666666666667</v>
      </c>
      <c r="AL488" t="inlineStr">
        <is>
          <t>0.06666666666666667</t>
        </is>
      </c>
    </row>
    <row r="489">
      <c r="A489" t="inlineStr">
        <is>
          <t>安利给减脂期姐妹，69r实现虾仁自由！</t>
        </is>
      </c>
      <c r="B489" t="inlineStr">
        <is>
          <t>69f3249c000000003501ec2f</t>
        </is>
      </c>
      <c r="C489" s="488" t="n">
        <f>HYPERLINK("https://www.xiaohongshu.com/explore/69f3249c000000003501ec2f?xsec_token=TBx93XfWzGohdywDZFOL5vkbyqvSMRyjzOOply3vnsoNs=&amp;xsec_source=pc_trdark","https://www.xiaohongshu.com/explore/69f3249c000000003501ec2f?xsec_token=TBx93XfWzGohdywDZFOL5vkbyqvSMRyjzOOply3vnsoNs=&amp;xsec_source=pc_trdark")</f>
        <v>0.0</v>
      </c>
      <c r="D489" t="inlineStr">
        <is>
          <t>鲜水湾甄选</t>
        </is>
      </c>
      <c r="E489" t="inlineStr">
        <is>
          <t>27401929161</t>
        </is>
      </c>
      <c r="F489" t="inlineStr">
        <is>
          <t>2026-04-30 17:45:00</t>
        </is>
      </c>
      <c r="G489" t="inlineStr">
        <is>
          <t>图文</t>
        </is>
      </c>
      <c r="H489" t="inlineStr">
        <is>
          <t>手剥虾仁 无冰衣无添加 低脂餐一人食 上班带饭 顺丰包邮 5盒装</t>
        </is>
      </c>
      <c r="I489" t="inlineStr">
        <is>
          <t>694baba01d450d00013662f0</t>
        </is>
      </c>
      <c r="J489" t="inlineStr">
        <is>
          <t/>
        </is>
      </c>
      <c r="K489" t="n">
        <v>69.0</v>
      </c>
      <c r="L489" t="n">
        <v>1.0</v>
      </c>
      <c r="M489" t="n">
        <v>2.0</v>
      </c>
      <c r="N489" t="inlineStr">
        <is>
          <t>0.14285714285714285</t>
        </is>
      </c>
      <c r="O489" t="n">
        <v>2.0</v>
      </c>
      <c r="P489" t="n">
        <v>1.0</v>
      </c>
      <c r="Q489" t="n">
        <v>0.5</v>
      </c>
      <c r="R489" t="n">
        <v>0.5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14.0</v>
      </c>
      <c r="AE489" t="n">
        <v>0.0</v>
      </c>
      <c r="AF489" t="n">
        <v>0.0</v>
      </c>
      <c r="AG489" t="n">
        <v>0.0</v>
      </c>
      <c r="AH489" t="n">
        <v>1.0</v>
      </c>
      <c r="AI489" t="n">
        <v>0.0</v>
      </c>
      <c r="AJ489" t="n">
        <v>0.0</v>
      </c>
      <c r="AK489" t="n">
        <v>8.428571428571429</v>
      </c>
      <c r="AL489" t="inlineStr">
        <is>
          <t/>
        </is>
      </c>
    </row>
    <row r="490">
      <c r="A490" t="inlineStr">
        <is>
          <t>连吃一周是我的极限，不是它的....</t>
        </is>
      </c>
      <c r="B490" t="inlineStr">
        <is>
          <t>69e99247000000001f005313</t>
        </is>
      </c>
      <c r="C490" s="489" t="n">
        <f>HYPERLINK("https://www.xiaohongshu.com/explore/69e99247000000001f005313?xsec_token=TBNkLc7pOHvt_5tNJTpGNllMOGpfqZ5fR8D20inGxtLpc=&amp;xsec_source=pc_trdark","https://www.xiaohongshu.com/explore/69e99247000000001f005313?xsec_token=TBNkLc7pOHvt_5tNJTpGNllMOGpfqZ5fR8D20inGxtLpc=&amp;xsec_source=pc_trdark")</f>
        <v>0.0</v>
      </c>
      <c r="D490" t="inlineStr">
        <is>
          <t>菲菲上班吃什么</t>
        </is>
      </c>
      <c r="E490" t="inlineStr">
        <is>
          <t>49936530607</t>
        </is>
      </c>
      <c r="F490" t="inlineStr">
        <is>
          <t>2026-04-24 14:30:00</t>
        </is>
      </c>
      <c r="G490" t="inlineStr">
        <is>
          <t>图文</t>
        </is>
      </c>
      <c r="H490" t="inlineStr">
        <is>
          <t>手剥虾仁 无冰衣无添加 低脂餐一人食 上班带饭 顺丰包邮 5盒装</t>
        </is>
      </c>
      <c r="I490" t="inlineStr">
        <is>
          <t>694baba01d450d00013662f0</t>
        </is>
      </c>
      <c r="J490" t="inlineStr">
        <is>
          <t/>
        </is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inlineStr">
        <is>
          <t/>
        </is>
      </c>
      <c r="R490" t="inlineStr">
        <is>
          <t/>
        </is>
      </c>
      <c r="S490" t="n">
        <v>0.0</v>
      </c>
      <c r="T490" t="n">
        <v>0.0</v>
      </c>
      <c r="U490" t="n">
        <v>0.0</v>
      </c>
      <c r="V490" t="n">
        <v>0.0</v>
      </c>
      <c r="W490" t="inlineStr">
        <is>
          <t/>
        </is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14.0</v>
      </c>
      <c r="AE490" t="n">
        <v>0.0</v>
      </c>
      <c r="AF490" t="n">
        <v>0.0</v>
      </c>
      <c r="AG490" t="n">
        <v>0.0</v>
      </c>
      <c r="AH490" t="n">
        <v>1.0</v>
      </c>
      <c r="AI490" t="n">
        <v>0.0</v>
      </c>
      <c r="AJ490" t="n">
        <v>0.0</v>
      </c>
      <c r="AK490" t="n">
        <v>4.0</v>
      </c>
      <c r="AL490" t="inlineStr">
        <is>
          <t/>
        </is>
      </c>
    </row>
    <row r="491">
      <c r="A491" t="inlineStr">
        <is>
          <t>青岛无冰衣手剥大虾仁入驻小红书了！！</t>
        </is>
      </c>
      <c r="B491" t="inlineStr">
        <is>
          <t>69cb3f80000000002003a5d1</t>
        </is>
      </c>
      <c r="C491" s="490" t="n">
        <f>HYPERLINK("https://www.xiaohongshu.com/explore/69cb3f80000000002003a5d1?xsec_token=TBNvk7eB588c7ey-qUUMF7ORtthKugWghWI6APJvv_W1k=&amp;xsec_source=pc_trdark","https://www.xiaohongshu.com/explore/69cb3f80000000002003a5d1?xsec_token=TBNvk7eB588c7ey-qUUMF7ORtthKugWghWI6APJvv_W1k=&amp;xsec_source=pc_trdark")</f>
        <v>0.0</v>
      </c>
      <c r="D491" t="inlineStr">
        <is>
          <t>鲜水湾</t>
        </is>
      </c>
      <c r="E491" t="inlineStr">
        <is>
          <t>49316638994</t>
        </is>
      </c>
      <c r="F491" t="inlineStr">
        <is>
          <t>2026-03-31 11:29:04</t>
        </is>
      </c>
      <c r="G491" t="inlineStr">
        <is>
          <t>图文</t>
        </is>
      </c>
      <c r="H491" t="inlineStr">
        <is>
          <t>手剥虾仁 无冰衣无添加 低脂餐一人食 上班带饭 顺丰包邮 5盒装</t>
        </is>
      </c>
      <c r="I491" t="inlineStr">
        <is>
          <t>694baba01d450d00013662f0</t>
        </is>
      </c>
      <c r="J491" t="inlineStr">
        <is>
          <t/>
        </is>
      </c>
      <c r="K491" t="n">
        <v>0.0</v>
      </c>
      <c r="L491" t="n">
        <v>0.0</v>
      </c>
      <c r="M491" t="n">
        <v>2.0</v>
      </c>
      <c r="N491" t="inlineStr">
        <is>
          <t>0.14285714285714285</t>
        </is>
      </c>
      <c r="O491" t="n">
        <v>2.0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inlineStr">
        <is>
          <t/>
        </is>
      </c>
      <c r="X491" t="n">
        <v>0.0</v>
      </c>
      <c r="Y491" t="n">
        <v>0.0</v>
      </c>
      <c r="Z491" t="n">
        <v>2.0</v>
      </c>
      <c r="AA491" t="n">
        <v>0.0</v>
      </c>
      <c r="AB491" t="n">
        <v>0.0</v>
      </c>
      <c r="AC491" t="n">
        <v>0.0</v>
      </c>
      <c r="AD491" t="n">
        <v>14.0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7.142857142857143</v>
      </c>
      <c r="AL491" t="inlineStr">
        <is>
          <t/>
        </is>
      </c>
    </row>
    <row r="492">
      <c r="A492" t="inlineStr">
        <is>
          <t>和老爸商量后推出减脂人小包装</t>
        </is>
      </c>
      <c r="B492" t="inlineStr">
        <is>
          <t>69c8866f000000002301e9d9</t>
        </is>
      </c>
      <c r="C492" s="491" t="n">
        <f>HYPERLINK("https://www.xiaohongshu.com/explore/69c8866f000000002301e9d9?xsec_token=TBSs0bsvi6YGXB042lLCz_JEQuDtIIoe5JEOSGrClQEtA=&amp;xsec_source=pc_trdark","https://www.xiaohongshu.com/explore/69c8866f000000002301e9d9?xsec_token=TBSs0bsvi6YGXB042lLCz_JEQuDtIIoe5JEOSGrClQEtA=&amp;xsec_source=pc_trdark")</f>
        <v>0.0</v>
      </c>
      <c r="D492" t="inlineStr">
        <is>
          <t>鲜水湾</t>
        </is>
      </c>
      <c r="E492" t="inlineStr">
        <is>
          <t>49316638994</t>
        </is>
      </c>
      <c r="F492" t="inlineStr">
        <is>
          <t>2026-03-29 09:54:55</t>
        </is>
      </c>
      <c r="G492" t="inlineStr">
        <is>
          <t>图文</t>
        </is>
      </c>
      <c r="H492" t="inlineStr">
        <is>
          <t>手剥虾仁 无冰衣无添加 低脂餐一人食 上班带饭 顺丰包邮 5盒装</t>
        </is>
      </c>
      <c r="I492" t="inlineStr">
        <is>
          <t>694baba01d450d00013662f0</t>
        </is>
      </c>
      <c r="J492" t="inlineStr">
        <is>
          <t/>
        </is>
      </c>
      <c r="K492" t="n">
        <v>69.0</v>
      </c>
      <c r="L492" t="n">
        <v>1.0</v>
      </c>
      <c r="M492" t="n">
        <v>5.0</v>
      </c>
      <c r="N492" t="inlineStr">
        <is>
          <t>0.35714285714285715</t>
        </is>
      </c>
      <c r="O492" t="n">
        <v>5.0</v>
      </c>
      <c r="P492" t="n">
        <v>1.0</v>
      </c>
      <c r="Q492" t="n">
        <v>0.2</v>
      </c>
      <c r="R492" t="n">
        <v>0.2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1.0</v>
      </c>
      <c r="AA492" t="n">
        <v>0.0</v>
      </c>
      <c r="AB492" t="n">
        <v>0.0</v>
      </c>
      <c r="AC492" t="n">
        <v>0.0</v>
      </c>
      <c r="AD492" t="n">
        <v>14.0</v>
      </c>
      <c r="AE492" t="n">
        <v>1.0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17.928571428571427</v>
      </c>
      <c r="AL492" t="inlineStr">
        <is>
          <t/>
        </is>
      </c>
    </row>
    <row r="493">
      <c r="A493" t="inlineStr">
        <is>
          <t>第一次直观感受到100来块的威力！</t>
        </is>
      </c>
      <c r="B493" t="inlineStr">
        <is>
          <t>69c14c73000000001b022934</t>
        </is>
      </c>
      <c r="C493" s="492" t="n">
        <f>HYPERLINK("https://www.xiaohongshu.com/explore/69c14c73000000001b022934?xsec_token=TBltfkQyXS0u_Ko7SgIzuBYlyucDfee2r2kJ6TThxT5mA=&amp;xsec_source=pc_trdark","https://www.xiaohongshu.com/explore/69c14c73000000001b022934?xsec_token=TBltfkQyXS0u_Ko7SgIzuBYlyucDfee2r2kJ6TThxT5mA=&amp;xsec_source=pc_trdark")</f>
        <v>0.0</v>
      </c>
      <c r="D493" t="inlineStr">
        <is>
          <t>婉婉上班吃什么</t>
        </is>
      </c>
      <c r="E493" t="inlineStr">
        <is>
          <t>11434449706</t>
        </is>
      </c>
      <c r="F493" t="inlineStr">
        <is>
          <t>2026-03-23 22:21:39</t>
        </is>
      </c>
      <c r="G493" t="inlineStr">
        <is>
          <t>图文</t>
        </is>
      </c>
      <c r="H493" t="inlineStr">
        <is>
          <t>手剥虾仁 无冰衣无添加 低脂餐一人食 上班带饭 顺丰包邮 5盒装</t>
        </is>
      </c>
      <c r="I493" t="inlineStr">
        <is>
          <t>694baba01d450d00013662f0</t>
        </is>
      </c>
      <c r="J493" t="inlineStr">
        <is>
          <t/>
        </is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inlineStr">
        <is>
          <t/>
        </is>
      </c>
      <c r="R493" t="inlineStr">
        <is>
          <t/>
        </is>
      </c>
      <c r="S493" t="n">
        <v>0.0</v>
      </c>
      <c r="T493" t="n">
        <v>0.0</v>
      </c>
      <c r="U493" t="n">
        <v>0.0</v>
      </c>
      <c r="V493" t="n">
        <v>0.0</v>
      </c>
      <c r="W493" t="inlineStr">
        <is>
          <t/>
        </is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14.0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4.785714285714286</v>
      </c>
      <c r="AL493" t="inlineStr">
        <is>
          <t/>
        </is>
      </c>
    </row>
    <row r="494">
      <c r="A494" t="inlineStr">
        <is>
          <t>身材管理期虾仁和牛肉怎么选？我全要有的～</t>
        </is>
      </c>
      <c r="B494" t="inlineStr">
        <is>
          <t>69bd6b52000000001f0015a2</t>
        </is>
      </c>
      <c r="C494" s="493" t="n">
        <f>HYPERLINK("https://www.xiaohongshu.com/explore/69bd6b52000000001f0015a2?xsec_token=TBRwbx0S6Y78qN5wWC1_PyBJ9jgyQRpLMHTKQvs-0CR0A=&amp;xsec_source=pc_trdark","https://www.xiaohongshu.com/explore/69bd6b52000000001f0015a2?xsec_token=TBRwbx0S6Y78qN5wWC1_PyBJ9jgyQRpLMHTKQvs-0CR0A=&amp;xsec_source=pc_trdark")</f>
        <v>0.0</v>
      </c>
      <c r="D494" t="inlineStr">
        <is>
          <t>菲菲上班吃什么</t>
        </is>
      </c>
      <c r="E494" t="inlineStr">
        <is>
          <t>49936530607</t>
        </is>
      </c>
      <c r="F494" t="inlineStr">
        <is>
          <t>2026-03-20 23:44:18</t>
        </is>
      </c>
      <c r="G494" t="inlineStr">
        <is>
          <t>图文</t>
        </is>
      </c>
      <c r="H494" t="inlineStr">
        <is>
          <t>手剥虾仁 无冰衣无添加 低脂餐一人食 上班带饭 顺丰包邮 5盒装</t>
        </is>
      </c>
      <c r="I494" t="inlineStr">
        <is>
          <t>694baba01d450d00013662f0</t>
        </is>
      </c>
      <c r="J494" t="inlineStr">
        <is>
          <t/>
        </is>
      </c>
      <c r="K494" t="n">
        <v>0.0</v>
      </c>
      <c r="L494" t="n">
        <v>0.0</v>
      </c>
      <c r="M494" t="n">
        <v>2.0</v>
      </c>
      <c r="N494" t="inlineStr">
        <is>
          <t>0.14285714285714285</t>
        </is>
      </c>
      <c r="O494" t="n">
        <v>2.0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inlineStr">
        <is>
          <t/>
        </is>
      </c>
      <c r="X494" t="n">
        <v>0.0</v>
      </c>
      <c r="Y494" t="n">
        <v>0.0</v>
      </c>
      <c r="Z494" t="n">
        <v>2.0</v>
      </c>
      <c r="AA494" t="n">
        <v>0.0</v>
      </c>
      <c r="AB494" t="n">
        <v>0.0</v>
      </c>
      <c r="AC494" t="n">
        <v>0.0</v>
      </c>
      <c r="AD494" t="n">
        <v>14.0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8.142857142857142</v>
      </c>
      <c r="AL494" t="inlineStr">
        <is>
          <t/>
        </is>
      </c>
    </row>
    <row r="495">
      <c r="A495" t="inlineStr">
        <is>
          <t>以为60来块没多少，结果够我吃一周的了</t>
        </is>
      </c>
      <c r="B495" t="inlineStr">
        <is>
          <t>69903b7a000000000e00eba9</t>
        </is>
      </c>
      <c r="C495" s="494" t="n">
        <f>HYPERLINK("https://www.xiaohongshu.com/explore/69903b7a000000000e00eba9?xsec_token=TBvdoWEZvj97Maw3nORHajeuQ9YR957T33JrIp2XRoEbs=&amp;xsec_source=pc_trdark","https://www.xiaohongshu.com/explore/69903b7a000000000e00eba9?xsec_token=TBvdoWEZvj97Maw3nORHajeuQ9YR957T33JrIp2XRoEbs=&amp;xsec_source=pc_trdark")</f>
        <v>0.0</v>
      </c>
      <c r="D495" t="inlineStr">
        <is>
          <t>鲜水湾</t>
        </is>
      </c>
      <c r="E495" t="inlineStr">
        <is>
          <t>49316638994</t>
        </is>
      </c>
      <c r="F495" t="inlineStr">
        <is>
          <t>2026-02-14 17:08:10</t>
        </is>
      </c>
      <c r="G495" t="inlineStr">
        <is>
          <t>图文</t>
        </is>
      </c>
      <c r="H495" t="inlineStr">
        <is>
          <t>大虾基围虾王牌大虾厄瓜多尔白虾盐冻虾仁海洋大虾送礼顺丰包邮</t>
        </is>
      </c>
      <c r="I495" t="inlineStr">
        <is>
          <t>690aeb7be379430001e686ac</t>
        </is>
      </c>
      <c r="J495" t="inlineStr">
        <is>
          <t/>
        </is>
      </c>
      <c r="K495" t="n">
        <v>0.0</v>
      </c>
      <c r="L495" t="n">
        <v>0.0</v>
      </c>
      <c r="M495" t="n">
        <v>4.0</v>
      </c>
      <c r="N495" t="n">
        <v>0.2857142857142857</v>
      </c>
      <c r="O495" t="n">
        <v>2.0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inlineStr">
        <is>
          <t/>
        </is>
      </c>
      <c r="X495" t="n">
        <v>0.0</v>
      </c>
      <c r="Y495" t="n">
        <v>1.0</v>
      </c>
      <c r="Z495" t="n">
        <v>1.0</v>
      </c>
      <c r="AA495" t="n">
        <v>0.0</v>
      </c>
      <c r="AB495" t="n">
        <v>0.0</v>
      </c>
      <c r="AC495" t="n">
        <v>0.0</v>
      </c>
      <c r="AD495" t="n">
        <v>14.0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8.285714285714286</v>
      </c>
      <c r="AL495" t="inlineStr">
        <is>
          <t/>
        </is>
      </c>
    </row>
    <row r="496">
      <c r="A496" t="inlineStr">
        <is>
          <t>过年就靠这个来油焖大虾惊呀小朋友啦～</t>
        </is>
      </c>
      <c r="B496" t="inlineStr">
        <is>
          <t>697af1bc000000002801d22d</t>
        </is>
      </c>
      <c r="C496" s="495" t="n">
        <f>HYPERLINK("https://www.xiaohongshu.com/explore/697af1bc000000002801d22d?xsec_token=TB2dScbVxeUy83D31__wCwwweUbyyvQhgL57xl_dgVyGc=&amp;xsec_source=pc_trdark","https://www.xiaohongshu.com/explore/697af1bc000000002801d22d?xsec_token=TB2dScbVxeUy83D31__wCwwweUbyyvQhgL57xl_dgVyGc=&amp;xsec_source=pc_trdark")</f>
        <v>0.0</v>
      </c>
      <c r="D496" t="inlineStr">
        <is>
          <t>鲜水湾</t>
        </is>
      </c>
      <c r="E496" t="inlineStr">
        <is>
          <t>49316638994</t>
        </is>
      </c>
      <c r="F496" t="inlineStr">
        <is>
          <t>2026-01-29 13:35:56</t>
        </is>
      </c>
      <c r="G496" t="inlineStr">
        <is>
          <t>图文</t>
        </is>
      </c>
      <c r="H496" t="inlineStr">
        <is>
          <t>大虾基围虾王牌大虾厄瓜多尔白虾盐冻虾仁海洋大虾送礼顺丰包邮</t>
        </is>
      </c>
      <c r="I496" t="inlineStr">
        <is>
          <t>690aeb7be379430001e686ac</t>
        </is>
      </c>
      <c r="J496" t="inlineStr">
        <is>
          <t/>
        </is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inlineStr">
        <is>
          <t/>
        </is>
      </c>
      <c r="R496" t="inlineStr">
        <is>
          <t/>
        </is>
      </c>
      <c r="S496" t="n">
        <v>0.0</v>
      </c>
      <c r="T496" t="n">
        <v>0.0</v>
      </c>
      <c r="U496" t="n">
        <v>0.0</v>
      </c>
      <c r="V496" t="n">
        <v>0.0</v>
      </c>
      <c r="W496" t="inlineStr">
        <is>
          <t/>
        </is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14.0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8.571428571428571</v>
      </c>
      <c r="AL496" t="inlineStr">
        <is>
          <t/>
        </is>
      </c>
    </row>
    <row r="497">
      <c r="A497" t="inlineStr">
        <is>
          <t>三文鱼要好吃，煎鱼基础，鱼搭子就不基础</t>
        </is>
      </c>
      <c r="B497" t="inlineStr">
        <is>
          <t>694396c2000000001e039870</t>
        </is>
      </c>
      <c r="C497" s="496" t="n">
        <f>HYPERLINK("https://www.xiaohongshu.com/explore/694396c2000000001e039870?xsec_token=TB3ISCGERC3xZFl0ewfdTFyM58d86DCe--zZTX8HivPVY=&amp;xsec_source=pc_trdark","https://www.xiaohongshu.com/explore/694396c2000000001e039870?xsec_token=TB3ISCGERC3xZFl0ewfdTFyM58d86DCe--zZTX8HivPVY=&amp;xsec_source=pc_trdark")</f>
        <v>0.0</v>
      </c>
      <c r="D497" t="inlineStr">
        <is>
          <t>鲜水湾</t>
        </is>
      </c>
      <c r="E497" t="inlineStr">
        <is>
          <t>49316638994</t>
        </is>
      </c>
      <c r="F497" t="inlineStr">
        <is>
          <t>2025-12-18 13:53:06</t>
        </is>
      </c>
      <c r="G497" t="inlineStr">
        <is>
          <t>图文</t>
        </is>
      </c>
      <c r="H497" t="inlineStr">
        <is>
          <t>智利三文鱼切块·整条三文鱼·深海鱼一人食健康饮食</t>
        </is>
      </c>
      <c r="I497" t="inlineStr">
        <is>
          <t>691ac562a524ee0001b51d7b</t>
        </is>
      </c>
      <c r="J497" t="inlineStr">
        <is>
          <t/>
        </is>
      </c>
      <c r="K497" t="n">
        <v>0.0</v>
      </c>
      <c r="L497" t="n">
        <v>0.0</v>
      </c>
      <c r="M497" t="n">
        <v>1.0</v>
      </c>
      <c r="N497" t="inlineStr">
        <is>
          <t>0.07142857142857142</t>
        </is>
      </c>
      <c r="O497" t="n">
        <v>1.0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inlineStr">
        <is>
          <t/>
        </is>
      </c>
      <c r="X497" t="n">
        <v>0.0</v>
      </c>
      <c r="Y497" t="n">
        <v>1.0</v>
      </c>
      <c r="Z497" t="n">
        <v>0.0</v>
      </c>
      <c r="AA497" t="n">
        <v>0.0</v>
      </c>
      <c r="AB497" t="n">
        <v>0.0</v>
      </c>
      <c r="AC497" t="n">
        <v>0.0</v>
      </c>
      <c r="AD497" t="n">
        <v>14.0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169.35714285714286</v>
      </c>
      <c r="AL497" t="inlineStr">
        <is>
          <t/>
        </is>
      </c>
    </row>
    <row r="498">
      <c r="A498" t="inlineStr">
        <is>
          <t>我宣布三文鱼熟的比生的好吃！</t>
        </is>
      </c>
      <c r="B498" t="inlineStr">
        <is>
          <t>69420d65000000001f00fd34</t>
        </is>
      </c>
      <c r="C498" s="497" t="n">
        <f>HYPERLINK("https://www.xiaohongshu.com/explore/69420d65000000001f00fd34?xsec_token=TB0tDM60Z2n8tclFaINyevIT5ot5Py_x3D0HDLO4s-u_w=&amp;xsec_source=pc_trdark","https://www.xiaohongshu.com/explore/69420d65000000001f00fd34?xsec_token=TB0tDM60Z2n8tclFaINyevIT5ot5Py_x3D0HDLO4s-u_w=&amp;xsec_source=pc_trdark")</f>
        <v>0.0</v>
      </c>
      <c r="D498" t="inlineStr">
        <is>
          <t>鲜水湾</t>
        </is>
      </c>
      <c r="E498" t="inlineStr">
        <is>
          <t>49316638994</t>
        </is>
      </c>
      <c r="F498" t="inlineStr">
        <is>
          <t>2025-12-17 09:54:45</t>
        </is>
      </c>
      <c r="G498" t="inlineStr">
        <is>
          <t>图文</t>
        </is>
      </c>
      <c r="H498" t="inlineStr">
        <is>
          <t>智利三文鱼切块·整条三文鱼·深海鱼一人食健康饮食</t>
        </is>
      </c>
      <c r="I498" t="inlineStr">
        <is>
          <t>691ac562a524ee0001b51d7b</t>
        </is>
      </c>
      <c r="J498" t="inlineStr">
        <is>
          <t/>
        </is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inlineStr">
        <is>
          <t/>
        </is>
      </c>
      <c r="R498" t="inlineStr">
        <is>
          <t/>
        </is>
      </c>
      <c r="S498" t="n">
        <v>0.0</v>
      </c>
      <c r="T498" t="n">
        <v>0.0</v>
      </c>
      <c r="U498" t="n">
        <v>0.0</v>
      </c>
      <c r="V498" t="n">
        <v>0.0</v>
      </c>
      <c r="W498" t="inlineStr">
        <is>
          <t/>
        </is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14.0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5.357142857142857</v>
      </c>
      <c r="AL498" t="inlineStr">
        <is>
          <t/>
        </is>
      </c>
    </row>
    <row r="499">
      <c r="A499" t="inlineStr">
        <is>
          <t>买虾不迷路🦐孕妇宝宝都适合吃的大虾</t>
        </is>
      </c>
      <c r="B499" t="inlineStr">
        <is>
          <t>694024d0000000001f005c0c</t>
        </is>
      </c>
      <c r="C499" s="498" t="n">
        <f>HYPERLINK("https://www.xiaohongshu.com/explore/694024d0000000001f005c0c?xsec_token=TBzm36tUj4jhogPihZGtakWaY4X6jgzThj3H79mIfjsHY=&amp;xsec_source=pc_trdark","https://www.xiaohongshu.com/explore/694024d0000000001f005c0c?xsec_token=TBzm36tUj4jhogPihZGtakWaY4X6jgzThj3H79mIfjsHY=&amp;xsec_source=pc_trdark")</f>
        <v>0.0</v>
      </c>
      <c r="D499" t="inlineStr">
        <is>
          <t>鲜水湾</t>
        </is>
      </c>
      <c r="E499" t="inlineStr">
        <is>
          <t>49316638994</t>
        </is>
      </c>
      <c r="F499" t="inlineStr">
        <is>
          <t>2025-12-15 23:10:08</t>
        </is>
      </c>
      <c r="G499" t="inlineStr">
        <is>
          <t>图文</t>
        </is>
      </c>
      <c r="H499" t="inlineStr">
        <is>
          <t>大虾基围虾王牌大虾厄瓜多尔白虾盐冻虾仁海洋大虾送礼顺丰包邮</t>
        </is>
      </c>
      <c r="I499" t="inlineStr">
        <is>
          <t>690aeb7be379430001e686ac</t>
        </is>
      </c>
      <c r="J499" t="inlineStr">
        <is>
          <t/>
        </is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inlineStr">
        <is>
          <t/>
        </is>
      </c>
      <c r="R499" t="inlineStr">
        <is>
          <t/>
        </is>
      </c>
      <c r="S499" t="n">
        <v>0.0</v>
      </c>
      <c r="T499" t="n">
        <v>0.0</v>
      </c>
      <c r="U499" t="n">
        <v>0.0</v>
      </c>
      <c r="V499" t="n">
        <v>0.0</v>
      </c>
      <c r="W499" t="inlineStr">
        <is>
          <t/>
        </is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0.0</v>
      </c>
      <c r="AD499" t="n">
        <v>14.0</v>
      </c>
      <c r="AE499" t="n">
        <v>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n">
        <v>3.4285714285714284</v>
      </c>
      <c r="AL499" t="inlineStr">
        <is>
          <t/>
        </is>
      </c>
    </row>
    <row r="500">
      <c r="A500" t="inlineStr">
        <is>
          <t>月薪3800被同事问是不是偷偷涨薪了？！</t>
        </is>
      </c>
      <c r="B500" t="inlineStr">
        <is>
          <t>69eddba2000000001b022fcd</t>
        </is>
      </c>
      <c r="C500" s="499" t="n">
        <f>HYPERLINK("https://www.xiaohongshu.com/explore/69eddba2000000001b022fcd?xsec_token=TB3T22OHPTz18Ew6RRyYsIrB2Z-dpb31Q9w0BKwh7yUyo=&amp;xsec_source=pc_trdark","https://www.xiaohongshu.com/explore/69eddba2000000001b022fcd?xsec_token=TB3T22OHPTz18Ew6RRyYsIrB2Z-dpb31Q9w0BKwh7yUyo=&amp;xsec_source=pc_trdark")</f>
        <v>0.0</v>
      </c>
      <c r="D500" t="inlineStr">
        <is>
          <t>菲菲上班吃什么</t>
        </is>
      </c>
      <c r="E500" t="inlineStr">
        <is>
          <t>49936530607</t>
        </is>
      </c>
      <c r="F500" t="inlineStr">
        <is>
          <t>2026-04-26 17:32:18</t>
        </is>
      </c>
      <c r="G500" t="inlineStr">
        <is>
          <t>图文</t>
        </is>
      </c>
      <c r="H500" t="inlineStr">
        <is>
          <t>手剥虾仁 无冰衣无添加 低脂餐一人食 上班带饭 顺丰包邮 5盒装</t>
        </is>
      </c>
      <c r="I500" t="inlineStr">
        <is>
          <t>694baba01d450d00013662f0</t>
        </is>
      </c>
      <c r="J500" t="inlineStr">
        <is>
          <t/>
        </is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inlineStr">
        <is>
          <t/>
        </is>
      </c>
      <c r="R500" t="inlineStr">
        <is>
          <t/>
        </is>
      </c>
      <c r="S500" t="n">
        <v>0.0</v>
      </c>
      <c r="T500" t="n">
        <v>0.0</v>
      </c>
      <c r="U500" t="n">
        <v>0.0</v>
      </c>
      <c r="V500" t="n">
        <v>0.0</v>
      </c>
      <c r="W500" t="inlineStr">
        <is>
          <t/>
        </is>
      </c>
      <c r="X500" t="n">
        <v>0.0</v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13.0</v>
      </c>
      <c r="AE500" t="n">
        <v>0.0</v>
      </c>
      <c r="AF500" t="n">
        <v>0.0</v>
      </c>
      <c r="AG500" t="n">
        <v>0.0</v>
      </c>
      <c r="AH500" t="n">
        <v>2.0</v>
      </c>
      <c r="AI500" t="n">
        <v>0.0</v>
      </c>
      <c r="AJ500" t="n">
        <v>0.0</v>
      </c>
      <c r="AK500" t="n">
        <v>6.384615384615385</v>
      </c>
      <c r="AL500" t="inlineStr">
        <is>
          <t/>
        </is>
      </c>
    </row>
    <row r="501">
      <c r="A501" t="inlineStr">
        <is>
          <t>我家的无保水剂虾仁，什么时候能被看到</t>
        </is>
      </c>
      <c r="B501" t="inlineStr">
        <is>
          <t>69cb8e39000000001e00c97a</t>
        </is>
      </c>
      <c r="C501" s="500" t="n">
        <f>HYPERLINK("https://www.xiaohongshu.com/explore/69cb8e39000000001e00c97a?xsec_token=TBNvk7eB588c7ey-qUUMF7Ob6hGjC9OFY-NMyrZcyNf9Q=&amp;xsec_source=pc_trdark","https://www.xiaohongshu.com/explore/69cb8e39000000001e00c97a?xsec_token=TBNvk7eB588c7ey-qUUMF7Ob6hGjC9OFY-NMyrZcyNf9Q=&amp;xsec_source=pc_trdark")</f>
        <v>0.0</v>
      </c>
      <c r="D501" t="inlineStr">
        <is>
          <t>鲜水湾</t>
        </is>
      </c>
      <c r="E501" t="inlineStr">
        <is>
          <t>49316638994</t>
        </is>
      </c>
      <c r="F501" t="inlineStr">
        <is>
          <t>2026-03-31 17:04:57</t>
        </is>
      </c>
      <c r="G501" t="inlineStr">
        <is>
          <t>图文</t>
        </is>
      </c>
      <c r="H501" t="inlineStr">
        <is>
          <t>手剥虾仁 无冰衣无添加 低脂餐一人食 上班带饭 顺丰包邮 5盒装</t>
        </is>
      </c>
      <c r="I501" t="inlineStr">
        <is>
          <t>694baba01d450d00013662f0</t>
        </is>
      </c>
      <c r="J501" t="inlineStr">
        <is>
          <t/>
        </is>
      </c>
      <c r="K501" t="n">
        <v>0.0</v>
      </c>
      <c r="L501" t="n">
        <v>0.0</v>
      </c>
      <c r="M501" t="n">
        <v>6.0</v>
      </c>
      <c r="N501" t="inlineStr">
        <is>
          <t>0.46153846153846156</t>
        </is>
      </c>
      <c r="O501" t="n">
        <v>6.0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inlineStr">
        <is>
          <t/>
        </is>
      </c>
      <c r="X501" t="n">
        <v>0.0</v>
      </c>
      <c r="Y501" t="n">
        <v>1.0</v>
      </c>
      <c r="Z501" t="n">
        <v>1.0</v>
      </c>
      <c r="AA501" t="n">
        <v>0.0</v>
      </c>
      <c r="AB501" t="n">
        <v>0.0</v>
      </c>
      <c r="AC501" t="n">
        <v>0.0</v>
      </c>
      <c r="AD501" t="n">
        <v>13.0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19.153846153846153</v>
      </c>
      <c r="AL501" t="inlineStr">
        <is>
          <t/>
        </is>
      </c>
    </row>
    <row r="502">
      <c r="A502" t="inlineStr">
        <is>
          <t>一整个身材管理期都在吃，根本没有平替</t>
        </is>
      </c>
      <c r="B502" t="inlineStr">
        <is>
          <t>69c4de36000000001a036820</t>
        </is>
      </c>
      <c r="C502" s="501" t="n">
        <f>HYPERLINK("https://www.xiaohongshu.com/explore/69c4de36000000001a036820?xsec_token=TBIVv4KG_Is8XT8uyOgDE1R2NMrjglWOzCYjIwLptJAmo=&amp;xsec_source=pc_trdark","https://www.xiaohongshu.com/explore/69c4de36000000001a036820?xsec_token=TBIVv4KG_Is8XT8uyOgDE1R2NMrjglWOzCYjIwLptJAmo=&amp;xsec_source=pc_trdark")</f>
        <v>0.0</v>
      </c>
      <c r="D502" t="inlineStr">
        <is>
          <t>婉婉上班吃什么</t>
        </is>
      </c>
      <c r="E502" t="inlineStr">
        <is>
          <t>11434449706</t>
        </is>
      </c>
      <c r="F502" t="inlineStr">
        <is>
          <t>2026-03-26 15:20:22</t>
        </is>
      </c>
      <c r="G502" t="inlineStr">
        <is>
          <t>图文</t>
        </is>
      </c>
      <c r="H502" t="inlineStr">
        <is>
          <t>手剥虾仁 无冰衣无添加 低脂餐一人食 上班带饭 顺丰包邮 5盒装</t>
        </is>
      </c>
      <c r="I502" t="inlineStr">
        <is>
          <t>694baba01d450d00013662f0</t>
        </is>
      </c>
      <c r="J502" t="inlineStr">
        <is>
          <t/>
        </is>
      </c>
      <c r="K502" t="n">
        <v>0.0</v>
      </c>
      <c r="L502" t="n">
        <v>0.0</v>
      </c>
      <c r="M502" t="n">
        <v>5.0</v>
      </c>
      <c r="N502" t="inlineStr">
        <is>
          <t>0.38461538461538464</t>
        </is>
      </c>
      <c r="O502" t="n">
        <v>5.0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inlineStr">
        <is>
          <t/>
        </is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13.0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12.23076923076923</v>
      </c>
      <c r="AL502" t="inlineStr">
        <is>
          <t/>
        </is>
      </c>
    </row>
    <row r="503">
      <c r="A503" t="inlineStr">
        <is>
          <t>上班带饭的尽头是…极简</t>
        </is>
      </c>
      <c r="B503" t="inlineStr">
        <is>
          <t>69c0d03a000000001f001f27</t>
        </is>
      </c>
      <c r="C503" s="502" t="n">
        <f>HYPERLINK("https://www.xiaohongshu.com/explore/69c0d03a000000001f001f27?xsec_token=TBlSRAgxB_sBYkF02kEEKO56skowvUCWBbvPNdCCCV_SI=&amp;xsec_source=pc_trdark","https://www.xiaohongshu.com/explore/69c0d03a000000001f001f27?xsec_token=TBlSRAgxB_sBYkF02kEEKO56skowvUCWBbvPNdCCCV_SI=&amp;xsec_source=pc_trdark")</f>
        <v>0.0</v>
      </c>
      <c r="D503" t="inlineStr">
        <is>
          <t>菲菲上班吃什么</t>
        </is>
      </c>
      <c r="E503" t="inlineStr">
        <is>
          <t>49936530607</t>
        </is>
      </c>
      <c r="F503" t="inlineStr">
        <is>
          <t>2026-03-23 13:31:38</t>
        </is>
      </c>
      <c r="G503" t="inlineStr">
        <is>
          <t>图文</t>
        </is>
      </c>
      <c r="H503" t="inlineStr">
        <is>
          <t>手剥虾仁 无冰衣无添加 低脂餐一人食 上班带饭 顺丰包邮 5盒装</t>
        </is>
      </c>
      <c r="I503" t="inlineStr">
        <is>
          <t>694baba01d450d00013662f0</t>
        </is>
      </c>
      <c r="J503" t="inlineStr">
        <is>
          <t/>
        </is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inlineStr">
        <is>
          <t/>
        </is>
      </c>
      <c r="R503" t="inlineStr">
        <is>
          <t/>
        </is>
      </c>
      <c r="S503" t="n">
        <v>0.0</v>
      </c>
      <c r="T503" t="n">
        <v>0.0</v>
      </c>
      <c r="U503" t="n">
        <v>0.0</v>
      </c>
      <c r="V503" t="n">
        <v>0.0</v>
      </c>
      <c r="W503" t="inlineStr">
        <is>
          <t/>
        </is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13.0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4.0</v>
      </c>
      <c r="AL503" t="inlineStr">
        <is>
          <t/>
        </is>
      </c>
    </row>
    <row r="504">
      <c r="A504" t="inlineStr">
        <is>
          <t>不夸张！我家孕妇一直回购的乳山生蚝！巨解馋</t>
        </is>
      </c>
      <c r="B504" t="inlineStr">
        <is>
          <t>699fe81c0000000028023446</t>
        </is>
      </c>
      <c r="C504" s="503" t="n">
        <f>HYPERLINK("https://www.xiaohongshu.com/explore/699fe81c0000000028023446?xsec_token=TBmPrNsEp7sytnt8BzCMtNTeKXCkU6zNrBHiBe3I-p5Nw=&amp;xsec_source=pc_trdark","https://www.xiaohongshu.com/explore/699fe81c0000000028023446?xsec_token=TBmPrNsEp7sytnt8BzCMtNTeKXCkU6zNrBHiBe3I-p5Nw=&amp;xsec_source=pc_trdark")</f>
        <v>0.0</v>
      </c>
      <c r="D504" t="inlineStr">
        <is>
          <t>婉婉上班吃什么</t>
        </is>
      </c>
      <c r="E504" t="inlineStr">
        <is>
          <t>11434449706</t>
        </is>
      </c>
      <c r="F504" t="inlineStr">
        <is>
          <t>2026-02-26 14:28:44</t>
        </is>
      </c>
      <c r="G504" t="inlineStr">
        <is>
          <t>图文</t>
        </is>
      </c>
      <c r="H504" t="inlineStr">
        <is>
          <t>生蚝乳山生蚝海蛎子顺丰包邮</t>
        </is>
      </c>
      <c r="I504" t="inlineStr">
        <is>
          <t>690c70971b787900010866cc</t>
        </is>
      </c>
      <c r="J504" t="inlineStr">
        <is>
          <t/>
        </is>
      </c>
      <c r="K504" t="n">
        <v>0.0</v>
      </c>
      <c r="L504" t="n">
        <v>0.0</v>
      </c>
      <c r="M504" t="n">
        <v>1.0</v>
      </c>
      <c r="N504" t="inlineStr">
        <is>
          <t>0.07692307692307693</t>
        </is>
      </c>
      <c r="O504" t="n">
        <v>1.0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inlineStr">
        <is>
          <t/>
        </is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13.0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9.23076923076923</v>
      </c>
      <c r="AL504" t="inlineStr">
        <is>
          <t/>
        </is>
      </c>
    </row>
    <row r="505">
      <c r="A505" t="inlineStr">
        <is>
          <t>不愧是健身教练推荐的！抗炎神器</t>
        </is>
      </c>
      <c r="B505" t="inlineStr">
        <is>
          <t>693ad1d4000000001e02025e</t>
        </is>
      </c>
      <c r="C505" s="504" t="n">
        <f>HYPERLINK("https://www.xiaohongshu.com/explore/693ad1d4000000001e02025e?xsec_token=TBSe-eT4tPFhzXSmwZAcjHHyafMYmfcrkSqIihNjLOj3Q=&amp;xsec_source=pc_trdark","https://www.xiaohongshu.com/explore/693ad1d4000000001e02025e?xsec_token=TBSe-eT4tPFhzXSmwZAcjHHyafMYmfcrkSqIihNjLOj3Q=&amp;xsec_source=pc_trdark")</f>
        <v>0.0</v>
      </c>
      <c r="D505" t="inlineStr">
        <is>
          <t>鲜水湾</t>
        </is>
      </c>
      <c r="E505" t="inlineStr">
        <is>
          <t>49316638994</t>
        </is>
      </c>
      <c r="F505" t="inlineStr">
        <is>
          <t>2025-12-11 22:14:44</t>
        </is>
      </c>
      <c r="G505" t="inlineStr">
        <is>
          <t>图文</t>
        </is>
      </c>
      <c r="H505" t="inlineStr">
        <is>
          <t>智利三文鱼切块·整条三文鱼·深海鱼一人食健康饮食</t>
        </is>
      </c>
      <c r="I505" t="inlineStr">
        <is>
          <t>691ac562a524ee0001b51d7b</t>
        </is>
      </c>
      <c r="J505" t="inlineStr">
        <is>
          <t/>
        </is>
      </c>
      <c r="K505" t="n">
        <v>0.0</v>
      </c>
      <c r="L505" t="n">
        <v>0.0</v>
      </c>
      <c r="M505" t="n">
        <v>2.0</v>
      </c>
      <c r="N505" t="inlineStr">
        <is>
          <t>0.15384615384615385</t>
        </is>
      </c>
      <c r="O505" t="n">
        <v>2.0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inlineStr">
        <is>
          <t/>
        </is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13.0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15.538461538461538</v>
      </c>
      <c r="AL505" t="inlineStr">
        <is>
          <t/>
        </is>
      </c>
    </row>
    <row r="506">
      <c r="A506" t="inlineStr">
        <is>
          <t>打工人带饭的尽头，原来是极简</t>
        </is>
      </c>
      <c r="B506" t="inlineStr">
        <is>
          <t>69f34f7d000000001f0039a5</t>
        </is>
      </c>
      <c r="C506" s="505" t="n">
        <f>HYPERLINK("https://www.xiaohongshu.com/explore/69f34f7d000000001f0039a5?xsec_token=TBx93XfWzGohdywDZFOL5vkesLBsodHkH96WMGWQPk-tU=&amp;xsec_source=pc_trdark","https://www.xiaohongshu.com/explore/69f34f7d000000001f0039a5?xsec_token=TBx93XfWzGohdywDZFOL5vkesLBsodHkH96WMGWQPk-tU=&amp;xsec_source=pc_trdark")</f>
        <v>0.0</v>
      </c>
      <c r="D506" t="inlineStr">
        <is>
          <t>菲菲上班吃什么</t>
        </is>
      </c>
      <c r="E506" t="inlineStr">
        <is>
          <t>49936530607</t>
        </is>
      </c>
      <c r="F506" t="inlineStr">
        <is>
          <t>2026-04-30 20:47:57</t>
        </is>
      </c>
      <c r="G506" t="inlineStr">
        <is>
          <t>图文</t>
        </is>
      </c>
      <c r="H506" t="inlineStr">
        <is>
          <t>手剥虾仁 无冰衣无添加 低脂餐一人食 上班带饭 顺丰包邮 5盒装</t>
        </is>
      </c>
      <c r="I506" t="inlineStr">
        <is>
          <t>694baba01d450d00013662f0</t>
        </is>
      </c>
      <c r="J506" t="inlineStr">
        <is>
          <t/>
        </is>
      </c>
      <c r="K506" t="n">
        <v>0.0</v>
      </c>
      <c r="L506" t="n">
        <v>0.0</v>
      </c>
      <c r="M506" t="n">
        <v>1.0</v>
      </c>
      <c r="N506" t="inlineStr">
        <is>
          <t>0.08333333333333333</t>
        </is>
      </c>
      <c r="O506" t="n">
        <v>1.0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inlineStr">
        <is>
          <t/>
        </is>
      </c>
      <c r="X506" t="n">
        <v>0.0</v>
      </c>
      <c r="Y506" t="n">
        <v>1.0</v>
      </c>
      <c r="Z506" t="n">
        <v>0.0</v>
      </c>
      <c r="AA506" t="n">
        <v>0.0</v>
      </c>
      <c r="AB506" t="n">
        <v>0.0</v>
      </c>
      <c r="AC506" t="n">
        <v>0.0</v>
      </c>
      <c r="AD506" t="n">
        <v>12.0</v>
      </c>
      <c r="AE506" t="n">
        <v>0.0</v>
      </c>
      <c r="AF506" t="n">
        <v>0.0</v>
      </c>
      <c r="AG506" t="n">
        <v>0.0</v>
      </c>
      <c r="AH506" t="n">
        <v>1.0</v>
      </c>
      <c r="AI506" t="n">
        <v>0.0</v>
      </c>
      <c r="AJ506" t="n">
        <v>0.0</v>
      </c>
      <c r="AK506" t="n">
        <v>52.75</v>
      </c>
      <c r="AL506" t="inlineStr">
        <is>
          <t/>
        </is>
      </c>
    </row>
    <row r="507">
      <c r="A507" t="inlineStr">
        <is>
          <t>⛰️姆不懂小包装虾仁的幸福感！！！</t>
        </is>
      </c>
      <c r="B507" t="inlineStr">
        <is>
          <t>69f07574000000003502e594</t>
        </is>
      </c>
      <c r="C507" s="506" t="n">
        <f>HYPERLINK("https://www.xiaohongshu.com/explore/69f07574000000003502e594?xsec_token=TBvHxiGmj2CedfPdQHdLJBmCriSKvHP0kLyDx5rDOTqZY=&amp;xsec_source=pc_trdark","https://www.xiaohongshu.com/explore/69f07574000000003502e594?xsec_token=TBvHxiGmj2CedfPdQHdLJBmCriSKvHP0kLyDx5rDOTqZY=&amp;xsec_source=pc_trdark")</f>
        <v>0.0</v>
      </c>
      <c r="D507" t="inlineStr">
        <is>
          <t>鲜水湾甄选</t>
        </is>
      </c>
      <c r="E507" t="inlineStr">
        <is>
          <t>27401929161</t>
        </is>
      </c>
      <c r="F507" t="inlineStr">
        <is>
          <t>2026-04-28 16:53:09</t>
        </is>
      </c>
      <c r="G507" t="inlineStr">
        <is>
          <t>图文</t>
        </is>
      </c>
      <c r="H507" t="inlineStr">
        <is>
          <t>手剥虾仁 无冰衣无添加 低脂餐一人食 上班带饭 顺丰包邮 5盒装</t>
        </is>
      </c>
      <c r="I507" t="inlineStr">
        <is>
          <t>694baba01d450d00013662f0</t>
        </is>
      </c>
      <c r="J507" t="inlineStr">
        <is>
          <t/>
        </is>
      </c>
      <c r="K507" t="n">
        <v>0.0</v>
      </c>
      <c r="L507" t="n">
        <v>0.0</v>
      </c>
      <c r="M507" t="n">
        <v>2.0</v>
      </c>
      <c r="N507" t="inlineStr">
        <is>
          <t>0.16666666666666666</t>
        </is>
      </c>
      <c r="O507" t="n">
        <v>2.0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inlineStr">
        <is>
          <t/>
        </is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12.0</v>
      </c>
      <c r="AE507" t="n">
        <v>0.0</v>
      </c>
      <c r="AF507" t="n">
        <v>0.0</v>
      </c>
      <c r="AG507" t="n">
        <v>0.0</v>
      </c>
      <c r="AH507" t="n">
        <v>1.0</v>
      </c>
      <c r="AI507" t="n">
        <v>0.0</v>
      </c>
      <c r="AJ507" t="n">
        <v>0.0</v>
      </c>
      <c r="AK507" t="n">
        <v>5.666666666666667</v>
      </c>
      <c r="AL507" t="inlineStr">
        <is>
          <t/>
        </is>
      </c>
    </row>
    <row r="508">
      <c r="A508" t="inlineStr">
        <is>
          <t>我爸：一人食你就不到一杯奶茶钱，肯定能爆</t>
        </is>
      </c>
      <c r="B508" t="inlineStr">
        <is>
          <t>69e9c7170000000012012805</t>
        </is>
      </c>
      <c r="C508" s="507" t="n">
        <f>HYPERLINK("https://www.xiaohongshu.com/explore/69e9c7170000000012012805?xsec_token=TBNkLc7pOHvt_5tNJTpGNllLwHjJV3T_91qWnb5AH-R8E=&amp;xsec_source=pc_trdark","https://www.xiaohongshu.com/explore/69e9c7170000000012012805?xsec_token=TBNkLc7pOHvt_5tNJTpGNllLwHjJV3T_91qWnb5AH-R8E=&amp;xsec_source=pc_trdark")</f>
        <v>0.0</v>
      </c>
      <c r="D508" t="inlineStr">
        <is>
          <t>鲜水湾甄选</t>
        </is>
      </c>
      <c r="E508" t="inlineStr">
        <is>
          <t>27401929161</t>
        </is>
      </c>
      <c r="F508" t="inlineStr">
        <is>
          <t>2026-04-24 16:30:00</t>
        </is>
      </c>
      <c r="G508" t="inlineStr">
        <is>
          <t>图文</t>
        </is>
      </c>
      <c r="H508" t="inlineStr">
        <is>
          <t>手剥虾仁 无冰衣无添加 低脂餐一人食 上班带饭 顺丰包邮 5盒装</t>
        </is>
      </c>
      <c r="I508" t="inlineStr">
        <is>
          <t>694baba01d450d00013662f0</t>
        </is>
      </c>
      <c r="J508" t="inlineStr">
        <is>
          <t/>
        </is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inlineStr">
        <is>
          <t/>
        </is>
      </c>
      <c r="R508" t="inlineStr">
        <is>
          <t/>
        </is>
      </c>
      <c r="S508" t="n">
        <v>0.0</v>
      </c>
      <c r="T508" t="n">
        <v>0.0</v>
      </c>
      <c r="U508" t="n">
        <v>0.0</v>
      </c>
      <c r="V508" t="n">
        <v>0.0</v>
      </c>
      <c r="W508" t="inlineStr">
        <is>
          <t/>
        </is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12.0</v>
      </c>
      <c r="AE508" t="n">
        <v>1.0</v>
      </c>
      <c r="AF508" t="n">
        <v>0.0</v>
      </c>
      <c r="AG508" t="n">
        <v>0.0</v>
      </c>
      <c r="AH508" t="n">
        <v>1.0</v>
      </c>
      <c r="AI508" t="n">
        <v>0.0</v>
      </c>
      <c r="AJ508" t="n">
        <v>0.0</v>
      </c>
      <c r="AK508" t="n">
        <v>5.75</v>
      </c>
      <c r="AL508" t="inlineStr">
        <is>
          <t/>
        </is>
      </c>
    </row>
    <row r="509">
      <c r="A509" t="inlineStr">
        <is>
          <t>我家真是拿虾仁当饭吃的，而且喜欢水煮</t>
        </is>
      </c>
      <c r="B509" t="inlineStr">
        <is>
          <t>69e9b41a0000000023012d95</t>
        </is>
      </c>
      <c r="C509" s="508" t="n">
        <f>HYPERLINK("https://www.xiaohongshu.com/explore/69e9b41a0000000023012d95?xsec_token=TBNkLc7pOHvt_5tNJTpGNllE_HbY8Ne1PBecdEmff97F8=&amp;xsec_source=pc_trdark","https://www.xiaohongshu.com/explore/69e9b41a0000000023012d95?xsec_token=TBNkLc7pOHvt_5tNJTpGNllE_HbY8Ne1PBecdEmff97F8=&amp;xsec_source=pc_trdark")</f>
        <v>0.0</v>
      </c>
      <c r="D509" t="inlineStr">
        <is>
          <t>鲜水湾甄选</t>
        </is>
      </c>
      <c r="E509" t="inlineStr">
        <is>
          <t>27401929161</t>
        </is>
      </c>
      <c r="F509" t="inlineStr">
        <is>
          <t>2026-04-24 08:00:00</t>
        </is>
      </c>
      <c r="G509" t="inlineStr">
        <is>
          <t>图文</t>
        </is>
      </c>
      <c r="H509" t="inlineStr">
        <is>
          <t>手剥虾仁 无冰衣无添加 低脂餐一人食 上班带饭 顺丰包邮 5盒装</t>
        </is>
      </c>
      <c r="I509" t="inlineStr">
        <is>
          <t>694baba01d450d00013662f0</t>
        </is>
      </c>
      <c r="J509" t="inlineStr">
        <is>
          <t/>
        </is>
      </c>
      <c r="K509" t="n">
        <v>0.0</v>
      </c>
      <c r="L509" t="n">
        <v>0.0</v>
      </c>
      <c r="M509" t="n">
        <v>3.0</v>
      </c>
      <c r="N509" t="n">
        <v>0.25</v>
      </c>
      <c r="O509" t="n">
        <v>3.0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inlineStr">
        <is>
          <t/>
        </is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12.0</v>
      </c>
      <c r="AE509" t="n">
        <v>0.0</v>
      </c>
      <c r="AF509" t="n">
        <v>0.0</v>
      </c>
      <c r="AG509" t="n">
        <v>0.0</v>
      </c>
      <c r="AH509" t="n">
        <v>1.0</v>
      </c>
      <c r="AI509" t="n">
        <v>0.0</v>
      </c>
      <c r="AJ509" t="n">
        <v>0.0</v>
      </c>
      <c r="AK509" t="n">
        <v>9.0</v>
      </c>
      <c r="AL509" t="inlineStr">
        <is>
          <t/>
        </is>
      </c>
    </row>
    <row r="510">
      <c r="A510" t="inlineStr">
        <is>
          <t>试过了！确实比鸡胸肉牛</t>
        </is>
      </c>
      <c r="B510" t="inlineStr">
        <is>
          <t>69c926e20000000022025f2d</t>
        </is>
      </c>
      <c r="C510" s="509" t="n">
        <f>HYPERLINK("https://www.xiaohongshu.com/explore/69c926e20000000022025f2d?xsec_token=TBbpP5CiN94LtvLtPXlqbAxTQ-5U8FWS7GT2acXQVc1ng=&amp;xsec_source=pc_trdark","https://www.xiaohongshu.com/explore/69c926e20000000022025f2d?xsec_token=TBbpP5CiN94LtvLtPXlqbAxTQ-5U8FWS7GT2acXQVc1ng=&amp;xsec_source=pc_trdark")</f>
        <v>0.0</v>
      </c>
      <c r="D510" t="inlineStr">
        <is>
          <t>菲菲上班吃什么</t>
        </is>
      </c>
      <c r="E510" t="inlineStr">
        <is>
          <t>49936530607</t>
        </is>
      </c>
      <c r="F510" t="inlineStr">
        <is>
          <t>2026-03-29 21:19:30</t>
        </is>
      </c>
      <c r="G510" t="inlineStr">
        <is>
          <t>图文</t>
        </is>
      </c>
      <c r="H510" t="inlineStr">
        <is>
          <t>智利三文鱼切块·整条三文鱼·深海鱼一人食健康饮食</t>
        </is>
      </c>
      <c r="I510" t="inlineStr">
        <is>
          <t>691ac562a524ee0001b51d7b</t>
        </is>
      </c>
      <c r="J510" t="inlineStr">
        <is>
          <t/>
        </is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inlineStr">
        <is>
          <t/>
        </is>
      </c>
      <c r="R510" t="inlineStr">
        <is>
          <t/>
        </is>
      </c>
      <c r="S510" t="n">
        <v>0.0</v>
      </c>
      <c r="T510" t="n">
        <v>0.0</v>
      </c>
      <c r="U510" t="n">
        <v>0.0</v>
      </c>
      <c r="V510" t="n">
        <v>0.0</v>
      </c>
      <c r="W510" t="inlineStr">
        <is>
          <t/>
        </is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12.0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10.833333333333334</v>
      </c>
      <c r="AL510" t="inlineStr">
        <is>
          <t/>
        </is>
      </c>
    </row>
    <row r="511">
      <c r="A511" t="inlineStr">
        <is>
          <t>感谢315，让我买到了无保水虾仁🍤</t>
        </is>
      </c>
      <c r="B511" t="inlineStr">
        <is>
          <t>69bcb01c000000001f0005dc</t>
        </is>
      </c>
      <c r="C511" s="510" t="n">
        <f>HYPERLINK("https://www.xiaohongshu.com/explore/69bcb01c000000001f0005dc?xsec_token=TBfIJFVzszocpn5U7ogutYTXwp6DbMH-LDy_pC6-B8xd4=&amp;xsec_source=pc_trdark","https://www.xiaohongshu.com/explore/69bcb01c000000001f0005dc?xsec_token=TBfIJFVzszocpn5U7ogutYTXwp6DbMH-LDy_pC6-B8xd4=&amp;xsec_source=pc_trdark")</f>
        <v>0.0</v>
      </c>
      <c r="D511" t="inlineStr">
        <is>
          <t>菲菲上班吃什么</t>
        </is>
      </c>
      <c r="E511" t="inlineStr">
        <is>
          <t>49936530607</t>
        </is>
      </c>
      <c r="F511" t="inlineStr">
        <is>
          <t>2026-03-20 10:25:32</t>
        </is>
      </c>
      <c r="G511" t="inlineStr">
        <is>
          <t>图文</t>
        </is>
      </c>
      <c r="H511" t="inlineStr">
        <is>
          <t>手剥虾仁 无冰衣无添加 低脂餐一人食 上班带饭 顺丰包邮 5盒装</t>
        </is>
      </c>
      <c r="I511" t="inlineStr">
        <is>
          <t>694baba01d450d00013662f0</t>
        </is>
      </c>
      <c r="J511" t="inlineStr">
        <is>
          <t/>
        </is>
      </c>
      <c r="K511" t="n">
        <v>0.0</v>
      </c>
      <c r="L511" t="n">
        <v>0.0</v>
      </c>
      <c r="M511" t="n">
        <v>1.0</v>
      </c>
      <c r="N511" t="inlineStr">
        <is>
          <t>0.08333333333333333</t>
        </is>
      </c>
      <c r="O511" t="n">
        <v>1.0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inlineStr">
        <is>
          <t/>
        </is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12.0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15.75</v>
      </c>
      <c r="AL511" t="inlineStr">
        <is>
          <t/>
        </is>
      </c>
    </row>
    <row r="512">
      <c r="A512" t="inlineStr">
        <is>
          <t>年轻人真的不要低估60来块的购买力！</t>
        </is>
      </c>
      <c r="B512" t="inlineStr">
        <is>
          <t>69b57a0e000000001a02ec92</t>
        </is>
      </c>
      <c r="C512" s="511" t="n">
        <f>HYPERLINK("https://www.xiaohongshu.com/explore/69b57a0e000000001a02ec92?xsec_token=TBYgTJ9EzKmyKny4Vfc-tHE65rR412b_Te2gQKytFWGBU=&amp;xsec_source=pc_trdark","https://www.xiaohongshu.com/explore/69b57a0e000000001a02ec92?xsec_token=TBYgTJ9EzKmyKny4Vfc-tHE65rR412b_Te2gQKytFWGBU=&amp;xsec_source=pc_trdark")</f>
        <v>0.0</v>
      </c>
      <c r="D512" t="inlineStr">
        <is>
          <t>婉婉上班吃什么</t>
        </is>
      </c>
      <c r="E512" t="inlineStr">
        <is>
          <t>11434449706</t>
        </is>
      </c>
      <c r="F512" t="inlineStr">
        <is>
          <t>2026-03-14 23:09:02</t>
        </is>
      </c>
      <c r="G512" t="inlineStr">
        <is>
          <t>图文</t>
        </is>
      </c>
      <c r="H512" t="inlineStr">
        <is>
          <t>手剥虾仁 无冰衣无添加 低脂餐一人食 上班带饭 顺丰包邮 5盒装</t>
        </is>
      </c>
      <c r="I512" t="inlineStr">
        <is>
          <t>694baba01d450d00013662f0</t>
        </is>
      </c>
      <c r="J512" t="inlineStr">
        <is>
          <t/>
        </is>
      </c>
      <c r="K512" t="n">
        <v>0.0</v>
      </c>
      <c r="L512" t="n">
        <v>0.0</v>
      </c>
      <c r="M512" t="n">
        <v>3.0</v>
      </c>
      <c r="N512" t="n">
        <v>0.25</v>
      </c>
      <c r="O512" t="n">
        <v>3.0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inlineStr">
        <is>
          <t/>
        </is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12.0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4.5</v>
      </c>
      <c r="AL512" t="inlineStr">
        <is>
          <t/>
        </is>
      </c>
    </row>
    <row r="513">
      <c r="A513" t="inlineStr">
        <is>
          <t>长期主义的三文鱼，没有平替。。。</t>
        </is>
      </c>
      <c r="B513" t="inlineStr">
        <is>
          <t>69afde860000000004000657</t>
        </is>
      </c>
      <c r="C513" s="512" t="n">
        <f>HYPERLINK("https://www.xiaohongshu.com/explore/69afde860000000004000657?xsec_token=TBvA7Hz6ko-xGwfQy35gan6Q4ZfKH4K3dGgWzA-8Hq9I8=&amp;xsec_source=pc_trdark","https://www.xiaohongshu.com/explore/69afde860000000004000657?xsec_token=TBvA7Hz6ko-xGwfQy35gan6Q4ZfKH4K3dGgWzA-8Hq9I8=&amp;xsec_source=pc_trdark")</f>
        <v>0.0</v>
      </c>
      <c r="D513" t="inlineStr">
        <is>
          <t>鲜水湾</t>
        </is>
      </c>
      <c r="E513" t="inlineStr">
        <is>
          <t>49316638994</t>
        </is>
      </c>
      <c r="F513" t="inlineStr">
        <is>
          <t>2026-03-10 17:04:06</t>
        </is>
      </c>
      <c r="G513" t="inlineStr">
        <is>
          <t>图文</t>
        </is>
      </c>
      <c r="H513" t="inlineStr">
        <is>
          <t>智利三文鱼切块·整条三文鱼·深海鱼一人食健康饮食</t>
        </is>
      </c>
      <c r="I513" t="inlineStr">
        <is>
          <t>691ac562a524ee0001b51d7b</t>
        </is>
      </c>
      <c r="J513" t="inlineStr">
        <is>
          <t/>
        </is>
      </c>
      <c r="K513" t="n">
        <v>0.0</v>
      </c>
      <c r="L513" t="n">
        <v>0.0</v>
      </c>
      <c r="M513" t="n">
        <v>3.0</v>
      </c>
      <c r="N513" t="n">
        <v>0.25</v>
      </c>
      <c r="O513" t="n">
        <v>3.0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inlineStr">
        <is>
          <t/>
        </is>
      </c>
      <c r="X513" t="n">
        <v>0.0</v>
      </c>
      <c r="Y513" t="n">
        <v>2.0</v>
      </c>
      <c r="Z513" t="n">
        <v>0.0</v>
      </c>
      <c r="AA513" t="n">
        <v>0.0</v>
      </c>
      <c r="AB513" t="n">
        <v>0.0</v>
      </c>
      <c r="AC513" t="n">
        <v>0.0</v>
      </c>
      <c r="AD513" t="n">
        <v>12.0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14.833333333333334</v>
      </c>
      <c r="AL513" t="inlineStr">
        <is>
          <t/>
        </is>
      </c>
    </row>
    <row r="514">
      <c r="A514" t="inlineStr">
        <is>
          <t>以为69没多少，但一盒够我吃一周的了🫢</t>
        </is>
      </c>
      <c r="B514" t="inlineStr">
        <is>
          <t>6982e399000000001a02dbc6</t>
        </is>
      </c>
      <c r="C514" s="513" t="n">
        <f>HYPERLINK("https://www.xiaohongshu.com/explore/6982e399000000001a02dbc6?xsec_token=TBRUGO98Ap-B8eSGcZxxfvdJcg1VB0XqQ0k1EbjwPAVgo=&amp;xsec_source=pc_trdark","https://www.xiaohongshu.com/explore/6982e399000000001a02dbc6?xsec_token=TBRUGO98Ap-B8eSGcZxxfvdJcg1VB0XqQ0k1EbjwPAVgo=&amp;xsec_source=pc_trdark")</f>
        <v>0.0</v>
      </c>
      <c r="D514" t="inlineStr">
        <is>
          <t>鲜水湾</t>
        </is>
      </c>
      <c r="E514" t="inlineStr">
        <is>
          <t>49316638994</t>
        </is>
      </c>
      <c r="F514" t="inlineStr">
        <is>
          <t>2026-02-04 14:13:45</t>
        </is>
      </c>
      <c r="G514" t="inlineStr">
        <is>
          <t>图文</t>
        </is>
      </c>
      <c r="H514" t="inlineStr">
        <is>
          <t>大虾基围虾王牌大虾厄瓜多尔白虾盐冻虾仁海洋大虾送礼顺丰包邮</t>
        </is>
      </c>
      <c r="I514" t="inlineStr">
        <is>
          <t>690aeb7be379430001e686ac</t>
        </is>
      </c>
      <c r="J514" t="inlineStr">
        <is>
          <t/>
        </is>
      </c>
      <c r="K514" t="n">
        <v>69.0</v>
      </c>
      <c r="L514" t="n">
        <v>1.0</v>
      </c>
      <c r="M514" t="n">
        <v>2.0</v>
      </c>
      <c r="N514" t="inlineStr">
        <is>
          <t>0.16666666666666666</t>
        </is>
      </c>
      <c r="O514" t="n">
        <v>2.0</v>
      </c>
      <c r="P514" t="n">
        <v>1.0</v>
      </c>
      <c r="Q514" t="n">
        <v>0.5</v>
      </c>
      <c r="R514" t="n">
        <v>0.5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12.0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10.916666666666666</v>
      </c>
      <c r="AL514" t="inlineStr">
        <is>
          <t/>
        </is>
      </c>
    </row>
    <row r="515">
      <c r="A515" t="inlineStr">
        <is>
          <t>误以为很贵，实际40多五斤生蚝真的过瘾！</t>
        </is>
      </c>
      <c r="B515" t="inlineStr">
        <is>
          <t>6930088b000000001f006225</t>
        </is>
      </c>
      <c r="C515" s="514" t="n">
        <f>HYPERLINK("https://www.xiaohongshu.com/explore/6930088b000000001f006225?xsec_token=TBXTxn9EZjzobZQSnyFe1Ge_xt-0aEw_uXRIkU64CkQBc=&amp;xsec_source=pc_trdark","https://www.xiaohongshu.com/explore/6930088b000000001f006225?xsec_token=TBXTxn9EZjzobZQSnyFe1Ge_xt-0aEw_uXRIkU64CkQBc=&amp;xsec_source=pc_trdark")</f>
        <v>0.0</v>
      </c>
      <c r="D515" t="inlineStr">
        <is>
          <t>婉婉上班吃什么</t>
        </is>
      </c>
      <c r="E515" t="inlineStr">
        <is>
          <t>11434449706</t>
        </is>
      </c>
      <c r="F515" t="inlineStr">
        <is>
          <t>2025-12-03 17:53:15</t>
        </is>
      </c>
      <c r="G515" t="inlineStr">
        <is>
          <t>视频</t>
        </is>
      </c>
      <c r="H515" t="inlineStr">
        <is>
          <t>生蚝乳山生蚝海蛎子顺丰包邮</t>
        </is>
      </c>
      <c r="I515" t="inlineStr">
        <is>
          <t>690c70971b787900010866cc</t>
        </is>
      </c>
      <c r="J515" t="n">
        <v>30.0</v>
      </c>
      <c r="K515" t="n">
        <v>0.0</v>
      </c>
      <c r="L515" t="n">
        <v>0.0</v>
      </c>
      <c r="M515" t="n">
        <v>2.0</v>
      </c>
      <c r="N515" t="inlineStr">
        <is>
          <t>0.16666666666666666</t>
        </is>
      </c>
      <c r="O515" t="n">
        <v>1.0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inlineStr">
        <is>
          <t/>
        </is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12.0</v>
      </c>
      <c r="AE515" t="n">
        <v>0.0</v>
      </c>
      <c r="AF515" t="n">
        <v>1.0</v>
      </c>
      <c r="AG515" t="n">
        <v>0.0</v>
      </c>
      <c r="AH515" t="n">
        <v>0.0</v>
      </c>
      <c r="AI515" t="n">
        <v>0.0</v>
      </c>
      <c r="AJ515" t="n">
        <v>0.0</v>
      </c>
      <c r="AK515" t="n">
        <v>11.0</v>
      </c>
      <c r="AL515" t="inlineStr">
        <is>
          <t>0.07692307692307693</t>
        </is>
      </c>
    </row>
    <row r="516">
      <c r="A516" t="inlineStr">
        <is>
          <t>原产地海蛎子直发！这海蛎子真的肥到没边了</t>
        </is>
      </c>
      <c r="B516" t="inlineStr">
        <is>
          <t>6912feac000000000302d5f9</t>
        </is>
      </c>
      <c r="C516" s="515" t="n">
        <f>HYPERLINK("https://www.xiaohongshu.com/explore/6912feac000000000302d5f9?xsec_token=TBnZN0DmKGIQMnPXPN25j7p48mbHqVct7EZyY-hUxfDfg=&amp;xsec_source=pc_trdark","https://www.xiaohongshu.com/explore/6912feac000000000302d5f9?xsec_token=TBnZN0DmKGIQMnPXPN25j7p48mbHqVct7EZyY-hUxfDfg=&amp;xsec_source=pc_trdark")</f>
        <v>0.0</v>
      </c>
      <c r="D516" t="inlineStr">
        <is>
          <t>婉婉上班吃什么</t>
        </is>
      </c>
      <c r="E516" t="inlineStr">
        <is>
          <t>11434449706</t>
        </is>
      </c>
      <c r="F516" t="inlineStr">
        <is>
          <t>2025-11-11 17:15:24</t>
        </is>
      </c>
      <c r="G516" t="inlineStr">
        <is>
          <t>视频</t>
        </is>
      </c>
      <c r="H516" t="inlineStr">
        <is>
          <t>生蚝乳山生蚝海蛎子顺丰包邮</t>
        </is>
      </c>
      <c r="I516" t="inlineStr">
        <is>
          <t>690c70971b787900010866cc</t>
        </is>
      </c>
      <c r="J516" t="n">
        <v>19.0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inlineStr">
        <is>
          <t/>
        </is>
      </c>
      <c r="R516" t="inlineStr">
        <is>
          <t/>
        </is>
      </c>
      <c r="S516" t="n">
        <v>0.0</v>
      </c>
      <c r="T516" t="n">
        <v>0.0</v>
      </c>
      <c r="U516" t="n">
        <v>0.0</v>
      </c>
      <c r="V516" t="n">
        <v>0.0</v>
      </c>
      <c r="W516" t="inlineStr">
        <is>
          <t/>
        </is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12.0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6.666666666666667</v>
      </c>
      <c r="AL516" t="inlineStr">
        <is>
          <t>0.13333333333333333</t>
        </is>
      </c>
    </row>
    <row r="517">
      <c r="A517" t="inlineStr">
        <is>
          <t>别再砍价啦！20+💰1斤的大虾真没赚头</t>
        </is>
      </c>
      <c r="B517" t="inlineStr">
        <is>
          <t>690ea0dc0000000004002f4f</t>
        </is>
      </c>
      <c r="C517" s="516" t="n">
        <f>HYPERLINK("https://www.xiaohongshu.com/explore/690ea0dc0000000004002f4f?xsec_token=TBJajQDaP2lymAuuRX7yQPUewVaoUQEzemwtjRoH_ABNg=&amp;xsec_source=pc_trdark","https://www.xiaohongshu.com/explore/690ea0dc0000000004002f4f?xsec_token=TBJajQDaP2lymAuuRX7yQPUewVaoUQEzemwtjRoH_ABNg=&amp;xsec_source=pc_trdark")</f>
        <v>0.0</v>
      </c>
      <c r="D517" t="inlineStr">
        <is>
          <t>鲜水湾</t>
        </is>
      </c>
      <c r="E517" t="inlineStr">
        <is>
          <t>49316638994</t>
        </is>
      </c>
      <c r="F517" t="inlineStr">
        <is>
          <t>2025-11-08 09:46:04</t>
        </is>
      </c>
      <c r="G517" t="inlineStr">
        <is>
          <t>图文</t>
        </is>
      </c>
      <c r="H517" t="inlineStr">
        <is>
          <t>大虾基围虾王牌大虾厄瓜多尔白虾盐冻虾仁海洋大虾送礼顺丰包邮</t>
        </is>
      </c>
      <c r="I517" t="inlineStr">
        <is>
          <t>690aeb7be379430001e686ac</t>
        </is>
      </c>
      <c r="J517" t="inlineStr">
        <is>
          <t/>
        </is>
      </c>
      <c r="K517" t="n">
        <v>0.0</v>
      </c>
      <c r="L517" t="n">
        <v>0.0</v>
      </c>
      <c r="M517" t="n">
        <v>3.0</v>
      </c>
      <c r="N517" t="n">
        <v>0.25</v>
      </c>
      <c r="O517" t="n">
        <v>2.0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inlineStr">
        <is>
          <t/>
        </is>
      </c>
      <c r="X517" t="n">
        <v>0.0</v>
      </c>
      <c r="Y517" t="n">
        <v>0.0</v>
      </c>
      <c r="Z517" t="n">
        <v>2.0</v>
      </c>
      <c r="AA517" t="n">
        <v>0.0</v>
      </c>
      <c r="AB517" t="n">
        <v>0.0</v>
      </c>
      <c r="AC517" t="n">
        <v>0.0</v>
      </c>
      <c r="AD517" t="n">
        <v>12.0</v>
      </c>
      <c r="AE517" t="n">
        <v>0.0</v>
      </c>
      <c r="AF517" t="n">
        <v>0.0</v>
      </c>
      <c r="AG517" t="n">
        <v>0.0</v>
      </c>
      <c r="AH517" t="n">
        <v>1.0</v>
      </c>
      <c r="AI517" t="n">
        <v>0.0</v>
      </c>
      <c r="AJ517" t="n">
        <v>0.0</v>
      </c>
      <c r="AK517" t="n">
        <v>8.166666666666666</v>
      </c>
      <c r="AL517" t="inlineStr">
        <is>
          <t/>
        </is>
      </c>
    </row>
    <row r="518">
      <c r="A518" t="inlineStr">
        <is>
          <t>被问爆了！69块真的能吃一周减脂餐🍤</t>
        </is>
      </c>
      <c r="B518" t="inlineStr">
        <is>
          <t>69f1d2c9000000001e00d450</t>
        </is>
      </c>
      <c r="C518" s="517" t="n">
        <f>HYPERLINK("https://www.xiaohongshu.com/explore/69f1d2c9000000001e00d450?xsec_token=TBLt8Y96Ok9n09b_UIgIegbhB38l-VZOb87vP17G5pLCw=&amp;xsec_source=pc_trdark","https://www.xiaohongshu.com/explore/69f1d2c9000000001e00d450?xsec_token=TBLt8Y96Ok9n09b_UIgIegbhB38l-VZOb87vP17G5pLCw=&amp;xsec_source=pc_trdark")</f>
        <v>0.0</v>
      </c>
      <c r="D518" t="inlineStr">
        <is>
          <t>菲菲上班吃什么</t>
        </is>
      </c>
      <c r="E518" t="inlineStr">
        <is>
          <t>49936530607</t>
        </is>
      </c>
      <c r="F518" t="inlineStr">
        <is>
          <t>2026-04-29 17:43:37</t>
        </is>
      </c>
      <c r="G518" t="inlineStr">
        <is>
          <t>图文</t>
        </is>
      </c>
      <c r="H518" t="inlineStr">
        <is>
          <t>手剥虾仁 无冰衣无添加 低脂餐一人食 上班带饭 顺丰包邮 5盒装</t>
        </is>
      </c>
      <c r="I518" t="inlineStr">
        <is>
          <t>694baba01d450d00013662f0</t>
        </is>
      </c>
      <c r="J518" t="inlineStr">
        <is>
          <t/>
        </is>
      </c>
      <c r="K518" t="n">
        <v>0.0</v>
      </c>
      <c r="L518" t="n">
        <v>0.0</v>
      </c>
      <c r="M518" t="n">
        <v>2.0</v>
      </c>
      <c r="N518" t="inlineStr">
        <is>
          <t>0.18181818181818182</t>
        </is>
      </c>
      <c r="O518" t="n">
        <v>2.0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inlineStr">
        <is>
          <t/>
        </is>
      </c>
      <c r="X518" t="n">
        <v>0.0</v>
      </c>
      <c r="Y518" t="n">
        <v>1.0</v>
      </c>
      <c r="Z518" t="n">
        <v>0.0</v>
      </c>
      <c r="AA518" t="n">
        <v>0.0</v>
      </c>
      <c r="AB518" t="n">
        <v>0.0</v>
      </c>
      <c r="AC518" t="n">
        <v>0.0</v>
      </c>
      <c r="AD518" t="n">
        <v>11.0</v>
      </c>
      <c r="AE518" t="n">
        <v>0.0</v>
      </c>
      <c r="AF518" t="n">
        <v>0.0</v>
      </c>
      <c r="AG518" t="n">
        <v>0.0</v>
      </c>
      <c r="AH518" t="n">
        <v>1.0</v>
      </c>
      <c r="AI518" t="n">
        <v>0.0</v>
      </c>
      <c r="AJ518" t="n">
        <v>0.0</v>
      </c>
      <c r="AK518" t="n">
        <v>5.545454545454546</v>
      </c>
      <c r="AL518" t="inlineStr">
        <is>
          <t/>
        </is>
      </c>
    </row>
    <row r="519">
      <c r="A519" t="inlineStr">
        <is>
          <t>话不多说，五一前务必拿下100J😍</t>
        </is>
      </c>
      <c r="B519" t="inlineStr">
        <is>
          <t>69e9ac68000000002301e570</t>
        </is>
      </c>
      <c r="C519" s="518" t="n">
        <f>HYPERLINK("https://www.xiaohongshu.com/explore/69e9ac68000000002301e570?xsec_token=TBNkLc7pOHvt_5tNJTpGNllIcB8moVlq7b8tMIll3Kxyo=&amp;xsec_source=pc_trdark","https://www.xiaohongshu.com/explore/69e9ac68000000002301e570?xsec_token=TBNkLc7pOHvt_5tNJTpGNllIcB8moVlq7b8tMIll3Kxyo=&amp;xsec_source=pc_trdark")</f>
        <v>0.0</v>
      </c>
      <c r="D519" t="inlineStr">
        <is>
          <t>菲菲上班吃什么</t>
        </is>
      </c>
      <c r="E519" t="inlineStr">
        <is>
          <t>49936530607</t>
        </is>
      </c>
      <c r="F519" t="inlineStr">
        <is>
          <t>2026-04-24 16:00:00</t>
        </is>
      </c>
      <c r="G519" t="inlineStr">
        <is>
          <t>图文</t>
        </is>
      </c>
      <c r="H519" t="inlineStr">
        <is>
          <t>手剥虾仁 无冰衣无添加 低脂餐一人食 上班带饭 顺丰包邮 5盒装</t>
        </is>
      </c>
      <c r="I519" t="inlineStr">
        <is>
          <t>694baba01d450d00013662f0</t>
        </is>
      </c>
      <c r="J519" t="inlineStr">
        <is>
          <t/>
        </is>
      </c>
      <c r="K519" t="n">
        <v>0.0</v>
      </c>
      <c r="L519" t="n">
        <v>0.0</v>
      </c>
      <c r="M519" t="n">
        <v>1.0</v>
      </c>
      <c r="N519" t="inlineStr">
        <is>
          <t>0.09090909090909091</t>
        </is>
      </c>
      <c r="O519" t="n">
        <v>1.0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inlineStr">
        <is>
          <t/>
        </is>
      </c>
      <c r="X519" t="n">
        <v>0.0</v>
      </c>
      <c r="Y519" t="n">
        <v>0.0</v>
      </c>
      <c r="Z519" t="n">
        <v>2.0</v>
      </c>
      <c r="AA519" t="n">
        <v>0.0</v>
      </c>
      <c r="AB519" t="n">
        <v>0.0</v>
      </c>
      <c r="AC519" t="n">
        <v>0.0</v>
      </c>
      <c r="AD519" t="n">
        <v>11.0</v>
      </c>
      <c r="AE519" t="n">
        <v>1.0</v>
      </c>
      <c r="AF519" t="n">
        <v>0.0</v>
      </c>
      <c r="AG519" t="n">
        <v>0.0</v>
      </c>
      <c r="AH519" t="n">
        <v>1.0</v>
      </c>
      <c r="AI519" t="n">
        <v>0.0</v>
      </c>
      <c r="AJ519" t="n">
        <v>0.0</v>
      </c>
      <c r="AK519" t="n">
        <v>9.272727272727273</v>
      </c>
      <c r="AL519" t="inlineStr">
        <is>
          <t/>
        </is>
      </c>
    </row>
    <row r="520">
      <c r="A520" t="inlineStr">
        <is>
          <t>又囤上了😂69块承包了一周的轻食餐</t>
        </is>
      </c>
      <c r="B520" t="inlineStr">
        <is>
          <t>69e989660000000021006715</t>
        </is>
      </c>
      <c r="C520" s="519" t="n">
        <f>HYPERLINK("https://www.xiaohongshu.com/explore/69e989660000000021006715?xsec_token=TBNkLc7pOHvt_5tNJTpGNllOtMG3r03bWotfryIgUUBO4=&amp;xsec_source=pc_trdark","https://www.xiaohongshu.com/explore/69e989660000000021006715?xsec_token=TBNkLc7pOHvt_5tNJTpGNllOtMG3r03bWotfryIgUUBO4=&amp;xsec_source=pc_trdark")</f>
        <v>0.0</v>
      </c>
      <c r="D520" t="inlineStr">
        <is>
          <t>鲜水湾甄选</t>
        </is>
      </c>
      <c r="E520" t="inlineStr">
        <is>
          <t>27401929161</t>
        </is>
      </c>
      <c r="F520" t="inlineStr">
        <is>
          <t>2026-04-23 18:00:00</t>
        </is>
      </c>
      <c r="G520" t="inlineStr">
        <is>
          <t>图文</t>
        </is>
      </c>
      <c r="H520" t="inlineStr">
        <is>
          <t>手剥虾仁 无冰衣无添加 低脂餐一人食 上班带饭 顺丰包邮 5盒装</t>
        </is>
      </c>
      <c r="I520" t="inlineStr">
        <is>
          <t>694baba01d450d00013662f0</t>
        </is>
      </c>
      <c r="J520" t="inlineStr">
        <is>
          <t/>
        </is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inlineStr">
        <is>
          <t/>
        </is>
      </c>
      <c r="R520" t="inlineStr">
        <is>
          <t/>
        </is>
      </c>
      <c r="S520" t="n">
        <v>0.0</v>
      </c>
      <c r="T520" t="n">
        <v>0.0</v>
      </c>
      <c r="U520" t="n">
        <v>0.0</v>
      </c>
      <c r="V520" t="n">
        <v>0.0</v>
      </c>
      <c r="W520" t="inlineStr">
        <is>
          <t/>
        </is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11.0</v>
      </c>
      <c r="AE520" t="n">
        <v>0.0</v>
      </c>
      <c r="AF520" t="n">
        <v>0.0</v>
      </c>
      <c r="AG520" t="n">
        <v>0.0</v>
      </c>
      <c r="AH520" t="n">
        <v>1.0</v>
      </c>
      <c r="AI520" t="n">
        <v>0.0</v>
      </c>
      <c r="AJ520" t="n">
        <v>0.0</v>
      </c>
      <c r="AK520" t="n">
        <v>4.181818181818182</v>
      </c>
      <c r="AL520" t="inlineStr">
        <is>
          <t/>
        </is>
      </c>
    </row>
    <row r="521">
      <c r="A521" t="inlineStr">
        <is>
          <t>给大家直观展示一下70的购买力……</t>
        </is>
      </c>
      <c r="B521" t="inlineStr">
        <is>
          <t>69c5e763000000001f0036f4</t>
        </is>
      </c>
      <c r="C521" s="520" t="n">
        <f>HYPERLINK("https://www.xiaohongshu.com/explore/69c5e763000000001f0036f4?xsec_token=TBe2pVMaF-KgU6DP2LLO6mLUQpVCWdpxANvV9lyr2_dLQ=&amp;xsec_source=pc_trdark","https://www.xiaohongshu.com/explore/69c5e763000000001f0036f4?xsec_token=TBe2pVMaF-KgU6DP2LLO6mLUQpVCWdpxANvV9lyr2_dLQ=&amp;xsec_source=pc_trdark")</f>
        <v>0.0</v>
      </c>
      <c r="D521" t="inlineStr">
        <is>
          <t>菲菲上班吃什么</t>
        </is>
      </c>
      <c r="E521" t="inlineStr">
        <is>
          <t>49936530607</t>
        </is>
      </c>
      <c r="F521" t="inlineStr">
        <is>
          <t>2026-03-27 10:11:47</t>
        </is>
      </c>
      <c r="G521" t="inlineStr">
        <is>
          <t>图文</t>
        </is>
      </c>
      <c r="H521" t="inlineStr">
        <is>
          <t>手剥虾仁 无冰衣无添加 低脂餐一人食 上班带饭 顺丰包邮 5盒装</t>
        </is>
      </c>
      <c r="I521" t="inlineStr">
        <is>
          <t>694baba01d450d00013662f0</t>
        </is>
      </c>
      <c r="J521" t="inlineStr">
        <is>
          <t/>
        </is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inlineStr">
        <is>
          <t/>
        </is>
      </c>
      <c r="R521" t="inlineStr">
        <is>
          <t/>
        </is>
      </c>
      <c r="S521" t="n">
        <v>0.0</v>
      </c>
      <c r="T521" t="n">
        <v>0.0</v>
      </c>
      <c r="U521" t="n">
        <v>0.0</v>
      </c>
      <c r="V521" t="n">
        <v>0.0</v>
      </c>
      <c r="W521" t="inlineStr">
        <is>
          <t/>
        </is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11.0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4.181818181818182</v>
      </c>
      <c r="AL521" t="inlineStr">
        <is>
          <t/>
        </is>
      </c>
    </row>
    <row r="522">
      <c r="A522" t="inlineStr">
        <is>
          <t>以为69没多少，结果够我吃一周减脂餐的了</t>
        </is>
      </c>
      <c r="B522" t="inlineStr">
        <is>
          <t>69c15c01000000002800873c</t>
        </is>
      </c>
      <c r="C522" s="521" t="n">
        <f>HYPERLINK("https://www.xiaohongshu.com/explore/69c15c01000000002800873c?xsec_token=TBltfkQyXS0u_Ko7SgIzuBYs6LVUOf53YM7PIAn0mfGs8=&amp;xsec_source=pc_trdark","https://www.xiaohongshu.com/explore/69c15c01000000002800873c?xsec_token=TBltfkQyXS0u_Ko7SgIzuBYs6LVUOf53YM7PIAn0mfGs8=&amp;xsec_source=pc_trdark")</f>
        <v>0.0</v>
      </c>
      <c r="D522" t="inlineStr">
        <is>
          <t>菲菲上班吃什么</t>
        </is>
      </c>
      <c r="E522" t="inlineStr">
        <is>
          <t>49936530607</t>
        </is>
      </c>
      <c r="F522" t="inlineStr">
        <is>
          <t>2026-03-23 23:28:01</t>
        </is>
      </c>
      <c r="G522" t="inlineStr">
        <is>
          <t>图文</t>
        </is>
      </c>
      <c r="H522" t="inlineStr">
        <is>
          <t>手剥虾仁 无冰衣无添加 低脂餐一人食 上班带饭 顺丰包邮 5盒装</t>
        </is>
      </c>
      <c r="I522" t="inlineStr">
        <is>
          <t>694baba01d450d00013662f0</t>
        </is>
      </c>
      <c r="J522" t="inlineStr">
        <is>
          <t/>
        </is>
      </c>
      <c r="K522" t="n">
        <v>128.0</v>
      </c>
      <c r="L522" t="n">
        <v>1.0</v>
      </c>
      <c r="M522" t="n">
        <v>3.0</v>
      </c>
      <c r="N522" t="n">
        <v>0.2727272727272727</v>
      </c>
      <c r="O522" t="n">
        <v>2.0</v>
      </c>
      <c r="P522" t="n">
        <v>1.0</v>
      </c>
      <c r="Q522" t="n">
        <v>0.3333333333333333</v>
      </c>
      <c r="R522" t="n">
        <v>0.5</v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1.0</v>
      </c>
      <c r="Z522" t="n">
        <v>0.0</v>
      </c>
      <c r="AA522" t="n">
        <v>0.0</v>
      </c>
      <c r="AB522" t="n">
        <v>0.0</v>
      </c>
      <c r="AC522" t="n">
        <v>0.0</v>
      </c>
      <c r="AD522" t="n">
        <v>11.0</v>
      </c>
      <c r="AE522" t="n">
        <v>1.0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17.0</v>
      </c>
      <c r="AL522" t="inlineStr">
        <is>
          <t/>
        </is>
      </c>
    </row>
    <row r="523">
      <c r="A523" t="inlineStr">
        <is>
          <t>瘦子实习生带的饭一天比一天离谱</t>
        </is>
      </c>
      <c r="B523" t="inlineStr">
        <is>
          <t>69ba3bfd000000001e00c8bd</t>
        </is>
      </c>
      <c r="C523" s="522" t="n">
        <f>HYPERLINK("https://www.xiaohongshu.com/explore/69ba3bfd000000001e00c8bd?xsec_token=TBgJVNruMKjnZKfHBYiZtZCWJ3e2TMo09toTKZ9vdVWb0=&amp;xsec_source=pc_trdark","https://www.xiaohongshu.com/explore/69ba3bfd000000001e00c8bd?xsec_token=TBgJVNruMKjnZKfHBYiZtZCWJ3e2TMo09toTKZ9vdVWb0=&amp;xsec_source=pc_trdark")</f>
        <v>0.0</v>
      </c>
      <c r="D523" t="inlineStr">
        <is>
          <t>婉婉上班吃什么</t>
        </is>
      </c>
      <c r="E523" t="inlineStr">
        <is>
          <t>11434449706</t>
        </is>
      </c>
      <c r="F523" t="inlineStr">
        <is>
          <t>2026-03-18 13:45:33</t>
        </is>
      </c>
      <c r="G523" t="inlineStr">
        <is>
          <t>图文</t>
        </is>
      </c>
      <c r="H523" t="inlineStr">
        <is>
          <t>手剥虾仁 无冰衣无添加 低脂餐一人食 上班带饭 顺丰包邮 5盒装</t>
        </is>
      </c>
      <c r="I523" t="inlineStr">
        <is>
          <t>694baba01d450d00013662f0</t>
        </is>
      </c>
      <c r="J523" t="inlineStr">
        <is>
          <t/>
        </is>
      </c>
      <c r="K523" t="n">
        <v>0.0</v>
      </c>
      <c r="L523" t="n">
        <v>0.0</v>
      </c>
      <c r="M523" t="n">
        <v>2.0</v>
      </c>
      <c r="N523" t="inlineStr">
        <is>
          <t>0.18181818181818182</t>
        </is>
      </c>
      <c r="O523" t="n">
        <v>1.0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inlineStr">
        <is>
          <t/>
        </is>
      </c>
      <c r="X523" t="n">
        <v>0.0</v>
      </c>
      <c r="Y523" t="n">
        <v>1.0</v>
      </c>
      <c r="Z523" t="n">
        <v>0.0</v>
      </c>
      <c r="AA523" t="n">
        <v>0.0</v>
      </c>
      <c r="AB523" t="n">
        <v>0.0</v>
      </c>
      <c r="AC523" t="n">
        <v>0.0</v>
      </c>
      <c r="AD523" t="n">
        <v>11.0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8.727272727272727</v>
      </c>
      <c r="AL523" t="inlineStr">
        <is>
          <t/>
        </is>
      </c>
    </row>
    <row r="524">
      <c r="A524" t="inlineStr">
        <is>
          <t>感谢小红书🙏承包了我一个月的晚餐</t>
        </is>
      </c>
      <c r="B524" t="inlineStr">
        <is>
          <t>69845ee6000000001a027068</t>
        </is>
      </c>
      <c r="C524" s="523" t="n">
        <f>HYPERLINK("https://www.xiaohongshu.com/explore/69845ee6000000001a027068?xsec_token=TBn0ftdrPlwv37Gn1tDFpAI-J3MboTIyrLiUdYe3CfnoM=&amp;xsec_source=pc_trdark","https://www.xiaohongshu.com/explore/69845ee6000000001a027068?xsec_token=TBn0ftdrPlwv37Gn1tDFpAI-J3MboTIyrLiUdYe3CfnoM=&amp;xsec_source=pc_trdark")</f>
        <v>0.0</v>
      </c>
      <c r="D524" t="inlineStr">
        <is>
          <t>鲜水湾</t>
        </is>
      </c>
      <c r="E524" t="inlineStr">
        <is>
          <t>49316638994</t>
        </is>
      </c>
      <c r="F524" t="inlineStr">
        <is>
          <t>2026-02-05 17:12:06</t>
        </is>
      </c>
      <c r="G524" t="inlineStr">
        <is>
          <t>图文</t>
        </is>
      </c>
      <c r="H524" t="inlineStr">
        <is>
          <t>智利三文鱼切块·整条三文鱼·深海鱼一人食健康饮食</t>
        </is>
      </c>
      <c r="I524" t="inlineStr">
        <is>
          <t>691ac562a524ee0001b51d7b</t>
        </is>
      </c>
      <c r="J524" t="inlineStr">
        <is>
          <t/>
        </is>
      </c>
      <c r="K524" t="n">
        <v>0.0</v>
      </c>
      <c r="L524" t="n">
        <v>0.0</v>
      </c>
      <c r="M524" t="n">
        <v>2.0</v>
      </c>
      <c r="N524" t="inlineStr">
        <is>
          <t>0.18181818181818182</t>
        </is>
      </c>
      <c r="O524" t="n">
        <v>2.0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inlineStr">
        <is>
          <t/>
        </is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11.0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9.636363636363637</v>
      </c>
      <c r="AL524" t="inlineStr">
        <is>
          <t/>
        </is>
      </c>
    </row>
    <row r="525">
      <c r="A525" t="inlineStr">
        <is>
          <t>建议冬至后狠狠吃生蚝，40+一箱的生蚝真肥</t>
        </is>
      </c>
      <c r="B525" t="inlineStr">
        <is>
          <t>6943d39b000000000d034d4f</t>
        </is>
      </c>
      <c r="C525" s="524" t="n">
        <f>HYPERLINK("https://www.xiaohongshu.com/explore/6943d39b000000000d034d4f?xsec_token=TB3ISCGERC3xZFl0ewfdTFyId3-4629b3-nxVDswtkamo=&amp;xsec_source=pc_trdark","https://www.xiaohongshu.com/explore/6943d39b000000000d034d4f?xsec_token=TB3ISCGERC3xZFl0ewfdTFyId3-4629b3-nxVDswtkamo=&amp;xsec_source=pc_trdark")</f>
        <v>0.0</v>
      </c>
      <c r="D525" t="inlineStr">
        <is>
          <t>婉婉上班吃什么</t>
        </is>
      </c>
      <c r="E525" t="inlineStr">
        <is>
          <t>11434449706</t>
        </is>
      </c>
      <c r="F525" t="inlineStr">
        <is>
          <t>2025-12-18 18:12:43</t>
        </is>
      </c>
      <c r="G525" t="inlineStr">
        <is>
          <t>视频</t>
        </is>
      </c>
      <c r="H525" t="inlineStr">
        <is>
          <t>生蚝乳山生蚝海蛎子顺丰包邮</t>
        </is>
      </c>
      <c r="I525" t="inlineStr">
        <is>
          <t>690c70971b787900010866cc</t>
        </is>
      </c>
      <c r="J525" t="n">
        <v>37.0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inlineStr">
        <is>
          <t/>
        </is>
      </c>
      <c r="R525" t="inlineStr">
        <is>
          <t/>
        </is>
      </c>
      <c r="S525" t="n">
        <v>0.0</v>
      </c>
      <c r="T525" t="n">
        <v>0.0</v>
      </c>
      <c r="U525" t="n">
        <v>0.0</v>
      </c>
      <c r="V525" t="n">
        <v>0.0</v>
      </c>
      <c r="W525" t="inlineStr">
        <is>
          <t/>
        </is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11.0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10.363636363636363</v>
      </c>
      <c r="AL525" t="inlineStr">
        <is>
          <t>0.08333333333333333</t>
        </is>
      </c>
    </row>
    <row r="526">
      <c r="A526" t="inlineStr">
        <is>
          <t>老爹让我通知一下，60+承包您一周轻食</t>
        </is>
      </c>
      <c r="B526" t="inlineStr">
        <is>
          <t>69e98ff0000000001f0019a3</t>
        </is>
      </c>
      <c r="C526" s="525" t="n">
        <f>HYPERLINK("https://www.xiaohongshu.com/explore/69e98ff0000000001f0019a3?xsec_token=TBNkLc7pOHvt_5tNJTpGNllAazQAjzo4mA6ZtnurO91oA=&amp;xsec_source=pc_trdark","https://www.xiaohongshu.com/explore/69e98ff0000000001f0019a3?xsec_token=TBNkLc7pOHvt_5tNJTpGNllAazQAjzo4mA6ZtnurO91oA=&amp;xsec_source=pc_trdark")</f>
        <v>0.0</v>
      </c>
      <c r="D526" t="inlineStr">
        <is>
          <t>菲菲上班吃什么</t>
        </is>
      </c>
      <c r="E526" t="inlineStr">
        <is>
          <t>49936530607</t>
        </is>
      </c>
      <c r="F526" t="inlineStr">
        <is>
          <t>2026-04-24 21:30:00</t>
        </is>
      </c>
      <c r="G526" t="inlineStr">
        <is>
          <t>图文</t>
        </is>
      </c>
      <c r="H526" t="inlineStr">
        <is>
          <t>手剥虾仁 无冰衣无添加 低脂餐一人食 上班带饭 顺丰包邮 5盒装</t>
        </is>
      </c>
      <c r="I526" t="inlineStr">
        <is>
          <t>694baba01d450d00013662f0</t>
        </is>
      </c>
      <c r="J526" t="inlineStr">
        <is>
          <t/>
        </is>
      </c>
      <c r="K526" t="n">
        <v>0.0</v>
      </c>
      <c r="L526" t="n">
        <v>0.0</v>
      </c>
      <c r="M526" t="n">
        <v>1.0</v>
      </c>
      <c r="N526" t="n">
        <v>0.1</v>
      </c>
      <c r="O526" t="n">
        <v>1.0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inlineStr">
        <is>
          <t/>
        </is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10.0</v>
      </c>
      <c r="AE526" t="n">
        <v>0.0</v>
      </c>
      <c r="AF526" t="n">
        <v>0.0</v>
      </c>
      <c r="AG526" t="n">
        <v>0.0</v>
      </c>
      <c r="AH526" t="n">
        <v>1.0</v>
      </c>
      <c r="AI526" t="n">
        <v>0.0</v>
      </c>
      <c r="AJ526" t="n">
        <v>0.0</v>
      </c>
      <c r="AK526" t="n">
        <v>10.4</v>
      </c>
      <c r="AL526" t="inlineStr">
        <is>
          <t/>
        </is>
      </c>
    </row>
    <row r="527">
      <c r="A527" t="inlineStr">
        <is>
          <t>凭一己之力带动办公室买了十份虾仁</t>
        </is>
      </c>
      <c r="B527" t="inlineStr">
        <is>
          <t>69e88beb0000000023027ba2</t>
        </is>
      </c>
      <c r="C527" s="526" t="n">
        <f>HYPERLINK("https://www.xiaohongshu.com/explore/69e88beb0000000023027ba2?xsec_token=TBrsJGfbmdICsvnXoyd4QdRmtllV5r8nIh43zlXFb_taU=&amp;xsec_source=pc_trdark","https://www.xiaohongshu.com/explore/69e88beb0000000023027ba2?xsec_token=TBrsJGfbmdICsvnXoyd4QdRmtllV5r8nIh43zlXFb_taU=&amp;xsec_source=pc_trdark")</f>
        <v>0.0</v>
      </c>
      <c r="D527" t="inlineStr">
        <is>
          <t>鲜水湾甄选</t>
        </is>
      </c>
      <c r="E527" t="inlineStr">
        <is>
          <t>27401929161</t>
        </is>
      </c>
      <c r="F527" t="inlineStr">
        <is>
          <t>2026-04-23 16:30:00</t>
        </is>
      </c>
      <c r="G527" t="inlineStr">
        <is>
          <t>图文</t>
        </is>
      </c>
      <c r="H527" t="inlineStr">
        <is>
          <t>手剥虾仁 无冰衣无添加 低脂餐一人食 上班带饭 顺丰包邮 5盒装</t>
        </is>
      </c>
      <c r="I527" t="inlineStr">
        <is>
          <t>694baba01d450d00013662f0</t>
        </is>
      </c>
      <c r="J527" t="inlineStr">
        <is>
          <t/>
        </is>
      </c>
      <c r="K527" t="n">
        <v>0.0</v>
      </c>
      <c r="L527" t="n">
        <v>0.0</v>
      </c>
      <c r="M527" t="n">
        <v>1.0</v>
      </c>
      <c r="N527" t="n">
        <v>0.1</v>
      </c>
      <c r="O527" t="n">
        <v>1.0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inlineStr">
        <is>
          <t/>
        </is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10.0</v>
      </c>
      <c r="AE527" t="n">
        <v>0.0</v>
      </c>
      <c r="AF527" t="n">
        <v>0.0</v>
      </c>
      <c r="AG527" t="n">
        <v>0.0</v>
      </c>
      <c r="AH527" t="n">
        <v>1.0</v>
      </c>
      <c r="AI527" t="n">
        <v>0.0</v>
      </c>
      <c r="AJ527" t="n">
        <v>0.0</v>
      </c>
      <c r="AK527" t="n">
        <v>16.4</v>
      </c>
      <c r="AL527" t="inlineStr">
        <is>
          <t/>
        </is>
      </c>
    </row>
    <row r="528">
      <c r="A528" t="inlineStr">
        <is>
          <t>谁懂啊！128承包我减脂期的所有蛋白质😭</t>
        </is>
      </c>
      <c r="B528" t="inlineStr">
        <is>
          <t>69e8804c000000001a02ecb0</t>
        </is>
      </c>
      <c r="C528" s="527" t="n">
        <f>HYPERLINK("https://www.xiaohongshu.com/explore/69e8804c000000001a02ecb0?xsec_token=TBrsJGfbmdICsvnXoyd4QdRgnRiRJRk5kPal41PnJm2ZA=&amp;xsec_source=pc_trdark","https://www.xiaohongshu.com/explore/69e8804c000000001a02ecb0?xsec_token=TBrsJGfbmdICsvnXoyd4QdRgnRiRJRk5kPal41PnJm2ZA=&amp;xsec_source=pc_trdark")</f>
        <v>0.0</v>
      </c>
      <c r="D528" t="inlineStr">
        <is>
          <t>菲菲上班吃什么</t>
        </is>
      </c>
      <c r="E528" t="inlineStr">
        <is>
          <t>49936530607</t>
        </is>
      </c>
      <c r="F528" t="inlineStr">
        <is>
          <t>2026-04-23 17:30:00</t>
        </is>
      </c>
      <c r="G528" t="inlineStr">
        <is>
          <t>图文</t>
        </is>
      </c>
      <c r="H528" t="inlineStr">
        <is>
          <t>手剥虾仁 无冰衣无添加 低脂餐一人食 上班带饭 顺丰包邮 5盒装</t>
        </is>
      </c>
      <c r="I528" t="inlineStr">
        <is>
          <t>694baba01d450d00013662f0</t>
        </is>
      </c>
      <c r="J528" t="inlineStr">
        <is>
          <t/>
        </is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inlineStr">
        <is>
          <t/>
        </is>
      </c>
      <c r="R528" t="inlineStr">
        <is>
          <t/>
        </is>
      </c>
      <c r="S528" t="n">
        <v>0.0</v>
      </c>
      <c r="T528" t="n">
        <v>0.0</v>
      </c>
      <c r="U528" t="n">
        <v>0.0</v>
      </c>
      <c r="V528" t="n">
        <v>0.0</v>
      </c>
      <c r="W528" t="inlineStr">
        <is>
          <t/>
        </is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10.0</v>
      </c>
      <c r="AE528" t="n">
        <v>0.0</v>
      </c>
      <c r="AF528" t="n">
        <v>0.0</v>
      </c>
      <c r="AG528" t="n">
        <v>0.0</v>
      </c>
      <c r="AH528" t="n">
        <v>1.0</v>
      </c>
      <c r="AI528" t="n">
        <v>0.0</v>
      </c>
      <c r="AJ528" t="n">
        <v>0.0</v>
      </c>
      <c r="AK528" t="n">
        <v>3.3</v>
      </c>
      <c r="AL528" t="inlineStr">
        <is>
          <t/>
        </is>
      </c>
    </row>
    <row r="529">
      <c r="A529" t="inlineStr">
        <is>
          <t>身材管理期，回购N次的虾仁</t>
        </is>
      </c>
      <c r="B529" t="inlineStr">
        <is>
          <t>69c37d2400000000280091cf</t>
        </is>
      </c>
      <c r="C529" s="528" t="n">
        <f>HYPERLINK("https://www.xiaohongshu.com/explore/69c37d2400000000280091cf?xsec_token=TBedSEQ7qtT06AlsylOAiUwz9Bn-nHH8Uq6SfcVIvXlvY=&amp;xsec_source=pc_trdark","https://www.xiaohongshu.com/explore/69c37d2400000000280091cf?xsec_token=TBedSEQ7qtT06AlsylOAiUwz9Bn-nHH8Uq6SfcVIvXlvY=&amp;xsec_source=pc_trdark")</f>
        <v>0.0</v>
      </c>
      <c r="D529" t="inlineStr">
        <is>
          <t>婉婉上班吃什么</t>
        </is>
      </c>
      <c r="E529" t="inlineStr">
        <is>
          <t>11434449706</t>
        </is>
      </c>
      <c r="F529" t="inlineStr">
        <is>
          <t>2026-03-25 14:13:56</t>
        </is>
      </c>
      <c r="G529" t="inlineStr">
        <is>
          <t>图文</t>
        </is>
      </c>
      <c r="H529" t="inlineStr">
        <is>
          <t>手剥虾仁 无冰衣无添加 低脂餐一人食 上班带饭 顺丰包邮 5盒装</t>
        </is>
      </c>
      <c r="I529" t="inlineStr">
        <is>
          <t>694baba01d450d00013662f0</t>
        </is>
      </c>
      <c r="J529" t="inlineStr">
        <is>
          <t/>
        </is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inlineStr">
        <is>
          <t/>
        </is>
      </c>
      <c r="R529" t="inlineStr">
        <is>
          <t/>
        </is>
      </c>
      <c r="S529" t="n">
        <v>0.0</v>
      </c>
      <c r="T529" t="n">
        <v>0.0</v>
      </c>
      <c r="U529" t="n">
        <v>0.0</v>
      </c>
      <c r="V529" t="n">
        <v>0.0</v>
      </c>
      <c r="W529" t="inlineStr">
        <is>
          <t/>
        </is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10.0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3.9</v>
      </c>
      <c r="AL529" t="inlineStr">
        <is>
          <t/>
        </is>
      </c>
    </row>
    <row r="530">
      <c r="A530" t="inlineStr">
        <is>
          <t>谁懂啊！69实现虾仁自由太香了😭</t>
        </is>
      </c>
      <c r="B530" t="inlineStr">
        <is>
          <t>69c1fec5000000001f000872</t>
        </is>
      </c>
      <c r="C530" s="529" t="n">
        <f>HYPERLINK("https://www.xiaohongshu.com/explore/69c1fec5000000001f000872?xsec_token=TBltfkQyXS0u_Ko7SgIzuBYiLTuz2gbu4j24L-NqZGzqY=&amp;xsec_source=pc_trdark","https://www.xiaohongshu.com/explore/69c1fec5000000001f000872?xsec_token=TBltfkQyXS0u_Ko7SgIzuBYiLTuz2gbu4j24L-NqZGzqY=&amp;xsec_source=pc_trdark")</f>
        <v>0.0</v>
      </c>
      <c r="D530" t="inlineStr">
        <is>
          <t>菲菲上班吃什么</t>
        </is>
      </c>
      <c r="E530" t="inlineStr">
        <is>
          <t>49936530607</t>
        </is>
      </c>
      <c r="F530" t="inlineStr">
        <is>
          <t>2026-03-24 11:02:29</t>
        </is>
      </c>
      <c r="G530" t="inlineStr">
        <is>
          <t>图文</t>
        </is>
      </c>
      <c r="H530" t="inlineStr">
        <is>
          <t>手剥虾仁 无冰衣无添加 低脂餐一人食 上班带饭 顺丰包邮 5盒装</t>
        </is>
      </c>
      <c r="I530" t="inlineStr">
        <is>
          <t>694baba01d450d00013662f0</t>
        </is>
      </c>
      <c r="J530" t="inlineStr">
        <is>
          <t/>
        </is>
      </c>
      <c r="K530" t="n">
        <v>0.0</v>
      </c>
      <c r="L530" t="n">
        <v>0.0</v>
      </c>
      <c r="M530" t="n">
        <v>1.0</v>
      </c>
      <c r="N530" t="n">
        <v>0.1</v>
      </c>
      <c r="O530" t="n">
        <v>1.0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inlineStr">
        <is>
          <t/>
        </is>
      </c>
      <c r="X530" t="n">
        <v>0.0</v>
      </c>
      <c r="Y530" t="n">
        <v>1.0</v>
      </c>
      <c r="Z530" t="n">
        <v>0.0</v>
      </c>
      <c r="AA530" t="n">
        <v>0.0</v>
      </c>
      <c r="AB530" t="n">
        <v>0.0</v>
      </c>
      <c r="AC530" t="n">
        <v>0.0</v>
      </c>
      <c r="AD530" t="n">
        <v>10.0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10.9</v>
      </c>
      <c r="AL530" t="inlineStr">
        <is>
          <t/>
        </is>
      </c>
    </row>
    <row r="531">
      <c r="A531" t="inlineStr">
        <is>
          <t>以为69没多少，结果够我上班带饭吃一周了</t>
        </is>
      </c>
      <c r="B531" t="inlineStr">
        <is>
          <t>69bba9e40000000023006d0f</t>
        </is>
      </c>
      <c r="C531" s="530" t="n">
        <f>HYPERLINK("https://www.xiaohongshu.com/explore/69bba9e40000000023006d0f?xsec_token=TBbjiHoA30T3IRnkbtYIm1O__KQgP5Jms9DwDmCvlV_3E=&amp;xsec_source=pc_trdark","https://www.xiaohongshu.com/explore/69bba9e40000000023006d0f?xsec_token=TBbjiHoA30T3IRnkbtYIm1O__KQgP5Jms9DwDmCvlV_3E=&amp;xsec_source=pc_trdark")</f>
        <v>0.0</v>
      </c>
      <c r="D531" t="inlineStr">
        <is>
          <t>菲菲上班吃什么</t>
        </is>
      </c>
      <c r="E531" t="inlineStr">
        <is>
          <t>49936530607</t>
        </is>
      </c>
      <c r="F531" t="inlineStr">
        <is>
          <t>2026-03-19 15:46:44</t>
        </is>
      </c>
      <c r="G531" t="inlineStr">
        <is>
          <t>图文</t>
        </is>
      </c>
      <c r="H531" t="inlineStr">
        <is>
          <t>手剥虾仁 无冰衣无添加 低脂餐一人食 上班带饭 顺丰包邮 5盒装</t>
        </is>
      </c>
      <c r="I531" t="inlineStr">
        <is>
          <t>694baba01d450d00013662f0</t>
        </is>
      </c>
      <c r="J531" t="inlineStr">
        <is>
          <t/>
        </is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inlineStr">
        <is>
          <t/>
        </is>
      </c>
      <c r="R531" t="inlineStr">
        <is>
          <t/>
        </is>
      </c>
      <c r="S531" t="n">
        <v>0.0</v>
      </c>
      <c r="T531" t="n">
        <v>0.0</v>
      </c>
      <c r="U531" t="n">
        <v>0.0</v>
      </c>
      <c r="V531" t="n">
        <v>0.0</v>
      </c>
      <c r="W531" t="inlineStr">
        <is>
          <t/>
        </is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10.0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9.7</v>
      </c>
      <c r="AL531" t="inlineStr">
        <is>
          <t/>
        </is>
      </c>
    </row>
    <row r="532">
      <c r="A532" t="inlineStr">
        <is>
          <t>感谢315，让我家这种无添加的虾仁被大家看到</t>
        </is>
      </c>
      <c r="B532" t="inlineStr">
        <is>
          <t>69ba5ec6000000001a02c6c0</t>
        </is>
      </c>
      <c r="C532" s="531" t="n">
        <f>HYPERLINK("https://www.xiaohongshu.com/explore/69ba5ec6000000001a02c6c0?xsec_token=TBgJVNruMKjnZKfHBYiZtZCYWfZUlV0gEC8LctyUXjXLs=&amp;xsec_source=pc_trdark","https://www.xiaohongshu.com/explore/69ba5ec6000000001a02c6c0?xsec_token=TBgJVNruMKjnZKfHBYiZtZCYWfZUlV0gEC8LctyUXjXLs=&amp;xsec_source=pc_trdark")</f>
        <v>0.0</v>
      </c>
      <c r="D532" t="inlineStr">
        <is>
          <t>鲜水湾</t>
        </is>
      </c>
      <c r="E532" t="inlineStr">
        <is>
          <t>49316638994</t>
        </is>
      </c>
      <c r="F532" t="inlineStr">
        <is>
          <t>2026-03-18 16:13:58</t>
        </is>
      </c>
      <c r="G532" t="inlineStr">
        <is>
          <t>图文</t>
        </is>
      </c>
      <c r="H532" t="inlineStr">
        <is>
          <t>手剥虾仁 无冰衣无添加 低脂餐一人食 上班带饭 顺丰包邮 5盒装</t>
        </is>
      </c>
      <c r="I532" t="inlineStr">
        <is>
          <t>694baba01d450d00013662f0</t>
        </is>
      </c>
      <c r="J532" t="inlineStr">
        <is>
          <t/>
        </is>
      </c>
      <c r="K532" t="n">
        <v>0.0</v>
      </c>
      <c r="L532" t="n">
        <v>0.0</v>
      </c>
      <c r="M532" t="n">
        <v>3.0</v>
      </c>
      <c r="N532" t="n">
        <v>0.3</v>
      </c>
      <c r="O532" t="n">
        <v>3.0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inlineStr">
        <is>
          <t/>
        </is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10.0</v>
      </c>
      <c r="AE532" t="n">
        <v>1.0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9.6</v>
      </c>
      <c r="AL532" t="inlineStr">
        <is>
          <t/>
        </is>
      </c>
    </row>
    <row r="533">
      <c r="A533" t="inlineStr">
        <is>
          <t>请教教我无添加大虾怎么在网上卖出去啊</t>
        </is>
      </c>
      <c r="B533" t="inlineStr">
        <is>
          <t>69b94d84000000001a02d1a7</t>
        </is>
      </c>
      <c r="C533" s="532" t="n">
        <f>HYPERLINK("https://www.xiaohongshu.com/explore/69b94d84000000001a02d1a7?xsec_token=TBgv0wN35T_w0yZx7fmvlvfFeJA5aXgqqu24VhjerFnZc=&amp;xsec_source=pc_trdark","https://www.xiaohongshu.com/explore/69b94d84000000001a02d1a7?xsec_token=TBgv0wN35T_w0yZx7fmvlvfFeJA5aXgqqu24VhjerFnZc=&amp;xsec_source=pc_trdark")</f>
        <v>0.0</v>
      </c>
      <c r="D533" t="inlineStr">
        <is>
          <t>鲜水湾</t>
        </is>
      </c>
      <c r="E533" t="inlineStr">
        <is>
          <t>49316638994</t>
        </is>
      </c>
      <c r="F533" t="inlineStr">
        <is>
          <t>2026-03-17 20:48:04</t>
        </is>
      </c>
      <c r="G533" t="inlineStr">
        <is>
          <t>图文</t>
        </is>
      </c>
      <c r="H533" t="inlineStr">
        <is>
          <t>手剥虾仁 无冰衣无添加 低脂餐一人食 上班带饭 顺丰包邮 5盒装</t>
        </is>
      </c>
      <c r="I533" t="inlineStr">
        <is>
          <t>694baba01d450d00013662f0</t>
        </is>
      </c>
      <c r="J533" t="inlineStr">
        <is>
          <t/>
        </is>
      </c>
      <c r="K533" t="n">
        <v>69.0</v>
      </c>
      <c r="L533" t="n">
        <v>1.0</v>
      </c>
      <c r="M533" t="n">
        <v>2.0</v>
      </c>
      <c r="N533" t="n">
        <v>0.2</v>
      </c>
      <c r="O533" t="n">
        <v>2.0</v>
      </c>
      <c r="P533" t="n">
        <v>1.0</v>
      </c>
      <c r="Q533" t="n">
        <v>0.5</v>
      </c>
      <c r="R533" t="n">
        <v>0.5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1.0</v>
      </c>
      <c r="Z533" t="n">
        <v>1.0</v>
      </c>
      <c r="AA533" t="n">
        <v>0.0</v>
      </c>
      <c r="AB533" t="n">
        <v>0.0</v>
      </c>
      <c r="AC533" t="n">
        <v>0.0</v>
      </c>
      <c r="AD533" t="n">
        <v>10.0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7.3</v>
      </c>
      <c r="AL533" t="inlineStr">
        <is>
          <t/>
        </is>
      </c>
    </row>
    <row r="534">
      <c r="A534" t="inlineStr">
        <is>
          <t>能接受没有保水剂虾仁的，年后控体你们就买</t>
        </is>
      </c>
      <c r="B534" t="inlineStr">
        <is>
          <t>69b4f5df000000001b020b79</t>
        </is>
      </c>
      <c r="C534" s="533" t="n">
        <f>HYPERLINK("https://www.xiaohongshu.com/explore/69b4f5df000000001b020b79?xsec_token=TB4dy4zP2Sasn_cYXEm_KMI68wQ5-vxZlTSY6i0mRkmpY=&amp;xsec_source=pc_trdark","https://www.xiaohongshu.com/explore/69b4f5df000000001b020b79?xsec_token=TB4dy4zP2Sasn_cYXEm_KMI68wQ5-vxZlTSY6i0mRkmpY=&amp;xsec_source=pc_trdark")</f>
        <v>0.0</v>
      </c>
      <c r="D534" t="inlineStr">
        <is>
          <t>鲜水湾</t>
        </is>
      </c>
      <c r="E534" t="inlineStr">
        <is>
          <t>49316638994</t>
        </is>
      </c>
      <c r="F534" t="inlineStr">
        <is>
          <t>2026-03-14 13:45:03</t>
        </is>
      </c>
      <c r="G534" t="inlineStr">
        <is>
          <t>图文</t>
        </is>
      </c>
      <c r="H534" t="inlineStr">
        <is>
          <t>手剥虾仁 无冰衣无添加 低脂餐一人食 上班带饭 顺丰包邮 5盒装</t>
        </is>
      </c>
      <c r="I534" t="inlineStr">
        <is>
          <t>694baba01d450d00013662f0</t>
        </is>
      </c>
      <c r="J534" t="inlineStr">
        <is>
          <t/>
        </is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inlineStr">
        <is>
          <t/>
        </is>
      </c>
      <c r="R534" t="inlineStr">
        <is>
          <t/>
        </is>
      </c>
      <c r="S534" t="n">
        <v>0.0</v>
      </c>
      <c r="T534" t="n">
        <v>0.0</v>
      </c>
      <c r="U534" t="n">
        <v>0.0</v>
      </c>
      <c r="V534" t="n">
        <v>0.0</v>
      </c>
      <c r="W534" t="inlineStr">
        <is>
          <t/>
        </is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10.0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8.0</v>
      </c>
      <c r="AL534" t="inlineStr">
        <is>
          <t/>
        </is>
      </c>
    </row>
    <row r="535">
      <c r="A535" t="inlineStr">
        <is>
          <t>身材管理期的姐妹建议把鸡胸肉换成三文鱼</t>
        </is>
      </c>
      <c r="B535" t="inlineStr">
        <is>
          <t>69b15afb000000000b035170</t>
        </is>
      </c>
      <c r="C535" s="534" t="n">
        <f>HYPERLINK("https://www.xiaohongshu.com/explore/69b15afb000000000b035170?xsec_token=TBPThwaY7kqe53qUk5J0OyzrCXs0-q7XVg1OwEYpBC-q8=&amp;xsec_source=pc_trdark","https://www.xiaohongshu.com/explore/69b15afb000000000b035170?xsec_token=TBPThwaY7kqe53qUk5J0OyzrCXs0-q7XVg1OwEYpBC-q8=&amp;xsec_source=pc_trdark")</f>
        <v>0.0</v>
      </c>
      <c r="D535" t="inlineStr">
        <is>
          <t>婉婉上班吃什么</t>
        </is>
      </c>
      <c r="E535" t="inlineStr">
        <is>
          <t>11434449706</t>
        </is>
      </c>
      <c r="F535" t="inlineStr">
        <is>
          <t>2026-03-11 20:07:23</t>
        </is>
      </c>
      <c r="G535" t="inlineStr">
        <is>
          <t>图文</t>
        </is>
      </c>
      <c r="H535" t="inlineStr">
        <is>
          <t>智利三文鱼切块·整条三文鱼·深海鱼一人食健康饮食</t>
        </is>
      </c>
      <c r="I535" t="inlineStr">
        <is>
          <t>691ac562a524ee0001b51d7b</t>
        </is>
      </c>
      <c r="J535" t="inlineStr">
        <is>
          <t/>
        </is>
      </c>
      <c r="K535" t="n">
        <v>0.0</v>
      </c>
      <c r="L535" t="n">
        <v>0.0</v>
      </c>
      <c r="M535" t="n">
        <v>3.0</v>
      </c>
      <c r="N535" t="n">
        <v>0.3</v>
      </c>
      <c r="O535" t="n">
        <v>3.0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inlineStr">
        <is>
          <t/>
        </is>
      </c>
      <c r="X535" t="n">
        <v>0.0</v>
      </c>
      <c r="Y535" t="n">
        <v>0.0</v>
      </c>
      <c r="Z535" t="n">
        <v>3.0</v>
      </c>
      <c r="AA535" t="n">
        <v>0.0</v>
      </c>
      <c r="AB535" t="n">
        <v>0.0</v>
      </c>
      <c r="AC535" t="n">
        <v>0.0</v>
      </c>
      <c r="AD535" t="n">
        <v>10.0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29.8</v>
      </c>
      <c r="AL535" t="inlineStr">
        <is>
          <t/>
        </is>
      </c>
    </row>
    <row r="536">
      <c r="A536" t="inlineStr">
        <is>
          <t>三文鱼真是减脂邪修啊</t>
        </is>
      </c>
      <c r="B536" t="inlineStr">
        <is>
          <t>69b02f7b000000002602d7bf</t>
        </is>
      </c>
      <c r="C536" s="535" t="n">
        <f>HYPERLINK("https://www.xiaohongshu.com/explore/69b02f7b000000002602d7bf?xsec_token=TB1fCSoBGZhUEvn2zrb_Bw2hUfDVtVvpXE8_bFSIjjYbM=&amp;xsec_source=pc_trdark","https://www.xiaohongshu.com/explore/69b02f7b000000002602d7bf?xsec_token=TB1fCSoBGZhUEvn2zrb_Bw2hUfDVtVvpXE8_bFSIjjYbM=&amp;xsec_source=pc_trdark")</f>
        <v>0.0</v>
      </c>
      <c r="D536" t="inlineStr">
        <is>
          <t>鲜水湾甄选</t>
        </is>
      </c>
      <c r="E536" t="inlineStr">
        <is>
          <t>27401929161</t>
        </is>
      </c>
      <c r="F536" t="inlineStr">
        <is>
          <t>2026-03-10 22:49:31</t>
        </is>
      </c>
      <c r="G536" t="inlineStr">
        <is>
          <t>图文</t>
        </is>
      </c>
      <c r="H536" t="inlineStr">
        <is>
          <t>智利三文鱼切块·整条三文鱼·深海鱼一人食健康饮食</t>
        </is>
      </c>
      <c r="I536" t="inlineStr">
        <is>
          <t>691ac562a524ee0001b51d7b</t>
        </is>
      </c>
      <c r="J536" t="inlineStr">
        <is>
          <t/>
        </is>
      </c>
      <c r="K536" t="n">
        <v>0.0</v>
      </c>
      <c r="L536" t="n">
        <v>0.0</v>
      </c>
      <c r="M536" t="n">
        <v>1.0</v>
      </c>
      <c r="N536" t="n">
        <v>0.1</v>
      </c>
      <c r="O536" t="n">
        <v>1.0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inlineStr">
        <is>
          <t/>
        </is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10.0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12.3</v>
      </c>
      <c r="AL536" t="inlineStr">
        <is>
          <t/>
        </is>
      </c>
    </row>
    <row r="537">
      <c r="A537" t="inlineStr">
        <is>
          <t>放纵餐吃完了，年后控体还得吃虾！</t>
        </is>
      </c>
      <c r="B537" t="inlineStr">
        <is>
          <t>699fc28e000000002801c457</t>
        </is>
      </c>
      <c r="C537" s="536" t="n">
        <f>HYPERLINK("https://www.xiaohongshu.com/explore/699fc28e000000002801c457?xsec_token=TBmPrNsEp7sytnt8BzCMtNTbhRQxZ0arfNH5r-oLOLs1c=&amp;xsec_source=pc_trdark","https://www.xiaohongshu.com/explore/699fc28e000000002801c457?xsec_token=TBmPrNsEp7sytnt8BzCMtNTbhRQxZ0arfNH5r-oLOLs1c=&amp;xsec_source=pc_trdark")</f>
        <v>0.0</v>
      </c>
      <c r="D537" t="inlineStr">
        <is>
          <t>鲜水湾</t>
        </is>
      </c>
      <c r="E537" t="inlineStr">
        <is>
          <t>49316638994</t>
        </is>
      </c>
      <c r="F537" t="inlineStr">
        <is>
          <t>2026-02-26 11:48:30</t>
        </is>
      </c>
      <c r="G537" t="inlineStr">
        <is>
          <t>图文</t>
        </is>
      </c>
      <c r="H537" t="inlineStr">
        <is>
          <t>手剥虾仁 无冰衣无添加 低脂餐一人食 上班带饭 顺丰包邮 5盒装</t>
        </is>
      </c>
      <c r="I537" t="inlineStr">
        <is>
          <t>694baba01d450d00013662f0</t>
        </is>
      </c>
      <c r="J537" t="inlineStr">
        <is>
          <t/>
        </is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inlineStr">
        <is>
          <t/>
        </is>
      </c>
      <c r="R537" t="inlineStr">
        <is>
          <t/>
        </is>
      </c>
      <c r="S537" t="n">
        <v>0.0</v>
      </c>
      <c r="T537" t="n">
        <v>0.0</v>
      </c>
      <c r="U537" t="n">
        <v>0.0</v>
      </c>
      <c r="V537" t="n">
        <v>0.0</v>
      </c>
      <c r="W537" t="inlineStr">
        <is>
          <t/>
        </is>
      </c>
      <c r="X537" t="n">
        <v>0.0</v>
      </c>
      <c r="Y537" t="n">
        <v>0.0</v>
      </c>
      <c r="Z537" t="n">
        <v>1.0</v>
      </c>
      <c r="AA537" t="n">
        <v>0.0</v>
      </c>
      <c r="AB537" t="n">
        <v>0.0</v>
      </c>
      <c r="AC537" t="n">
        <v>0.0</v>
      </c>
      <c r="AD537" t="n">
        <v>10.0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2.4</v>
      </c>
      <c r="AL537" t="inlineStr">
        <is>
          <t/>
        </is>
      </c>
    </row>
    <row r="538">
      <c r="A538" t="inlineStr">
        <is>
          <t>我的食欲稳定两件套：</t>
        </is>
      </c>
      <c r="B538" t="inlineStr">
        <is>
          <t>699eed440000000028022ad0</t>
        </is>
      </c>
      <c r="C538" s="537" t="n">
        <f>HYPERLINK("https://www.xiaohongshu.com/explore/699eed440000000028022ad0?xsec_token=TBggKgSP0tIUAtqBAPfP3mLRnR-ofEUadYG6kjNx4-7bA=&amp;xsec_source=pc_trdark","https://www.xiaohongshu.com/explore/699eed440000000028022ad0?xsec_token=TBggKgSP0tIUAtqBAPfP3mLRnR-ofEUadYG6kjNx4-7bA=&amp;xsec_source=pc_trdark")</f>
        <v>0.0</v>
      </c>
      <c r="D538" t="inlineStr">
        <is>
          <t>鲜水湾</t>
        </is>
      </c>
      <c r="E538" t="inlineStr">
        <is>
          <t>49316638994</t>
        </is>
      </c>
      <c r="F538" t="inlineStr">
        <is>
          <t>2026-02-25 20:38:28</t>
        </is>
      </c>
      <c r="G538" t="inlineStr">
        <is>
          <t>图文</t>
        </is>
      </c>
      <c r="H538" t="inlineStr">
        <is>
          <t>智利三文鱼切块·整条三文鱼·深海鱼一人食健康饮食</t>
        </is>
      </c>
      <c r="I538" t="inlineStr">
        <is>
          <t>691ac562a524ee0001b51d7b</t>
        </is>
      </c>
      <c r="J538" t="inlineStr">
        <is>
          <t/>
        </is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inlineStr">
        <is>
          <t/>
        </is>
      </c>
      <c r="R538" t="inlineStr">
        <is>
          <t/>
        </is>
      </c>
      <c r="S538" t="n">
        <v>0.0</v>
      </c>
      <c r="T538" t="n">
        <v>0.0</v>
      </c>
      <c r="U538" t="n">
        <v>0.0</v>
      </c>
      <c r="V538" t="n">
        <v>0.0</v>
      </c>
      <c r="W538" t="inlineStr">
        <is>
          <t/>
        </is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10.0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6.1</v>
      </c>
      <c r="AL538" t="inlineStr">
        <is>
          <t/>
        </is>
      </c>
    </row>
    <row r="539">
      <c r="A539" t="inlineStr">
        <is>
          <t>你以为我想吃吗？可它69承包我一周减脂餐🤩</t>
        </is>
      </c>
      <c r="B539" t="inlineStr">
        <is>
          <t>699bc609000000002801c462</t>
        </is>
      </c>
      <c r="C539" s="538" t="n">
        <f>HYPERLINK("https://www.xiaohongshu.com/explore/699bc609000000002801c462?xsec_token=TBp2xVuVUvhysslovKD4WEO3UPyoWcvfUaDp74o7V7L0A=&amp;xsec_source=pc_trdark","https://www.xiaohongshu.com/explore/699bc609000000002801c462?xsec_token=TBp2xVuVUvhysslovKD4WEO3UPyoWcvfUaDp74o7V7L0A=&amp;xsec_source=pc_trdark")</f>
        <v>0.0</v>
      </c>
      <c r="D539" t="inlineStr">
        <is>
          <t>鲜水湾</t>
        </is>
      </c>
      <c r="E539" t="inlineStr">
        <is>
          <t>49316638994</t>
        </is>
      </c>
      <c r="F539" t="inlineStr">
        <is>
          <t>2026-02-23 11:14:17</t>
        </is>
      </c>
      <c r="G539" t="inlineStr">
        <is>
          <t>图文</t>
        </is>
      </c>
      <c r="H539" t="inlineStr">
        <is>
          <t>大虾基围虾王牌大虾厄瓜多尔白虾盐冻虾仁海洋大虾送礼顺丰包邮</t>
        </is>
      </c>
      <c r="I539" t="inlineStr">
        <is>
          <t>690aeb7be379430001e686ac</t>
        </is>
      </c>
      <c r="J539" t="inlineStr">
        <is>
          <t/>
        </is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inlineStr">
        <is>
          <t/>
        </is>
      </c>
      <c r="R539" t="inlineStr">
        <is>
          <t/>
        </is>
      </c>
      <c r="S539" t="n">
        <v>0.0</v>
      </c>
      <c r="T539" t="n">
        <v>0.0</v>
      </c>
      <c r="U539" t="n">
        <v>0.0</v>
      </c>
      <c r="V539" t="n">
        <v>0.0</v>
      </c>
      <c r="W539" t="inlineStr">
        <is>
          <t/>
        </is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10.0</v>
      </c>
      <c r="AE539" t="n">
        <v>2.0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7.3</v>
      </c>
      <c r="AL539" t="inlineStr">
        <is>
          <t/>
        </is>
      </c>
    </row>
    <row r="540">
      <c r="A540" t="inlineStr">
        <is>
          <t>过度补甲=3倍⬇️秤</t>
        </is>
      </c>
      <c r="B540" t="inlineStr">
        <is>
          <t>698c1bf10000000028009f39</t>
        </is>
      </c>
      <c r="C540" s="539" t="n">
        <f>HYPERLINK("https://www.xiaohongshu.com/explore/698c1bf10000000028009f39?xsec_token=TBpbSmv2Dvzozu0JyB91ReC11sA-jvB6BUUUnSVgVLkdU=&amp;xsec_source=pc_trdark","https://www.xiaohongshu.com/explore/698c1bf10000000028009f39?xsec_token=TBpbSmv2Dvzozu0JyB91ReC11sA-jvB6BUUUnSVgVLkdU=&amp;xsec_source=pc_trdark")</f>
        <v>0.0</v>
      </c>
      <c r="D540" t="inlineStr">
        <is>
          <t>鲜水湾</t>
        </is>
      </c>
      <c r="E540" t="inlineStr">
        <is>
          <t>49316638994</t>
        </is>
      </c>
      <c r="F540" t="inlineStr">
        <is>
          <t>2026-02-11 14:04:33</t>
        </is>
      </c>
      <c r="G540" t="inlineStr">
        <is>
          <t>图文</t>
        </is>
      </c>
      <c r="H540" t="inlineStr">
        <is>
          <t>大虾基围虾王牌大虾厄瓜多尔白虾盐冻虾仁海洋大虾送礼顺丰包邮</t>
        </is>
      </c>
      <c r="I540" t="inlineStr">
        <is>
          <t>690aeb7be379430001e686ac</t>
        </is>
      </c>
      <c r="J540" t="inlineStr">
        <is>
          <t/>
        </is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inlineStr">
        <is>
          <t/>
        </is>
      </c>
      <c r="R540" t="inlineStr">
        <is>
          <t/>
        </is>
      </c>
      <c r="S540" t="n">
        <v>0.0</v>
      </c>
      <c r="T540" t="n">
        <v>0.0</v>
      </c>
      <c r="U540" t="n">
        <v>0.0</v>
      </c>
      <c r="V540" t="n">
        <v>0.0</v>
      </c>
      <c r="W540" t="inlineStr">
        <is>
          <t/>
        </is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10.0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7.6</v>
      </c>
      <c r="AL540" t="inlineStr">
        <is>
          <t/>
        </is>
      </c>
    </row>
    <row r="541">
      <c r="A541" t="inlineStr">
        <is>
          <t>不要低估了300来块的购买力，能买八九斤……</t>
        </is>
      </c>
      <c r="B541" t="inlineStr">
        <is>
          <t>69894c2b0000000028009f8a</t>
        </is>
      </c>
      <c r="C541" s="540" t="n">
        <f>HYPERLINK("https://www.xiaohongshu.com/explore/69894c2b0000000028009f8a?xsec_token=TBeAeWMkLJ9etYlFDlK3pgub5uCYryT7e8MPcLAVEIto8=&amp;xsec_source=pc_trdark","https://www.xiaohongshu.com/explore/69894c2b0000000028009f8a?xsec_token=TBeAeWMkLJ9etYlFDlK3pgub5uCYryT7e8MPcLAVEIto8=&amp;xsec_source=pc_trdark")</f>
        <v>0.0</v>
      </c>
      <c r="D541" t="inlineStr">
        <is>
          <t>鲜水湾</t>
        </is>
      </c>
      <c r="E541" t="inlineStr">
        <is>
          <t>49316638994</t>
        </is>
      </c>
      <c r="F541" t="inlineStr">
        <is>
          <t>2026-02-09 10:53:31</t>
        </is>
      </c>
      <c r="G541" t="inlineStr">
        <is>
          <t>图文</t>
        </is>
      </c>
      <c r="H541" t="inlineStr">
        <is>
          <t>智利三文鱼切块·整条三文鱼·深海鱼一人食健康饮食</t>
        </is>
      </c>
      <c r="I541" t="inlineStr">
        <is>
          <t>691ac562a524ee0001b51d7b</t>
        </is>
      </c>
      <c r="J541" t="inlineStr">
        <is>
          <t/>
        </is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inlineStr">
        <is>
          <t/>
        </is>
      </c>
      <c r="R541" t="inlineStr">
        <is>
          <t/>
        </is>
      </c>
      <c r="S541" t="n">
        <v>0.0</v>
      </c>
      <c r="T541" t="n">
        <v>0.0</v>
      </c>
      <c r="U541" t="n">
        <v>0.0</v>
      </c>
      <c r="V541" t="n">
        <v>0.0</v>
      </c>
      <c r="W541" t="inlineStr">
        <is>
          <t/>
        </is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10.0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3.1</v>
      </c>
      <c r="AL541" t="inlineStr">
        <is>
          <t/>
        </is>
      </c>
    </row>
    <row r="542">
      <c r="A542" t="inlineStr">
        <is>
          <t>买了整条三文鱼回家，被我妈夸了☺️</t>
        </is>
      </c>
      <c r="B542" t="inlineStr">
        <is>
          <t>6982b7ba000000001a01cbd7</t>
        </is>
      </c>
      <c r="C542" s="541" t="n">
        <f>HYPERLINK("https://www.xiaohongshu.com/explore/6982b7ba000000001a01cbd7?xsec_token=TBRUGO98Ap-B8eSGcZxxfvdDDhjT1ocTPAIOIvN6y36RA=&amp;xsec_source=pc_trdark","https://www.xiaohongshu.com/explore/6982b7ba000000001a01cbd7?xsec_token=TBRUGO98Ap-B8eSGcZxxfvdDDhjT1ocTPAIOIvN6y36RA=&amp;xsec_source=pc_trdark")</f>
        <v>0.0</v>
      </c>
      <c r="D542" t="inlineStr">
        <is>
          <t>鲜水湾</t>
        </is>
      </c>
      <c r="E542" t="inlineStr">
        <is>
          <t>49316638994</t>
        </is>
      </c>
      <c r="F542" t="inlineStr">
        <is>
          <t>2026-02-04 11:06:34</t>
        </is>
      </c>
      <c r="G542" t="inlineStr">
        <is>
          <t>图文</t>
        </is>
      </c>
      <c r="H542" t="inlineStr">
        <is>
          <t>智利三文鱼切块·整条三文鱼·深海鱼一人食健康饮食</t>
        </is>
      </c>
      <c r="I542" t="inlineStr">
        <is>
          <t>691ac562a524ee0001b51d7b</t>
        </is>
      </c>
      <c r="J542" t="inlineStr">
        <is>
          <t/>
        </is>
      </c>
      <c r="K542" t="n">
        <v>0.0</v>
      </c>
      <c r="L542" t="n">
        <v>0.0</v>
      </c>
      <c r="M542" t="n">
        <v>1.0</v>
      </c>
      <c r="N542" t="n">
        <v>0.1</v>
      </c>
      <c r="O542" t="n">
        <v>1.0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inlineStr">
        <is>
          <t/>
        </is>
      </c>
      <c r="X542" t="n">
        <v>0.0</v>
      </c>
      <c r="Y542" t="n">
        <v>0.0</v>
      </c>
      <c r="Z542" t="n">
        <v>1.0</v>
      </c>
      <c r="AA542" t="n">
        <v>0.0</v>
      </c>
      <c r="AB542" t="n">
        <v>0.0</v>
      </c>
      <c r="AC542" t="n">
        <v>0.0</v>
      </c>
      <c r="AD542" t="n">
        <v>10.0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5.8</v>
      </c>
      <c r="AL542" t="inlineStr">
        <is>
          <t/>
        </is>
      </c>
    </row>
    <row r="543">
      <c r="A543" t="inlineStr">
        <is>
          <t>不愧是山东网友推荐的🥹好好吃</t>
        </is>
      </c>
      <c r="B543" t="inlineStr">
        <is>
          <t>6968b1ae000000000e03ffe8</t>
        </is>
      </c>
      <c r="C543" s="542" t="n">
        <f>HYPERLINK("https://www.xiaohongshu.com/explore/6968b1ae000000000e03ffe8?xsec_token=TBt4r6uOUj4MiyxIfh9PpR4G5rZMOyvDGuB3IOlwRartU=&amp;xsec_source=pc_trdark","https://www.xiaohongshu.com/explore/6968b1ae000000000e03ffe8?xsec_token=TBt4r6uOUj4MiyxIfh9PpR4G5rZMOyvDGuB3IOlwRartU=&amp;xsec_source=pc_trdark")</f>
        <v>0.0</v>
      </c>
      <c r="D543" t="inlineStr">
        <is>
          <t>婉婉上班吃什么</t>
        </is>
      </c>
      <c r="E543" t="inlineStr">
        <is>
          <t>11434449706</t>
        </is>
      </c>
      <c r="F543" t="inlineStr">
        <is>
          <t>2026-01-15 17:21:50</t>
        </is>
      </c>
      <c r="G543" t="inlineStr">
        <is>
          <t>视频</t>
        </is>
      </c>
      <c r="H543" t="inlineStr">
        <is>
          <t>生蚝乳山生蚝海蛎子顺丰包邮</t>
        </is>
      </c>
      <c r="I543" t="inlineStr">
        <is>
          <t>690c70971b787900010866cc</t>
        </is>
      </c>
      <c r="J543" t="n">
        <v>27.0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inlineStr">
        <is>
          <t/>
        </is>
      </c>
      <c r="R543" t="inlineStr">
        <is>
          <t/>
        </is>
      </c>
      <c r="S543" t="n">
        <v>0.0</v>
      </c>
      <c r="T543" t="n">
        <v>0.0</v>
      </c>
      <c r="U543" t="n">
        <v>0.0</v>
      </c>
      <c r="V543" t="n">
        <v>0.0</v>
      </c>
      <c r="W543" t="inlineStr">
        <is>
          <t/>
        </is>
      </c>
      <c r="X543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10.0</v>
      </c>
      <c r="AE543" t="n">
        <v>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n">
        <v>2.4</v>
      </c>
      <c r="AL543" t="n">
        <v>0.0</v>
      </c>
    </row>
    <row r="544">
      <c r="A544" t="inlineStr">
        <is>
          <t>40+一箱的乳山生蚝，真的太好吃了</t>
        </is>
      </c>
      <c r="B544" t="inlineStr">
        <is>
          <t>6950fd77000000001e006b0f</t>
        </is>
      </c>
      <c r="C544" s="543" t="n">
        <f>HYPERLINK("https://www.xiaohongshu.com/explore/6950fd77000000001e006b0f?xsec_token=TBZlsVk_u522I8N-JhGtRMDlspmLxc7mxjuSVFWQkqHe0=&amp;xsec_source=pc_trdark","https://www.xiaohongshu.com/explore/6950fd77000000001e006b0f?xsec_token=TBZlsVk_u522I8N-JhGtRMDlspmLxc7mxjuSVFWQkqHe0=&amp;xsec_source=pc_trdark")</f>
        <v>0.0</v>
      </c>
      <c r="D544" t="inlineStr">
        <is>
          <t>婉婉上班吃什么</t>
        </is>
      </c>
      <c r="E544" t="inlineStr">
        <is>
          <t>11434449706</t>
        </is>
      </c>
      <c r="F544" t="inlineStr">
        <is>
          <t>2025-12-28 18:50:46</t>
        </is>
      </c>
      <c r="G544" t="inlineStr">
        <is>
          <t>视频</t>
        </is>
      </c>
      <c r="H544" t="inlineStr">
        <is>
          <t>生蚝乳山生蚝海蛎子顺丰包邮</t>
        </is>
      </c>
      <c r="I544" t="inlineStr">
        <is>
          <t>690c70971b787900010866cc</t>
        </is>
      </c>
      <c r="J544" t="n">
        <v>24.0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inlineStr">
        <is>
          <t/>
        </is>
      </c>
      <c r="R544" t="inlineStr">
        <is>
          <t/>
        </is>
      </c>
      <c r="S544" t="n">
        <v>0.0</v>
      </c>
      <c r="T544" t="n">
        <v>0.0</v>
      </c>
      <c r="U544" t="n">
        <v>0.0</v>
      </c>
      <c r="V544" t="n">
        <v>0.0</v>
      </c>
      <c r="W544" t="inlineStr">
        <is>
          <t/>
        </is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10.0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11.8</v>
      </c>
      <c r="AL544" t="inlineStr">
        <is>
          <t>0.09090909090909091</t>
        </is>
      </c>
    </row>
    <row r="545">
      <c r="A545" t="inlineStr">
        <is>
          <t>这么大的生蚝你能吃几个？</t>
        </is>
      </c>
      <c r="B545" t="inlineStr">
        <is>
          <t>691fc5ba000000000d00dc1c</t>
        </is>
      </c>
      <c r="C545" s="544" t="n">
        <f>HYPERLINK("https://www.xiaohongshu.com/explore/691fc5ba000000000d00dc1c?xsec_token=TB9t7o6BDguR_qahx6dS5pPXFWnUerXqHlE57ibpG65j0=&amp;xsec_source=pc_trdark","https://www.xiaohongshu.com/explore/691fc5ba000000000d00dc1c?xsec_token=TB9t7o6BDguR_qahx6dS5pPXFWnUerXqHlE57ibpG65j0=&amp;xsec_source=pc_trdark")</f>
        <v>0.0</v>
      </c>
      <c r="D545" t="inlineStr">
        <is>
          <t>婉婉上班吃什么</t>
        </is>
      </c>
      <c r="E545" t="inlineStr">
        <is>
          <t>11434449706</t>
        </is>
      </c>
      <c r="F545" t="inlineStr">
        <is>
          <t>2025-11-21 09:51:54</t>
        </is>
      </c>
      <c r="G545" t="inlineStr">
        <is>
          <t>视频</t>
        </is>
      </c>
      <c r="H545" t="inlineStr">
        <is>
          <t>生蚝乳山生蚝海蛎子顺丰包邮</t>
        </is>
      </c>
      <c r="I545" t="inlineStr">
        <is>
          <t>690c70971b787900010866cc</t>
        </is>
      </c>
      <c r="J545" t="n">
        <v>16.0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inlineStr">
        <is>
          <t/>
        </is>
      </c>
      <c r="R545" t="inlineStr">
        <is>
          <t/>
        </is>
      </c>
      <c r="S545" t="n">
        <v>0.0</v>
      </c>
      <c r="T545" t="n">
        <v>0.0</v>
      </c>
      <c r="U545" t="n">
        <v>0.0</v>
      </c>
      <c r="V545" t="n">
        <v>0.0</v>
      </c>
      <c r="W545" t="inlineStr">
        <is>
          <t/>
        </is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10.0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10.6</v>
      </c>
      <c r="AL545" t="inlineStr">
        <is>
          <t>0.21428571428571427</t>
        </is>
      </c>
    </row>
    <row r="546">
      <c r="A546" t="inlineStr">
        <is>
          <t>同事跟风囤虾仁，办公室人手一份😂</t>
        </is>
      </c>
      <c r="B546" t="inlineStr">
        <is>
          <t>69f014f0000000001a03505a</t>
        </is>
      </c>
      <c r="C546" s="545" t="n">
        <f>HYPERLINK("https://www.xiaohongshu.com/explore/69f014f0000000001a03505a?xsec_token=TBvHxiGmj2CedfPdQHdLJBmGQ-aBF3KEa8RO6rv-4wu88=&amp;xsec_source=pc_trdark","https://www.xiaohongshu.com/explore/69f014f0000000001a03505a?xsec_token=TBvHxiGmj2CedfPdQHdLJBmGQ-aBF3KEa8RO6rv-4wu88=&amp;xsec_source=pc_trdark")</f>
        <v>0.0</v>
      </c>
      <c r="D546" t="inlineStr">
        <is>
          <t>菲菲上班吃什么</t>
        </is>
      </c>
      <c r="E546" t="inlineStr">
        <is>
          <t>49936530607</t>
        </is>
      </c>
      <c r="F546" t="inlineStr">
        <is>
          <t>2026-04-28 10:01:21</t>
        </is>
      </c>
      <c r="G546" t="inlineStr">
        <is>
          <t>图文</t>
        </is>
      </c>
      <c r="H546" t="inlineStr">
        <is>
          <t>手剥虾仁 无冰衣无添加 低脂餐一人食 上班带饭 顺丰包邮 5盒装</t>
        </is>
      </c>
      <c r="I546" t="inlineStr">
        <is>
          <t>694baba01d450d00013662f0</t>
        </is>
      </c>
      <c r="J546" t="inlineStr">
        <is>
          <t/>
        </is>
      </c>
      <c r="K546" t="n">
        <v>0.0</v>
      </c>
      <c r="L546" t="n">
        <v>0.0</v>
      </c>
      <c r="M546" t="n">
        <v>1.0</v>
      </c>
      <c r="N546" t="n">
        <v>0.1111111111111111</v>
      </c>
      <c r="O546" t="n">
        <v>1.0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inlineStr">
        <is>
          <t/>
        </is>
      </c>
      <c r="X546" t="n">
        <v>0.0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9.0</v>
      </c>
      <c r="AE546" t="n">
        <v>0.0</v>
      </c>
      <c r="AF546" t="n">
        <v>0.0</v>
      </c>
      <c r="AG546" t="n">
        <v>0.0</v>
      </c>
      <c r="AH546" t="n">
        <v>1.0</v>
      </c>
      <c r="AI546" t="n">
        <v>0.0</v>
      </c>
      <c r="AJ546" t="n">
        <v>0.0</v>
      </c>
      <c r="AK546" t="n">
        <v>10.555555555555555</v>
      </c>
      <c r="AL546" t="inlineStr">
        <is>
          <t/>
        </is>
      </c>
    </row>
    <row r="547">
      <c r="A547" t="inlineStr">
        <is>
          <t>带饭三个月，存了一万二</t>
        </is>
      </c>
      <c r="B547" t="inlineStr">
        <is>
          <t>69e9c3590000000011020000</t>
        </is>
      </c>
      <c r="C547" s="546" t="n">
        <f>HYPERLINK("https://www.xiaohongshu.com/explore/69e9c3590000000011020000?xsec_token=TBNkLc7pOHvt_5tNJTpGNllOnOyqza5mOO6pYudknQtYo=&amp;xsec_source=pc_trdark","https://www.xiaohongshu.com/explore/69e9c3590000000011020000?xsec_token=TBNkLc7pOHvt_5tNJTpGNllOnOyqza5mOO6pYudknQtYo=&amp;xsec_source=pc_trdark")</f>
        <v>0.0</v>
      </c>
      <c r="D547" t="inlineStr">
        <is>
          <t>鲜水湾甄选</t>
        </is>
      </c>
      <c r="E547" t="inlineStr">
        <is>
          <t>27401929161</t>
        </is>
      </c>
      <c r="F547" t="inlineStr">
        <is>
          <t>2026-04-24 15:30:00</t>
        </is>
      </c>
      <c r="G547" t="inlineStr">
        <is>
          <t>图文</t>
        </is>
      </c>
      <c r="H547" t="inlineStr">
        <is>
          <t>手剥虾仁 无冰衣无添加 低脂餐一人食 上班带饭 顺丰包邮 5盒装</t>
        </is>
      </c>
      <c r="I547" t="inlineStr">
        <is>
          <t>694baba01d450d00013662f0</t>
        </is>
      </c>
      <c r="J547" t="inlineStr">
        <is>
          <t/>
        </is>
      </c>
      <c r="K547" t="n">
        <v>0.0</v>
      </c>
      <c r="L547" t="n">
        <v>0.0</v>
      </c>
      <c r="M547" t="n">
        <v>3.0</v>
      </c>
      <c r="N547" t="n">
        <v>0.3333333333333333</v>
      </c>
      <c r="O547" t="n">
        <v>1.0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inlineStr">
        <is>
          <t/>
        </is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9.0</v>
      </c>
      <c r="AE547" t="n">
        <v>0.0</v>
      </c>
      <c r="AF547" t="n">
        <v>1.0</v>
      </c>
      <c r="AG547" t="n">
        <v>0.0</v>
      </c>
      <c r="AH547" t="n">
        <v>1.0</v>
      </c>
      <c r="AI547" t="n">
        <v>0.0</v>
      </c>
      <c r="AJ547" t="n">
        <v>0.0</v>
      </c>
      <c r="AK547" t="n">
        <v>6.0</v>
      </c>
      <c r="AL547" t="inlineStr">
        <is>
          <t/>
        </is>
      </c>
    </row>
    <row r="548">
      <c r="A548" t="inlineStr">
        <is>
          <t>自律期吃虾仁，等夏天惊艳所有人✨</t>
        </is>
      </c>
      <c r="B548" t="inlineStr">
        <is>
          <t>69c3ab55000000002003b156</t>
        </is>
      </c>
      <c r="C548" s="547" t="n">
        <f>HYPERLINK("https://www.xiaohongshu.com/explore/69c3ab55000000002003b156?xsec_token=TBedSEQ7qtT06AlsylOAiUw193Xer2MO19pY6OYqhmB-I=&amp;xsec_source=pc_trdark","https://www.xiaohongshu.com/explore/69c3ab55000000002003b156?xsec_token=TBedSEQ7qtT06AlsylOAiUw193Xer2MO19pY6OYqhmB-I=&amp;xsec_source=pc_trdark")</f>
        <v>0.0</v>
      </c>
      <c r="D548" t="inlineStr">
        <is>
          <t>婉婉上班吃什么</t>
        </is>
      </c>
      <c r="E548" t="inlineStr">
        <is>
          <t>11434449706</t>
        </is>
      </c>
      <c r="F548" t="inlineStr">
        <is>
          <t>2026-03-25 17:31:01</t>
        </is>
      </c>
      <c r="G548" t="inlineStr">
        <is>
          <t>图文</t>
        </is>
      </c>
      <c r="H548" t="inlineStr">
        <is>
          <t>手剥虾仁 无冰衣无添加 低脂餐一人食 上班带饭 顺丰包邮 5盒装</t>
        </is>
      </c>
      <c r="I548" t="inlineStr">
        <is>
          <t>694baba01d450d00013662f0</t>
        </is>
      </c>
      <c r="J548" t="inlineStr">
        <is>
          <t/>
        </is>
      </c>
      <c r="K548" t="n">
        <v>138.0</v>
      </c>
      <c r="L548" t="n">
        <v>2.0</v>
      </c>
      <c r="M548" t="n">
        <v>4.0</v>
      </c>
      <c r="N548" t="n">
        <v>0.4444444444444444</v>
      </c>
      <c r="O548" t="n">
        <v>4.0</v>
      </c>
      <c r="P548" t="n">
        <v>2.0</v>
      </c>
      <c r="Q548" t="n">
        <v>0.5</v>
      </c>
      <c r="R548" t="n">
        <v>0.5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9.0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18.88888888888889</v>
      </c>
      <c r="AL548" t="inlineStr">
        <is>
          <t/>
        </is>
      </c>
    </row>
    <row r="549">
      <c r="A549" t="inlineStr">
        <is>
          <t>节后不挨饿也能稳稳⬇️！小基数亲测巨管用</t>
        </is>
      </c>
      <c r="B549" t="inlineStr">
        <is>
          <t>69be578f0000000020039b18</t>
        </is>
      </c>
      <c r="C549" s="548" t="n">
        <f>HYPERLINK("https://www.xiaohongshu.com/explore/69be578f0000000020039b18?xsec_token=TBEV1jCaY14J6usHdX26xRKNaj7MyCTqa6lHpu4sDS8zc=&amp;xsec_source=pc_trdark","https://www.xiaohongshu.com/explore/69be578f0000000020039b18?xsec_token=TBEV1jCaY14J6usHdX26xRKNaj7MyCTqa6lHpu4sDS8zc=&amp;xsec_source=pc_trdark")</f>
        <v>0.0</v>
      </c>
      <c r="D549" t="inlineStr">
        <is>
          <t>婉婉上班吃什么</t>
        </is>
      </c>
      <c r="E549" t="inlineStr">
        <is>
          <t>11434449706</t>
        </is>
      </c>
      <c r="F549" t="inlineStr">
        <is>
          <t>2026-03-21 16:32:15</t>
        </is>
      </c>
      <c r="G549" t="inlineStr">
        <is>
          <t>图文</t>
        </is>
      </c>
      <c r="H549" t="inlineStr">
        <is>
          <t>手剥虾仁 无冰衣无添加 低脂餐一人食 上班带饭 顺丰包邮 5盒装</t>
        </is>
      </c>
      <c r="I549" t="inlineStr">
        <is>
          <t>694baba01d450d00013662f0</t>
        </is>
      </c>
      <c r="J549" t="inlineStr">
        <is>
          <t/>
        </is>
      </c>
      <c r="K549" t="n">
        <v>69.0</v>
      </c>
      <c r="L549" t="n">
        <v>1.0</v>
      </c>
      <c r="M549" t="n">
        <v>3.0</v>
      </c>
      <c r="N549" t="n">
        <v>0.3333333333333333</v>
      </c>
      <c r="O549" t="n">
        <v>2.0</v>
      </c>
      <c r="P549" t="n">
        <v>1.0</v>
      </c>
      <c r="Q549" t="n">
        <v>0.3333333333333333</v>
      </c>
      <c r="R549" t="n">
        <v>0.5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9.0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11.555555555555555</v>
      </c>
      <c r="AL549" t="inlineStr">
        <is>
          <t/>
        </is>
      </c>
    </row>
    <row r="550">
      <c r="A550" t="inlineStr">
        <is>
          <t>青岛发过来的！被爸妈夸了一整天！</t>
        </is>
      </c>
      <c r="B550" t="inlineStr">
        <is>
          <t>69894079000000001a023627</t>
        </is>
      </c>
      <c r="C550" s="549" t="n">
        <f>HYPERLINK("https://www.xiaohongshu.com/explore/69894079000000001a023627?xsec_token=TBeAeWMkLJ9etYlFDlK3pguRteh7HUda59p-bcJSRSX1A=&amp;xsec_source=pc_trdark","https://www.xiaohongshu.com/explore/69894079000000001a023627?xsec_token=TBeAeWMkLJ9etYlFDlK3pguRteh7HUda59p-bcJSRSX1A=&amp;xsec_source=pc_trdark")</f>
        <v>0.0</v>
      </c>
      <c r="D550" t="inlineStr">
        <is>
          <t>鲜水湾</t>
        </is>
      </c>
      <c r="E550" t="inlineStr">
        <is>
          <t>49316638994</t>
        </is>
      </c>
      <c r="F550" t="inlineStr">
        <is>
          <t>2026-02-09 10:03:37</t>
        </is>
      </c>
      <c r="G550" t="inlineStr">
        <is>
          <t>图文</t>
        </is>
      </c>
      <c r="H550" t="inlineStr">
        <is>
          <t>智利三文鱼切块·整条三文鱼·深海鱼一人食健康饮食</t>
        </is>
      </c>
      <c r="I550" t="inlineStr">
        <is>
          <t>691ac562a524ee0001b51d7b</t>
        </is>
      </c>
      <c r="J550" t="inlineStr">
        <is>
          <t/>
        </is>
      </c>
      <c r="K550" t="n">
        <v>0.0</v>
      </c>
      <c r="L550" t="n">
        <v>0.0</v>
      </c>
      <c r="M550" t="n">
        <v>2.0</v>
      </c>
      <c r="N550" t="n">
        <v>0.2222222222222222</v>
      </c>
      <c r="O550" t="n">
        <v>2.0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inlineStr">
        <is>
          <t/>
        </is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9.0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6.777777777777778</v>
      </c>
      <c r="AL550" t="inlineStr">
        <is>
          <t/>
        </is>
      </c>
    </row>
    <row r="551">
      <c r="A551" t="inlineStr">
        <is>
          <t>青岛🚗整条三文鱼礼盒已经 next level</t>
        </is>
      </c>
      <c r="B551" t="inlineStr">
        <is>
          <t>6986f477000000002800b5b6</t>
        </is>
      </c>
      <c r="C551" s="550" t="n">
        <f>HYPERLINK("https://www.xiaohongshu.com/explore/6986f477000000002800b5b6?xsec_token=TB-LsRJw2UEyjZbU1RZqmjvp12LbpoqBwvz9mnH2XZzV8=&amp;xsec_source=pc_trdark","https://www.xiaohongshu.com/explore/6986f477000000002800b5b6?xsec_token=TB-LsRJw2UEyjZbU1RZqmjvp12LbpoqBwvz9mnH2XZzV8=&amp;xsec_source=pc_trdark")</f>
        <v>0.0</v>
      </c>
      <c r="D551" t="inlineStr">
        <is>
          <t>鲜水湾</t>
        </is>
      </c>
      <c r="E551" t="inlineStr">
        <is>
          <t>49316638994</t>
        </is>
      </c>
      <c r="F551" t="inlineStr">
        <is>
          <t>2026-02-07 16:14:47</t>
        </is>
      </c>
      <c r="G551" t="inlineStr">
        <is>
          <t>图文</t>
        </is>
      </c>
      <c r="H551" t="inlineStr">
        <is>
          <t>智利三文鱼切块·整条三文鱼·深海鱼一人食健康饮食</t>
        </is>
      </c>
      <c r="I551" t="inlineStr">
        <is>
          <t>691ac562a524ee0001b51d7b</t>
        </is>
      </c>
      <c r="J551" t="inlineStr">
        <is>
          <t/>
        </is>
      </c>
      <c r="K551" t="n">
        <v>0.0</v>
      </c>
      <c r="L551" t="n">
        <v>0.0</v>
      </c>
      <c r="M551" t="n">
        <v>4.0</v>
      </c>
      <c r="N551" t="n">
        <v>0.4444444444444444</v>
      </c>
      <c r="O551" t="n">
        <v>4.0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inlineStr">
        <is>
          <t/>
        </is>
      </c>
      <c r="X551" t="n">
        <v>0.0</v>
      </c>
      <c r="Y551" t="n">
        <v>1.0</v>
      </c>
      <c r="Z551" t="n">
        <v>0.0</v>
      </c>
      <c r="AA551" t="n">
        <v>0.0</v>
      </c>
      <c r="AB551" t="n">
        <v>0.0</v>
      </c>
      <c r="AC551" t="n">
        <v>0.0</v>
      </c>
      <c r="AD551" t="n">
        <v>9.0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11.88888888888889</v>
      </c>
      <c r="AL551" t="inlineStr">
        <is>
          <t/>
        </is>
      </c>
    </row>
    <row r="552">
      <c r="A552" t="inlineStr">
        <is>
          <t>生蚝蒸完没开口是坏了吗？</t>
        </is>
      </c>
      <c r="B552" t="inlineStr">
        <is>
          <t>6950f5fb000000001e029ca8</t>
        </is>
      </c>
      <c r="C552" s="551" t="n">
        <f>HYPERLINK("https://www.xiaohongshu.com/explore/6950f5fb000000001e029ca8?xsec_token=TBZlsVk_u522I8N-JhGtRMDvyERrdMkq_S2u1VgJgLtSE=&amp;xsec_source=pc_trdark","https://www.xiaohongshu.com/explore/6950f5fb000000001e029ca8?xsec_token=TBZlsVk_u522I8N-JhGtRMDvyERrdMkq_S2u1VgJgLtSE=&amp;xsec_source=pc_trdark")</f>
        <v>0.0</v>
      </c>
      <c r="D552" t="inlineStr">
        <is>
          <t>鲜水湾</t>
        </is>
      </c>
      <c r="E552" t="inlineStr">
        <is>
          <t>49316638994</t>
        </is>
      </c>
      <c r="F552" t="inlineStr">
        <is>
          <t>2025-12-28 17:18:51</t>
        </is>
      </c>
      <c r="G552" t="inlineStr">
        <is>
          <t>图文</t>
        </is>
      </c>
      <c r="H552" t="inlineStr">
        <is>
          <t>生蚝乳山生蚝海蛎子顺丰包邮</t>
        </is>
      </c>
      <c r="I552" t="inlineStr">
        <is>
          <t>690c70971b787900010866cc</t>
        </is>
      </c>
      <c r="J552" t="inlineStr">
        <is>
          <t/>
        </is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inlineStr">
        <is>
          <t/>
        </is>
      </c>
      <c r="R552" t="inlineStr">
        <is>
          <t/>
        </is>
      </c>
      <c r="S552" t="n">
        <v>0.0</v>
      </c>
      <c r="T552" t="n">
        <v>0.0</v>
      </c>
      <c r="U552" t="n">
        <v>0.0</v>
      </c>
      <c r="V552" t="n">
        <v>0.0</v>
      </c>
      <c r="W552" t="inlineStr">
        <is>
          <t/>
        </is>
      </c>
      <c r="X552" t="n">
        <v>0.0</v>
      </c>
      <c r="Y552" t="n">
        <v>0.0</v>
      </c>
      <c r="Z552" t="n">
        <v>1.0</v>
      </c>
      <c r="AA552" t="n">
        <v>0.0</v>
      </c>
      <c r="AB552" t="n">
        <v>0.0</v>
      </c>
      <c r="AC552" t="n">
        <v>0.0</v>
      </c>
      <c r="AD552" t="n">
        <v>9.0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6.777777777777778</v>
      </c>
      <c r="AL552" t="inlineStr">
        <is>
          <t/>
        </is>
      </c>
    </row>
    <row r="553">
      <c r="A553" t="inlineStr">
        <is>
          <t>感谢小红书‼️让我实现三文鱼自由</t>
        </is>
      </c>
      <c r="B553" t="inlineStr">
        <is>
          <t>693ec388000000001e02f0d0</t>
        </is>
      </c>
      <c r="C553" s="552" t="n">
        <f>HYPERLINK("https://www.xiaohongshu.com/explore/693ec388000000001e02f0d0?xsec_token=TBoM4IjxTW7h2pIceDY6ppQGnMianfmmw6EHwKcS0XVwA=&amp;xsec_source=pc_trdark","https://www.xiaohongshu.com/explore/693ec388000000001e02f0d0?xsec_token=TBoM4IjxTW7h2pIceDY6ppQGnMianfmmw6EHwKcS0XVwA=&amp;xsec_source=pc_trdark")</f>
        <v>0.0</v>
      </c>
      <c r="D553" t="inlineStr">
        <is>
          <t>鲜水湾</t>
        </is>
      </c>
      <c r="E553" t="inlineStr">
        <is>
          <t>49316638994</t>
        </is>
      </c>
      <c r="F553" t="inlineStr">
        <is>
          <t>2025-12-14 22:02:49</t>
        </is>
      </c>
      <c r="G553" t="inlineStr">
        <is>
          <t>图文</t>
        </is>
      </c>
      <c r="H553" t="inlineStr">
        <is>
          <t>智利三文鱼切块·整条三文鱼·深海鱼一人食健康饮食</t>
        </is>
      </c>
      <c r="I553" t="inlineStr">
        <is>
          <t>691ac562a524ee0001b51d7b</t>
        </is>
      </c>
      <c r="J553" t="inlineStr">
        <is>
          <t/>
        </is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inlineStr">
        <is>
          <t/>
        </is>
      </c>
      <c r="R553" t="inlineStr">
        <is>
          <t/>
        </is>
      </c>
      <c r="S553" t="n">
        <v>0.0</v>
      </c>
      <c r="T553" t="n">
        <v>0.0</v>
      </c>
      <c r="U553" t="n">
        <v>0.0</v>
      </c>
      <c r="V553" t="n">
        <v>0.0</v>
      </c>
      <c r="W553" t="inlineStr">
        <is>
          <t/>
        </is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9.0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2.888888888888889</v>
      </c>
      <c r="AL553" t="inlineStr">
        <is>
          <t/>
        </is>
      </c>
    </row>
    <row r="554">
      <c r="A554" t="inlineStr">
        <is>
          <t>不要低估50💰的购买力，敞开吃吧……</t>
        </is>
      </c>
      <c r="B554" t="inlineStr">
        <is>
          <t>691c04390000000019025de9</t>
        </is>
      </c>
      <c r="C554" s="553" t="n">
        <f>HYPERLINK("https://www.xiaohongshu.com/explore/691c04390000000019025de9?xsec_token=TBIS8v-01Optb7rxCGgHk_CVmK85B0bSrdPFgldP-p7Po=&amp;xsec_source=pc_trdark","https://www.xiaohongshu.com/explore/691c04390000000019025de9?xsec_token=TBIS8v-01Optb7rxCGgHk_CVmK85B0bSrdPFgldP-p7Po=&amp;xsec_source=pc_trdark")</f>
        <v>0.0</v>
      </c>
      <c r="D554" t="inlineStr">
        <is>
          <t>婉婉上班吃什么</t>
        </is>
      </c>
      <c r="E554" t="inlineStr">
        <is>
          <t>11434449706</t>
        </is>
      </c>
      <c r="F554" t="inlineStr">
        <is>
          <t>2025-11-18 13:29:29</t>
        </is>
      </c>
      <c r="G554" t="inlineStr">
        <is>
          <t>视频</t>
        </is>
      </c>
      <c r="H554" t="inlineStr">
        <is>
          <t>生蚝乳山生蚝海蛎子顺丰包邮</t>
        </is>
      </c>
      <c r="I554" t="inlineStr">
        <is>
          <t>690c70971b787900010866cc</t>
        </is>
      </c>
      <c r="J554" t="n">
        <v>33.0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inlineStr">
        <is>
          <t/>
        </is>
      </c>
      <c r="R554" t="inlineStr">
        <is>
          <t/>
        </is>
      </c>
      <c r="S554" t="n">
        <v>0.0</v>
      </c>
      <c r="T554" t="n">
        <v>0.0</v>
      </c>
      <c r="U554" t="n">
        <v>0.0</v>
      </c>
      <c r="V554" t="n">
        <v>0.0</v>
      </c>
      <c r="W554" t="inlineStr">
        <is>
          <t/>
        </is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9.0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4.333333333333333</v>
      </c>
      <c r="AL554" t="n">
        <v>0.0</v>
      </c>
    </row>
    <row r="555">
      <c r="A555" t="inlineStr">
        <is>
          <t>很难低估69块钱的购买力，承包一周减脂餐</t>
        </is>
      </c>
      <c r="B555" t="inlineStr">
        <is>
          <t>69e9bb830000000019025c03</t>
        </is>
      </c>
      <c r="C555" s="554" t="n">
        <f>HYPERLINK("https://www.xiaohongshu.com/explore/69e9bb830000000019025c03?xsec_token=TBNkLc7pOHvt_5tNJTpGNllAwV7j7IzNVS_nT11PMIWIE=&amp;xsec_source=pc_trdark","https://www.xiaohongshu.com/explore/69e9bb830000000019025c03?xsec_token=TBNkLc7pOHvt_5tNJTpGNllAwV7j7IzNVS_nT11PMIWIE=&amp;xsec_source=pc_trdark")</f>
        <v>0.0</v>
      </c>
      <c r="D555" t="inlineStr">
        <is>
          <t>鲜水湾甄选</t>
        </is>
      </c>
      <c r="E555" t="inlineStr">
        <is>
          <t>27401929161</t>
        </is>
      </c>
      <c r="F555" t="inlineStr">
        <is>
          <t>2026-04-24 13:30:00</t>
        </is>
      </c>
      <c r="G555" t="inlineStr">
        <is>
          <t>图文</t>
        </is>
      </c>
      <c r="H555" t="inlineStr">
        <is>
          <t>手剥虾仁 无冰衣无添加 低脂餐一人食 上班带饭 顺丰包邮 5盒装</t>
        </is>
      </c>
      <c r="I555" t="inlineStr">
        <is>
          <t>694baba01d450d00013662f0</t>
        </is>
      </c>
      <c r="J555" t="inlineStr">
        <is>
          <t/>
        </is>
      </c>
      <c r="K555" t="n">
        <v>0.0</v>
      </c>
      <c r="L555" t="n">
        <v>0.0</v>
      </c>
      <c r="M555" t="n">
        <v>1.0</v>
      </c>
      <c r="N555" t="n">
        <v>0.125</v>
      </c>
      <c r="O555" t="n">
        <v>1.0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inlineStr">
        <is>
          <t/>
        </is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8.0</v>
      </c>
      <c r="AE555" t="n">
        <v>0.0</v>
      </c>
      <c r="AF555" t="n">
        <v>0.0</v>
      </c>
      <c r="AG555" t="n">
        <v>0.0</v>
      </c>
      <c r="AH555" t="n">
        <v>1.0</v>
      </c>
      <c r="AI555" t="n">
        <v>0.0</v>
      </c>
      <c r="AJ555" t="n">
        <v>0.0</v>
      </c>
      <c r="AK555" t="n">
        <v>16.875</v>
      </c>
      <c r="AL555" t="inlineStr">
        <is>
          <t/>
        </is>
      </c>
    </row>
    <row r="556">
      <c r="A556" t="inlineStr">
        <is>
          <t>和老板商量后，推出春天控体一人食🥹</t>
        </is>
      </c>
      <c r="B556" t="inlineStr">
        <is>
          <t>69c9cf35000000001f004e36</t>
        </is>
      </c>
      <c r="C556" s="555" t="n">
        <f>HYPERLINK("https://www.xiaohongshu.com/explore/69c9cf35000000001f004e36?xsec_token=TBbpP5CiN94LtvLtPXlqbAxZ1ct7tFS1AiUXX52xaP1ZE=&amp;xsec_source=pc_trdark","https://www.xiaohongshu.com/explore/69c9cf35000000001f004e36?xsec_token=TBbpP5CiN94LtvLtPXlqbAxZ1ct7tFS1AiUXX52xaP1ZE=&amp;xsec_source=pc_trdark")</f>
        <v>0.0</v>
      </c>
      <c r="D556" t="inlineStr">
        <is>
          <t>鲜水湾</t>
        </is>
      </c>
      <c r="E556" t="inlineStr">
        <is>
          <t>49316638994</t>
        </is>
      </c>
      <c r="F556" t="inlineStr">
        <is>
          <t>2026-03-30 09:17:41</t>
        </is>
      </c>
      <c r="G556" t="inlineStr">
        <is>
          <t>图文</t>
        </is>
      </c>
      <c r="H556" t="inlineStr">
        <is>
          <t>手剥虾仁 无冰衣无添加 低脂餐一人食 上班带饭 顺丰包邮 5盒装</t>
        </is>
      </c>
      <c r="I556" t="inlineStr">
        <is>
          <t>694baba01d450d00013662f0</t>
        </is>
      </c>
      <c r="J556" t="inlineStr">
        <is>
          <t/>
        </is>
      </c>
      <c r="K556" t="n">
        <v>0.0</v>
      </c>
      <c r="L556" t="n">
        <v>0.0</v>
      </c>
      <c r="M556" t="n">
        <v>3.0</v>
      </c>
      <c r="N556" t="n">
        <v>0.375</v>
      </c>
      <c r="O556" t="n">
        <v>3.0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inlineStr">
        <is>
          <t/>
        </is>
      </c>
      <c r="X556" t="n">
        <v>0.0</v>
      </c>
      <c r="Y556" t="n">
        <v>1.0</v>
      </c>
      <c r="Z556" t="n">
        <v>0.0</v>
      </c>
      <c r="AA556" t="n">
        <v>0.0</v>
      </c>
      <c r="AB556" t="n">
        <v>0.0</v>
      </c>
      <c r="AC556" t="n">
        <v>0.0</v>
      </c>
      <c r="AD556" t="n">
        <v>8.0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2.5</v>
      </c>
      <c r="AL556" t="inlineStr">
        <is>
          <t/>
        </is>
      </c>
    </row>
    <row r="557">
      <c r="A557" t="inlineStr">
        <is>
          <t>别拿⛰️姆来跟我碰，真的真的不够打</t>
        </is>
      </c>
      <c r="B557" t="inlineStr">
        <is>
          <t>69c8b448000000001f0057df</t>
        </is>
      </c>
      <c r="C557" s="556" t="n">
        <f>HYPERLINK("https://www.xiaohongshu.com/explore/69c8b448000000001f0057df?xsec_token=TBSs0bsvi6YGXB042lLCz_JLLmfHyE2pLwBuMYJYH22X0=&amp;xsec_source=pc_trdark","https://www.xiaohongshu.com/explore/69c8b448000000001f0057df?xsec_token=TBSs0bsvi6YGXB042lLCz_JLLmfHyE2pLwBuMYJYH22X0=&amp;xsec_source=pc_trdark")</f>
        <v>0.0</v>
      </c>
      <c r="D557" t="inlineStr">
        <is>
          <t>鲜水湾</t>
        </is>
      </c>
      <c r="E557" t="inlineStr">
        <is>
          <t>49316638994</t>
        </is>
      </c>
      <c r="F557" t="inlineStr">
        <is>
          <t>2026-03-29 13:10:33</t>
        </is>
      </c>
      <c r="G557" t="inlineStr">
        <is>
          <t>图文</t>
        </is>
      </c>
      <c r="H557" t="inlineStr">
        <is>
          <t>手剥虾仁 无冰衣无添加 低脂餐一人食 上班带饭 顺丰包邮 5盒装</t>
        </is>
      </c>
      <c r="I557" t="inlineStr">
        <is>
          <t>694baba01d450d00013662f0</t>
        </is>
      </c>
      <c r="J557" t="inlineStr">
        <is>
          <t/>
        </is>
      </c>
      <c r="K557" t="n">
        <v>0.0</v>
      </c>
      <c r="L557" t="n">
        <v>0.0</v>
      </c>
      <c r="M557" t="n">
        <v>1.0</v>
      </c>
      <c r="N557" t="n">
        <v>0.125</v>
      </c>
      <c r="O557" t="n">
        <v>1.0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inlineStr">
        <is>
          <t/>
        </is>
      </c>
      <c r="X557" t="n">
        <v>0.0</v>
      </c>
      <c r="Y557" t="n">
        <v>1.0</v>
      </c>
      <c r="Z557" t="n">
        <v>0.0</v>
      </c>
      <c r="AA557" t="n">
        <v>0.0</v>
      </c>
      <c r="AB557" t="n">
        <v>0.0</v>
      </c>
      <c r="AC557" t="n">
        <v>0.0</v>
      </c>
      <c r="AD557" t="n">
        <v>8.0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11.875</v>
      </c>
      <c r="AL557" t="inlineStr">
        <is>
          <t/>
        </is>
      </c>
    </row>
    <row r="558">
      <c r="A558" t="inlineStr">
        <is>
          <t>同事以为我每天吃虾仁很奢侈…</t>
        </is>
      </c>
      <c r="B558" t="inlineStr">
        <is>
          <t>69c64f8d000000001a02f457</t>
        </is>
      </c>
      <c r="C558" s="557" t="n">
        <f>HYPERLINK("https://www.xiaohongshu.com/explore/69c64f8d000000001a02f457?xsec_token=TBR8u6ZWGQ_m04-W6r1rkZPKSUNbykKgeuPy9jsIVA_VU=&amp;xsec_source=pc_trdark","https://www.xiaohongshu.com/explore/69c64f8d000000001a02f457?xsec_token=TBR8u6ZWGQ_m04-W6r1rkZPKSUNbykKgeuPy9jsIVA_VU=&amp;xsec_source=pc_trdark")</f>
        <v>0.0</v>
      </c>
      <c r="D558" t="inlineStr">
        <is>
          <t>婉婉上班吃什么</t>
        </is>
      </c>
      <c r="E558" t="inlineStr">
        <is>
          <t>11434449706</t>
        </is>
      </c>
      <c r="F558" t="inlineStr">
        <is>
          <t>2026-03-27 17:36:13</t>
        </is>
      </c>
      <c r="G558" t="inlineStr">
        <is>
          <t>图文</t>
        </is>
      </c>
      <c r="H558" t="inlineStr">
        <is>
          <t>手剥虾仁 无冰衣无添加 低脂餐一人食 上班带饭 顺丰包邮 5盒装</t>
        </is>
      </c>
      <c r="I558" t="inlineStr">
        <is>
          <t>694baba01d450d00013662f0</t>
        </is>
      </c>
      <c r="J558" t="inlineStr">
        <is>
          <t/>
        </is>
      </c>
      <c r="K558" t="n">
        <v>0.0</v>
      </c>
      <c r="L558" t="n">
        <v>0.0</v>
      </c>
      <c r="M558" t="n">
        <v>2.0</v>
      </c>
      <c r="N558" t="n">
        <v>0.25</v>
      </c>
      <c r="O558" t="n">
        <v>2.0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inlineStr">
        <is>
          <t/>
        </is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8.0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9.75</v>
      </c>
      <c r="AL558" t="inlineStr">
        <is>
          <t/>
        </is>
      </c>
    </row>
    <row r="559">
      <c r="A559" t="inlineStr">
        <is>
          <t>发现大家都严重低估了100来块的购买力…</t>
        </is>
      </c>
      <c r="B559" t="inlineStr">
        <is>
          <t>69c14136000000001f00088f</t>
        </is>
      </c>
      <c r="C559" s="558" t="n">
        <f>HYPERLINK("https://www.xiaohongshu.com/explore/69c14136000000001f00088f?xsec_token=TBltfkQyXS0u_Ko7SgIzuBYtg0X6pJMeOEdeA9E5HnIUg=&amp;xsec_source=pc_trdark","https://www.xiaohongshu.com/explore/69c14136000000001f00088f?xsec_token=TBltfkQyXS0u_Ko7SgIzuBYtg0X6pJMeOEdeA9E5HnIUg=&amp;xsec_source=pc_trdark")</f>
        <v>0.0</v>
      </c>
      <c r="D559" t="inlineStr">
        <is>
          <t>鲜水湾</t>
        </is>
      </c>
      <c r="E559" t="inlineStr">
        <is>
          <t>49316638994</t>
        </is>
      </c>
      <c r="F559" t="inlineStr">
        <is>
          <t>2026-03-23 21:33:42</t>
        </is>
      </c>
      <c r="G559" t="inlineStr">
        <is>
          <t>图文</t>
        </is>
      </c>
      <c r="H559" t="inlineStr">
        <is>
          <t>手剥虾仁 无冰衣无添加 低脂餐一人食 上班带饭 顺丰包邮 5盒装</t>
        </is>
      </c>
      <c r="I559" t="inlineStr">
        <is>
          <t>694baba01d450d00013662f0</t>
        </is>
      </c>
      <c r="J559" t="inlineStr">
        <is>
          <t/>
        </is>
      </c>
      <c r="K559" t="n">
        <v>0.0</v>
      </c>
      <c r="L559" t="n">
        <v>0.0</v>
      </c>
      <c r="M559" t="n">
        <v>1.0</v>
      </c>
      <c r="N559" t="n">
        <v>0.125</v>
      </c>
      <c r="O559" t="n">
        <v>1.0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inlineStr">
        <is>
          <t/>
        </is>
      </c>
      <c r="X559" t="n">
        <v>0.0</v>
      </c>
      <c r="Y559" t="n">
        <v>0.0</v>
      </c>
      <c r="Z559" t="n">
        <v>1.0</v>
      </c>
      <c r="AA559" t="n">
        <v>0.0</v>
      </c>
      <c r="AB559" t="n">
        <v>0.0</v>
      </c>
      <c r="AC559" t="n">
        <v>0.0</v>
      </c>
      <c r="AD559" t="n">
        <v>8.0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6.875</v>
      </c>
      <c r="AL559" t="inlineStr">
        <is>
          <t/>
        </is>
      </c>
    </row>
    <row r="560">
      <c r="A560" t="inlineStr">
        <is>
          <t>70💰的购买力解决我上班一周的带饭</t>
        </is>
      </c>
      <c r="B560" t="inlineStr">
        <is>
          <t>69bfe1a2000000001f0036e7</t>
        </is>
      </c>
      <c r="C560" s="559" t="n">
        <f>HYPERLINK("https://www.xiaohongshu.com/explore/69bfe1a2000000001f0036e7?xsec_token=TBpIkisErOCQ5-QyFALsYM8JSJ7eY2wdnpL6u8zHCepQ4=&amp;xsec_source=pc_trdark","https://www.xiaohongshu.com/explore/69bfe1a2000000001f0036e7?xsec_token=TBpIkisErOCQ5-QyFALsYM8JSJ7eY2wdnpL6u8zHCepQ4=&amp;xsec_source=pc_trdark")</f>
        <v>0.0</v>
      </c>
      <c r="D560" t="inlineStr">
        <is>
          <t>鲜水湾</t>
        </is>
      </c>
      <c r="E560" t="inlineStr">
        <is>
          <t>49316638994</t>
        </is>
      </c>
      <c r="F560" t="inlineStr">
        <is>
          <t>2026-03-22 20:33:38</t>
        </is>
      </c>
      <c r="G560" t="inlineStr">
        <is>
          <t>图文</t>
        </is>
      </c>
      <c r="H560" t="inlineStr">
        <is>
          <t>手剥虾仁 无冰衣无添加 低脂餐一人食 上班带饭 顺丰包邮 5盒装</t>
        </is>
      </c>
      <c r="I560" t="inlineStr">
        <is>
          <t>694baba01d450d00013662f0</t>
        </is>
      </c>
      <c r="J560" t="inlineStr">
        <is>
          <t/>
        </is>
      </c>
      <c r="K560" t="n">
        <v>0.0</v>
      </c>
      <c r="L560" t="n">
        <v>0.0</v>
      </c>
      <c r="M560" t="n">
        <v>2.0</v>
      </c>
      <c r="N560" t="n">
        <v>0.25</v>
      </c>
      <c r="O560" t="n">
        <v>2.0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inlineStr">
        <is>
          <t/>
        </is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8.0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3.125</v>
      </c>
      <c r="AL560" t="inlineStr">
        <is>
          <t/>
        </is>
      </c>
    </row>
    <row r="561">
      <c r="A561" t="inlineStr">
        <is>
          <t>向全世界安利我无限回购的虾仁</t>
        </is>
      </c>
      <c r="B561" t="inlineStr">
        <is>
          <t>69bfbcc0000000001e00f027</t>
        </is>
      </c>
      <c r="C561" s="560" t="n">
        <f>HYPERLINK("https://www.xiaohongshu.com/explore/69bfbcc0000000001e00f027?xsec_token=TBpIkisErOCQ5-QyFALsYM8MdHTZHOcmLUH-lOB0R7kuk=&amp;xsec_source=pc_trdark","https://www.xiaohongshu.com/explore/69bfbcc0000000001e00f027?xsec_token=TBpIkisErOCQ5-QyFALsYM8MdHTZHOcmLUH-lOB0R7kuk=&amp;xsec_source=pc_trdark")</f>
        <v>0.0</v>
      </c>
      <c r="D561" t="inlineStr">
        <is>
          <t>菲菲上班吃什么</t>
        </is>
      </c>
      <c r="E561" t="inlineStr">
        <is>
          <t>49936530607</t>
        </is>
      </c>
      <c r="F561" t="inlineStr">
        <is>
          <t>2026-03-22 17:56:16</t>
        </is>
      </c>
      <c r="G561" t="inlineStr">
        <is>
          <t>图文</t>
        </is>
      </c>
      <c r="H561" t="inlineStr">
        <is>
          <t>手剥虾仁 无冰衣无添加 低脂餐一人食 上班带饭 顺丰包邮 5盒装</t>
        </is>
      </c>
      <c r="I561" t="inlineStr">
        <is>
          <t>694baba01d450d00013662f0</t>
        </is>
      </c>
      <c r="J561" t="inlineStr">
        <is>
          <t/>
        </is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inlineStr">
        <is>
          <t/>
        </is>
      </c>
      <c r="R561" t="inlineStr">
        <is>
          <t/>
        </is>
      </c>
      <c r="S561" t="n">
        <v>0.0</v>
      </c>
      <c r="T561" t="n">
        <v>0.0</v>
      </c>
      <c r="U561" t="n">
        <v>0.0</v>
      </c>
      <c r="V561" t="n">
        <v>0.0</v>
      </c>
      <c r="W561" t="inlineStr">
        <is>
          <t/>
        </is>
      </c>
      <c r="X561" t="n">
        <v>0.0</v>
      </c>
      <c r="Y561" t="n">
        <v>0.0</v>
      </c>
      <c r="Z561" t="n">
        <v>2.0</v>
      </c>
      <c r="AA561" t="n">
        <v>0.0</v>
      </c>
      <c r="AB561" t="n">
        <v>0.0</v>
      </c>
      <c r="AC561" t="n">
        <v>0.0</v>
      </c>
      <c r="AD561" t="n">
        <v>8.0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4.125</v>
      </c>
      <c r="AL561" t="inlineStr">
        <is>
          <t/>
        </is>
      </c>
    </row>
    <row r="562">
      <c r="A562" t="inlineStr">
        <is>
          <t>69块够吃一周！跟轻食外卖说再见👋</t>
        </is>
      </c>
      <c r="B562" t="inlineStr">
        <is>
          <t>69b9ff77000000001e00c6f6</t>
        </is>
      </c>
      <c r="C562" s="561" t="n">
        <f>HYPERLINK("https://www.xiaohongshu.com/explore/69b9ff77000000001e00c6f6?xsec_token=TBgv0wN35T_w0yZx7fmvlvfENEVz80flCoYM_4A5XkUAg=&amp;xsec_source=pc_trdark","https://www.xiaohongshu.com/explore/69b9ff77000000001e00c6f6?xsec_token=TBgv0wN35T_w0yZx7fmvlvfENEVz80flCoYM_4A5XkUAg=&amp;xsec_source=pc_trdark")</f>
        <v>0.0</v>
      </c>
      <c r="D562" t="inlineStr">
        <is>
          <t>婉婉上班吃什么</t>
        </is>
      </c>
      <c r="E562" t="inlineStr">
        <is>
          <t>11434449706</t>
        </is>
      </c>
      <c r="F562" t="inlineStr">
        <is>
          <t>2026-03-18 09:27:19</t>
        </is>
      </c>
      <c r="G562" t="inlineStr">
        <is>
          <t>图文</t>
        </is>
      </c>
      <c r="H562" t="inlineStr">
        <is>
          <t>手剥虾仁 无冰衣无添加 低脂餐一人食 上班带饭 顺丰包邮 5盒装</t>
        </is>
      </c>
      <c r="I562" t="inlineStr">
        <is>
          <t>694baba01d450d00013662f0</t>
        </is>
      </c>
      <c r="J562" t="inlineStr">
        <is>
          <t/>
        </is>
      </c>
      <c r="K562" t="n">
        <v>0.0</v>
      </c>
      <c r="L562" t="n">
        <v>0.0</v>
      </c>
      <c r="M562" t="n">
        <v>1.0</v>
      </c>
      <c r="N562" t="n">
        <v>0.125</v>
      </c>
      <c r="O562" t="n">
        <v>1.0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inlineStr">
        <is>
          <t/>
        </is>
      </c>
      <c r="X562" t="n">
        <v>0.0</v>
      </c>
      <c r="Y562" t="n">
        <v>0.0</v>
      </c>
      <c r="Z562" t="n">
        <v>1.0</v>
      </c>
      <c r="AA562" t="n">
        <v>0.0</v>
      </c>
      <c r="AB562" t="n">
        <v>0.0</v>
      </c>
      <c r="AC562" t="n">
        <v>0.0</v>
      </c>
      <c r="AD562" t="n">
        <v>8.0</v>
      </c>
      <c r="AE562" t="n">
        <v>1.0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13.75</v>
      </c>
      <c r="AL562" t="inlineStr">
        <is>
          <t/>
        </is>
      </c>
    </row>
    <row r="563">
      <c r="A563" t="inlineStr">
        <is>
          <t>我q。。男朋友吃完瞬间有劲了。。</t>
        </is>
      </c>
      <c r="B563" t="inlineStr">
        <is>
          <t>69452411000000000d03daad</t>
        </is>
      </c>
      <c r="C563" s="562" t="n">
        <f>HYPERLINK("https://www.xiaohongshu.com/explore/69452411000000000d03daad?xsec_token=TB7p1vWXvB33zoX2lon7HfpcDKUirO3Fuhb5G31xPi3zk=&amp;xsec_source=pc_trdark","https://www.xiaohongshu.com/explore/69452411000000000d03daad?xsec_token=TB7p1vWXvB33zoX2lon7HfpcDKUirO3Fuhb5G31xPi3zk=&amp;xsec_source=pc_trdark")</f>
        <v>0.0</v>
      </c>
      <c r="D563" t="inlineStr">
        <is>
          <t>婉婉上班吃什么</t>
        </is>
      </c>
      <c r="E563" t="inlineStr">
        <is>
          <t>11434449706</t>
        </is>
      </c>
      <c r="F563" t="inlineStr">
        <is>
          <t>2025-12-19 18:08:17</t>
        </is>
      </c>
      <c r="G563" t="inlineStr">
        <is>
          <t>视频</t>
        </is>
      </c>
      <c r="H563" t="inlineStr">
        <is>
          <t>生蚝乳山生蚝海蛎子顺丰包邮</t>
        </is>
      </c>
      <c r="I563" t="inlineStr">
        <is>
          <t>690c70971b787900010866cc</t>
        </is>
      </c>
      <c r="J563" t="n">
        <v>21.0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inlineStr">
        <is>
          <t/>
        </is>
      </c>
      <c r="R563" t="inlineStr">
        <is>
          <t/>
        </is>
      </c>
      <c r="S563" t="n">
        <v>0.0</v>
      </c>
      <c r="T563" t="n">
        <v>0.0</v>
      </c>
      <c r="U563" t="n">
        <v>0.0</v>
      </c>
      <c r="V563" t="n">
        <v>0.0</v>
      </c>
      <c r="W563" t="inlineStr">
        <is>
          <t/>
        </is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8.0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5.625</v>
      </c>
      <c r="AL563" t="n">
        <v>0.125</v>
      </c>
    </row>
    <row r="564">
      <c r="A564" t="inlineStr">
        <is>
          <t>带饭的尽头…真的是懒人饭</t>
        </is>
      </c>
      <c r="B564" t="inlineStr">
        <is>
          <t>69f1652500000000220294bd</t>
        </is>
      </c>
      <c r="C564" s="563" t="n">
        <f>HYPERLINK("https://www.xiaohongshu.com/explore/69f1652500000000220294bd?xsec_token=TBLt8Y96Ok9n09b_UIgIegbgAbIwaQU4SjnCqLYXFzr5g=&amp;xsec_source=pc_trdark","https://www.xiaohongshu.com/explore/69f1652500000000220294bd?xsec_token=TBLt8Y96Ok9n09b_UIgIegbgAbIwaQU4SjnCqLYXFzr5g=&amp;xsec_source=pc_trdark")</f>
        <v>0.0</v>
      </c>
      <c r="D564" t="inlineStr">
        <is>
          <t>菲菲上班吃什么</t>
        </is>
      </c>
      <c r="E564" t="inlineStr">
        <is>
          <t>49936530607</t>
        </is>
      </c>
      <c r="F564" t="inlineStr">
        <is>
          <t>2026-04-29 09:55:49</t>
        </is>
      </c>
      <c r="G564" t="inlineStr">
        <is>
          <t>图文</t>
        </is>
      </c>
      <c r="H564" t="inlineStr">
        <is>
          <t>手剥虾仁 无冰衣无添加 低脂餐一人食 上班带饭 顺丰包邮 5盒装</t>
        </is>
      </c>
      <c r="I564" t="inlineStr">
        <is>
          <t>694baba01d450d00013662f0</t>
        </is>
      </c>
      <c r="J564" t="inlineStr">
        <is>
          <t/>
        </is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inlineStr">
        <is>
          <t/>
        </is>
      </c>
      <c r="R564" t="inlineStr">
        <is>
          <t/>
        </is>
      </c>
      <c r="S564" t="n">
        <v>0.0</v>
      </c>
      <c r="T564" t="n">
        <v>0.0</v>
      </c>
      <c r="U564" t="n">
        <v>0.0</v>
      </c>
      <c r="V564" t="n">
        <v>0.0</v>
      </c>
      <c r="W564" t="inlineStr">
        <is>
          <t/>
        </is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7.0</v>
      </c>
      <c r="AE564" t="n">
        <v>0.0</v>
      </c>
      <c r="AF564" t="n">
        <v>0.0</v>
      </c>
      <c r="AG564" t="n">
        <v>0.0</v>
      </c>
      <c r="AH564" t="n">
        <v>1.0</v>
      </c>
      <c r="AI564" t="n">
        <v>0.0</v>
      </c>
      <c r="AJ564" t="n">
        <v>0.0</v>
      </c>
      <c r="AK564" t="n">
        <v>4.857142857142857</v>
      </c>
      <c r="AL564" t="inlineStr">
        <is>
          <t/>
        </is>
      </c>
    </row>
    <row r="565">
      <c r="A565" t="inlineStr">
        <is>
          <t>后来才发现，一周减脂餐100来块就能搞定</t>
        </is>
      </c>
      <c r="B565" t="inlineStr">
        <is>
          <t>69e9b7390000000021004eb6</t>
        </is>
      </c>
      <c r="C565" s="564" t="n">
        <f>HYPERLINK("https://www.xiaohongshu.com/explore/69e9b7390000000021004eb6?xsec_token=TBNkLc7pOHvt_5tNJTpGNllBVOgQ-_N8R_rCCYTpli3Ok=&amp;xsec_source=pc_trdark","https://www.xiaohongshu.com/explore/69e9b7390000000021004eb6?xsec_token=TBNkLc7pOHvt_5tNJTpGNllBVOgQ-_N8R_rCCYTpli3Ok=&amp;xsec_source=pc_trdark")</f>
        <v>0.0</v>
      </c>
      <c r="D565" t="inlineStr">
        <is>
          <t>鲜水湾甄选</t>
        </is>
      </c>
      <c r="E565" t="inlineStr">
        <is>
          <t>27401929161</t>
        </is>
      </c>
      <c r="F565" t="inlineStr">
        <is>
          <t>2026-04-24 10:30:00</t>
        </is>
      </c>
      <c r="G565" t="inlineStr">
        <is>
          <t>图文</t>
        </is>
      </c>
      <c r="H565" t="inlineStr">
        <is>
          <t>手剥虾仁 无冰衣无添加 低脂餐一人食 上班带饭 顺丰包邮 5盒装</t>
        </is>
      </c>
      <c r="I565" t="inlineStr">
        <is>
          <t>694baba01d450d00013662f0</t>
        </is>
      </c>
      <c r="J565" t="inlineStr">
        <is>
          <t/>
        </is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inlineStr">
        <is>
          <t/>
        </is>
      </c>
      <c r="R565" t="inlineStr">
        <is>
          <t/>
        </is>
      </c>
      <c r="S565" t="n">
        <v>0.0</v>
      </c>
      <c r="T565" t="n">
        <v>0.0</v>
      </c>
      <c r="U565" t="n">
        <v>0.0</v>
      </c>
      <c r="V565" t="n">
        <v>0.0</v>
      </c>
      <c r="W565" t="inlineStr">
        <is>
          <t/>
        </is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7.0</v>
      </c>
      <c r="AE565" t="n">
        <v>0.0</v>
      </c>
      <c r="AF565" t="n">
        <v>0.0</v>
      </c>
      <c r="AG565" t="n">
        <v>0.0</v>
      </c>
      <c r="AH565" t="n">
        <v>1.0</v>
      </c>
      <c r="AI565" t="n">
        <v>0.0</v>
      </c>
      <c r="AJ565" t="n">
        <v>0.0</v>
      </c>
      <c r="AK565" t="n">
        <v>6.428571428571429</v>
      </c>
      <c r="AL565" t="inlineStr">
        <is>
          <t/>
        </is>
      </c>
    </row>
    <row r="566">
      <c r="A566" t="inlineStr">
        <is>
          <t>100来块够一周的，可以告别外卖了🥹</t>
        </is>
      </c>
      <c r="B566" t="inlineStr">
        <is>
          <t>69e9aa870000000022025011</t>
        </is>
      </c>
      <c r="C566" s="565" t="n">
        <f>HYPERLINK("https://www.xiaohongshu.com/explore/69e9aa870000000022025011?xsec_token=TBNkLc7pOHvt_5tNJTpGNllLGG6HJCpww7b4O-jYXcziE=&amp;xsec_source=pc_trdark","https://www.xiaohongshu.com/explore/69e9aa870000000022025011?xsec_token=TBNkLc7pOHvt_5tNJTpGNllLGG6HJCpww7b4O-jYXcziE=&amp;xsec_source=pc_trdark")</f>
        <v>0.0</v>
      </c>
      <c r="D566" t="inlineStr">
        <is>
          <t>菲菲上班吃什么</t>
        </is>
      </c>
      <c r="E566" t="inlineStr">
        <is>
          <t>49936530607</t>
        </is>
      </c>
      <c r="F566" t="inlineStr">
        <is>
          <t>2026-04-24 15:30:00</t>
        </is>
      </c>
      <c r="G566" t="inlineStr">
        <is>
          <t>图文</t>
        </is>
      </c>
      <c r="H566" t="inlineStr">
        <is>
          <t>手剥虾仁 无冰衣无添加 低脂餐一人食 上班带饭 顺丰包邮 5盒装</t>
        </is>
      </c>
      <c r="I566" t="inlineStr">
        <is>
          <t>694baba01d450d00013662f0</t>
        </is>
      </c>
      <c r="J566" t="inlineStr">
        <is>
          <t/>
        </is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inlineStr">
        <is>
          <t/>
        </is>
      </c>
      <c r="R566" t="inlineStr">
        <is>
          <t/>
        </is>
      </c>
      <c r="S566" t="n">
        <v>0.0</v>
      </c>
      <c r="T566" t="n">
        <v>0.0</v>
      </c>
      <c r="U566" t="n">
        <v>0.0</v>
      </c>
      <c r="V566" t="n">
        <v>0.0</v>
      </c>
      <c r="W566" t="inlineStr">
        <is>
          <t/>
        </is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7.0</v>
      </c>
      <c r="AE566" t="n">
        <v>0.0</v>
      </c>
      <c r="AF566" t="n">
        <v>0.0</v>
      </c>
      <c r="AG566" t="n">
        <v>0.0</v>
      </c>
      <c r="AH566" t="n">
        <v>2.0</v>
      </c>
      <c r="AI566" t="n">
        <v>0.0</v>
      </c>
      <c r="AJ566" t="n">
        <v>0.0</v>
      </c>
      <c r="AK566" t="n">
        <v>4.857142857142857</v>
      </c>
      <c r="AL566" t="inlineStr">
        <is>
          <t/>
        </is>
      </c>
    </row>
    <row r="567">
      <c r="A567" t="inlineStr">
        <is>
          <t>年轻人还是不能低估 69 块的购买力！</t>
        </is>
      </c>
      <c r="B567" t="inlineStr">
        <is>
          <t>69ce7bfa000000001f001220</t>
        </is>
      </c>
      <c r="C567" s="566" t="n">
        <f>HYPERLINK("https://www.xiaohongshu.com/explore/69ce7bfa000000001f001220?xsec_token=TBclHZuM5_fs2QanfU7vVSEuFUE9MAgNOMGINyPYSyNOQ=&amp;xsec_source=pc_trdark","https://www.xiaohongshu.com/explore/69ce7bfa000000001f001220?xsec_token=TBclHZuM5_fs2QanfU7vVSEuFUE9MAgNOMGINyPYSyNOQ=&amp;xsec_source=pc_trdark")</f>
        <v>0.0</v>
      </c>
      <c r="D567" t="inlineStr">
        <is>
          <t>菲菲上班吃什么</t>
        </is>
      </c>
      <c r="E567" t="inlineStr">
        <is>
          <t>49936530607</t>
        </is>
      </c>
      <c r="F567" t="inlineStr">
        <is>
          <t>2026-04-02 22:23:54</t>
        </is>
      </c>
      <c r="G567" t="inlineStr">
        <is>
          <t>图文</t>
        </is>
      </c>
      <c r="H567" t="inlineStr">
        <is>
          <t>手剥虾仁 无冰衣无添加 低脂餐一人食 上班带饭 顺丰包邮 5盒装</t>
        </is>
      </c>
      <c r="I567" t="inlineStr">
        <is>
          <t>694baba01d450d00013662f0</t>
        </is>
      </c>
      <c r="J567" t="inlineStr">
        <is>
          <t/>
        </is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inlineStr">
        <is>
          <t/>
        </is>
      </c>
      <c r="R567" t="inlineStr">
        <is>
          <t/>
        </is>
      </c>
      <c r="S567" t="n">
        <v>0.0</v>
      </c>
      <c r="T567" t="n">
        <v>0.0</v>
      </c>
      <c r="U567" t="n">
        <v>0.0</v>
      </c>
      <c r="V567" t="n">
        <v>0.0</v>
      </c>
      <c r="W567" t="inlineStr">
        <is>
          <t/>
        </is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7.0</v>
      </c>
      <c r="AE567" t="n">
        <v>2.0</v>
      </c>
      <c r="AF567" t="n">
        <v>0.0</v>
      </c>
      <c r="AG567" t="n">
        <v>0.0</v>
      </c>
      <c r="AH567" t="n">
        <v>1.0</v>
      </c>
      <c r="AI567" t="n">
        <v>0.0</v>
      </c>
      <c r="AJ567" t="n">
        <v>0.0</v>
      </c>
      <c r="AK567" t="n">
        <v>6.142857142857143</v>
      </c>
      <c r="AL567" t="inlineStr">
        <is>
          <t/>
        </is>
      </c>
    </row>
    <row r="568">
      <c r="A568" t="inlineStr">
        <is>
          <t>感谢315！终于让大家认识无保水剂虾仁🙏</t>
        </is>
      </c>
      <c r="B568" t="inlineStr">
        <is>
          <t>69ca0e530000000022025ec0</t>
        </is>
      </c>
      <c r="C568" s="567" t="n">
        <f>HYPERLINK("https://www.xiaohongshu.com/explore/69ca0e530000000022025ec0?xsec_token=TBZMwIQ43aS0K0DsaEHGlBqhhKgiVyCr3Q8easCS383gA=&amp;xsec_source=pc_trdark","https://www.xiaohongshu.com/explore/69ca0e530000000022025ec0?xsec_token=TBZMwIQ43aS0K0DsaEHGlBqhhKgiVyCr3Q8easCS383gA=&amp;xsec_source=pc_trdark")</f>
        <v>0.0</v>
      </c>
      <c r="D568" t="inlineStr">
        <is>
          <t>鲜水湾</t>
        </is>
      </c>
      <c r="E568" t="inlineStr">
        <is>
          <t>49316638994</t>
        </is>
      </c>
      <c r="F568" t="inlineStr">
        <is>
          <t>2026-03-30 13:46:59</t>
        </is>
      </c>
      <c r="G568" t="inlineStr">
        <is>
          <t>图文</t>
        </is>
      </c>
      <c r="H568" t="inlineStr">
        <is>
          <t>手剥虾仁 无冰衣无添加 低脂餐一人食 上班带饭 顺丰包邮 5盒装</t>
        </is>
      </c>
      <c r="I568" t="inlineStr">
        <is>
          <t>694baba01d450d00013662f0</t>
        </is>
      </c>
      <c r="J568" t="inlineStr">
        <is>
          <t/>
        </is>
      </c>
      <c r="K568" t="n">
        <v>0.0</v>
      </c>
      <c r="L568" t="n">
        <v>0.0</v>
      </c>
      <c r="M568" t="n">
        <v>1.0</v>
      </c>
      <c r="N568" t="inlineStr">
        <is>
          <t>0.14285714285714285</t>
        </is>
      </c>
      <c r="O568" t="n">
        <v>1.0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inlineStr">
        <is>
          <t/>
        </is>
      </c>
      <c r="X568" t="n">
        <v>0.0</v>
      </c>
      <c r="Y568" t="n">
        <v>0.0</v>
      </c>
      <c r="Z568" t="n">
        <v>2.0</v>
      </c>
      <c r="AA568" t="n">
        <v>0.0</v>
      </c>
      <c r="AB568" t="n">
        <v>0.0</v>
      </c>
      <c r="AC568" t="n">
        <v>0.0</v>
      </c>
      <c r="AD568" t="n">
        <v>7.0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3.2857142857142856</v>
      </c>
      <c r="AL568" t="inlineStr">
        <is>
          <t/>
        </is>
      </c>
    </row>
    <row r="569">
      <c r="A569" t="inlineStr">
        <is>
          <t>315过后，大家都买这种无保水剂的虾仁了</t>
        </is>
      </c>
      <c r="B569" t="inlineStr">
        <is>
          <t>69c94348000000001e00e321</t>
        </is>
      </c>
      <c r="C569" s="568" t="n">
        <f>HYPERLINK("https://www.xiaohongshu.com/explore/69c94348000000001e00e321?xsec_token=TBbpP5CiN94LtvLtPXlqbAxcA1xLNWjVfTml-izYYRin0=&amp;xsec_source=pc_trdark","https://www.xiaohongshu.com/explore/69c94348000000001e00e321?xsec_token=TBbpP5CiN94LtvLtPXlqbAxcA1xLNWjVfTml-izYYRin0=&amp;xsec_source=pc_trdark")</f>
        <v>0.0</v>
      </c>
      <c r="D569" t="inlineStr">
        <is>
          <t>鲜水湾</t>
        </is>
      </c>
      <c r="E569" t="inlineStr">
        <is>
          <t>49316638994</t>
        </is>
      </c>
      <c r="F569" t="inlineStr">
        <is>
          <t>2026-03-29 23:20:40</t>
        </is>
      </c>
      <c r="G569" t="inlineStr">
        <is>
          <t>图文</t>
        </is>
      </c>
      <c r="H569" t="inlineStr">
        <is>
          <t>手剥虾仁 无冰衣无添加 低脂餐一人食 上班带饭 顺丰包邮 5盒装</t>
        </is>
      </c>
      <c r="I569" t="inlineStr">
        <is>
          <t>694baba01d450d00013662f0</t>
        </is>
      </c>
      <c r="J569" t="inlineStr">
        <is>
          <t/>
        </is>
      </c>
      <c r="K569" t="n">
        <v>0.0</v>
      </c>
      <c r="L569" t="n">
        <v>0.0</v>
      </c>
      <c r="M569" t="n">
        <v>2.0</v>
      </c>
      <c r="N569" t="n">
        <v>0.2857142857142857</v>
      </c>
      <c r="O569" t="n">
        <v>2.0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inlineStr">
        <is>
          <t/>
        </is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7.0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5.714285714285714</v>
      </c>
      <c r="AL569" t="inlineStr">
        <is>
          <t/>
        </is>
      </c>
    </row>
    <row r="570">
      <c r="A570" t="inlineStr">
        <is>
          <t>区区69块钱，竟解决了我一周上班带饭</t>
        </is>
      </c>
      <c r="B570" t="inlineStr">
        <is>
          <t>69c7c42a000000002202a5e9</t>
        </is>
      </c>
      <c r="C570" s="569" t="n">
        <f>HYPERLINK("https://www.xiaohongshu.com/explore/69c7c42a000000002202a5e9?xsec_token=TBjgiIXsiAVvD6hXoSGvhcA7sv8RavFdpIw4gV6dwo5OM=&amp;xsec_source=pc_trdark","https://www.xiaohongshu.com/explore/69c7c42a000000002202a5e9?xsec_token=TBjgiIXsiAVvD6hXoSGvhcA7sv8RavFdpIw4gV6dwo5OM=&amp;xsec_source=pc_trdark")</f>
        <v>0.0</v>
      </c>
      <c r="D570" t="inlineStr">
        <is>
          <t>婉婉上班吃什么</t>
        </is>
      </c>
      <c r="E570" t="inlineStr">
        <is>
          <t>11434449706</t>
        </is>
      </c>
      <c r="F570" t="inlineStr">
        <is>
          <t>2026-03-28 20:06:02</t>
        </is>
      </c>
      <c r="G570" t="inlineStr">
        <is>
          <t>图文</t>
        </is>
      </c>
      <c r="H570" t="inlineStr">
        <is>
          <t>手剥虾仁 无冰衣无添加 低脂餐一人食 上班带饭 顺丰包邮 5盒装</t>
        </is>
      </c>
      <c r="I570" t="inlineStr">
        <is>
          <t>694baba01d450d00013662f0</t>
        </is>
      </c>
      <c r="J570" t="inlineStr">
        <is>
          <t/>
        </is>
      </c>
      <c r="K570" t="n">
        <v>0.0</v>
      </c>
      <c r="L570" t="n">
        <v>0.0</v>
      </c>
      <c r="M570" t="n">
        <v>3.0</v>
      </c>
      <c r="N570" t="inlineStr">
        <is>
          <t>0.42857142857142855</t>
        </is>
      </c>
      <c r="O570" t="n">
        <v>2.0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inlineStr">
        <is>
          <t/>
        </is>
      </c>
      <c r="X570" t="n">
        <v>0.0</v>
      </c>
      <c r="Y570" t="n">
        <v>0.0</v>
      </c>
      <c r="Z570" t="n">
        <v>2.0</v>
      </c>
      <c r="AA570" t="n">
        <v>0.0</v>
      </c>
      <c r="AB570" t="n">
        <v>0.0</v>
      </c>
      <c r="AC570" t="n">
        <v>0.0</v>
      </c>
      <c r="AD570" t="n">
        <v>7.0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14.0</v>
      </c>
      <c r="AL570" t="inlineStr">
        <is>
          <t/>
        </is>
      </c>
    </row>
    <row r="571">
      <c r="A571" t="inlineStr">
        <is>
          <t>姐的体态直接焊亖在高蛋白上！</t>
        </is>
      </c>
      <c r="B571" t="inlineStr">
        <is>
          <t>69c625700000000023014616</t>
        </is>
      </c>
      <c r="C571" s="570" t="n">
        <f>HYPERLINK("https://www.xiaohongshu.com/explore/69c625700000000023014616?xsec_token=TBR8u6ZWGQ_m04-W6r1rkZPDvU2Q5QwrofWpspEfjCr-w=&amp;xsec_source=pc_trdark","https://www.xiaohongshu.com/explore/69c625700000000023014616?xsec_token=TBR8u6ZWGQ_m04-W6r1rkZPDvU2Q5QwrofWpspEfjCr-w=&amp;xsec_source=pc_trdark")</f>
        <v>0.0</v>
      </c>
      <c r="D571" t="inlineStr">
        <is>
          <t>婉婉上班吃什么</t>
        </is>
      </c>
      <c r="E571" t="inlineStr">
        <is>
          <t>11434449706</t>
        </is>
      </c>
      <c r="F571" t="inlineStr">
        <is>
          <t>2026-03-27 14:36:32</t>
        </is>
      </c>
      <c r="G571" t="inlineStr">
        <is>
          <t>图文</t>
        </is>
      </c>
      <c r="H571" t="inlineStr">
        <is>
          <t>手剥虾仁 无冰衣无添加 低脂餐一人食 上班带饭 顺丰包邮 5盒装</t>
        </is>
      </c>
      <c r="I571" t="inlineStr">
        <is>
          <t>694baba01d450d00013662f0</t>
        </is>
      </c>
      <c r="J571" t="inlineStr">
        <is>
          <t/>
        </is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inlineStr">
        <is>
          <t/>
        </is>
      </c>
      <c r="R571" t="inlineStr">
        <is>
          <t/>
        </is>
      </c>
      <c r="S571" t="n">
        <v>0.0</v>
      </c>
      <c r="T571" t="n">
        <v>0.0</v>
      </c>
      <c r="U571" t="n">
        <v>0.0</v>
      </c>
      <c r="V571" t="n">
        <v>0.0</v>
      </c>
      <c r="W571" t="inlineStr">
        <is>
          <t/>
        </is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7.0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12.142857142857142</v>
      </c>
      <c r="AL571" t="inlineStr">
        <is>
          <t/>
        </is>
      </c>
    </row>
    <row r="572">
      <c r="A572" t="inlineStr">
        <is>
          <t>以为69没多少，结果够我吃一周的了</t>
        </is>
      </c>
      <c r="B572" t="inlineStr">
        <is>
          <t>69c4f9c9000000001e00e8e3</t>
        </is>
      </c>
      <c r="C572" s="571" t="n">
        <f>HYPERLINK("https://www.xiaohongshu.com/explore/69c4f9c9000000001e00e8e3?xsec_token=TBIVv4KG_Is8XT8uyOgDE1R4ZzRS7gfs94AovulihXZUU=&amp;xsec_source=pc_trdark","https://www.xiaohongshu.com/explore/69c4f9c9000000001e00e8e3?xsec_token=TBIVv4KG_Is8XT8uyOgDE1R4ZzRS7gfs94AovulihXZUU=&amp;xsec_source=pc_trdark")</f>
        <v>0.0</v>
      </c>
      <c r="D572" t="inlineStr">
        <is>
          <t>婉婉上班吃什么</t>
        </is>
      </c>
      <c r="E572" t="inlineStr">
        <is>
          <t>11434449706</t>
        </is>
      </c>
      <c r="F572" t="inlineStr">
        <is>
          <t>2026-03-26 17:18:01</t>
        </is>
      </c>
      <c r="G572" t="inlineStr">
        <is>
          <t>图文</t>
        </is>
      </c>
      <c r="H572" t="inlineStr">
        <is>
          <t>手剥虾仁 无冰衣无添加 低脂餐一人食 上班带饭 顺丰包邮 5盒装</t>
        </is>
      </c>
      <c r="I572" t="inlineStr">
        <is>
          <t>694baba01d450d00013662f0</t>
        </is>
      </c>
      <c r="J572" t="inlineStr">
        <is>
          <t/>
        </is>
      </c>
      <c r="K572" t="n">
        <v>0.0</v>
      </c>
      <c r="L572" t="n">
        <v>0.0</v>
      </c>
      <c r="M572" t="n">
        <v>2.0</v>
      </c>
      <c r="N572" t="n">
        <v>0.2857142857142857</v>
      </c>
      <c r="O572" t="n">
        <v>2.0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inlineStr">
        <is>
          <t/>
        </is>
      </c>
      <c r="X572" t="n">
        <v>0.0</v>
      </c>
      <c r="Y572" t="n">
        <v>1.0</v>
      </c>
      <c r="Z572" t="n">
        <v>0.0</v>
      </c>
      <c r="AA572" t="n">
        <v>0.0</v>
      </c>
      <c r="AB572" t="n">
        <v>0.0</v>
      </c>
      <c r="AC572" t="n">
        <v>0.0</v>
      </c>
      <c r="AD572" t="n">
        <v>7.0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n">
        <v>21.571428571428573</v>
      </c>
      <c r="AL572" t="inlineStr">
        <is>
          <t/>
        </is>
      </c>
    </row>
    <row r="573">
      <c r="A573" t="inlineStr">
        <is>
          <t>不得不说三文鱼真的是控体圣物</t>
        </is>
      </c>
      <c r="B573" t="inlineStr">
        <is>
          <t>69c103dd0000000023024919</t>
        </is>
      </c>
      <c r="C573" s="572" t="n">
        <f>HYPERLINK("https://www.xiaohongshu.com/explore/69c103dd0000000023024919?xsec_token=TBltfkQyXS0u_Ko7SgIzuBYqjCTDVpx7vRlKlXvsarIck=&amp;xsec_source=pc_trdark","https://www.xiaohongshu.com/explore/69c103dd0000000023024919?xsec_token=TBltfkQyXS0u_Ko7SgIzuBYqjCTDVpx7vRlKlXvsarIck=&amp;xsec_source=pc_trdark")</f>
        <v>0.0</v>
      </c>
      <c r="D573" t="inlineStr">
        <is>
          <t>鲜水湾甄选</t>
        </is>
      </c>
      <c r="E573" t="inlineStr">
        <is>
          <t>27401929161</t>
        </is>
      </c>
      <c r="F573" t="inlineStr">
        <is>
          <t>2026-03-23 17:11:57</t>
        </is>
      </c>
      <c r="G573" t="inlineStr">
        <is>
          <t>图文</t>
        </is>
      </c>
      <c r="H573" t="inlineStr">
        <is>
          <t>智利三文鱼切块·整条三文鱼·深海鱼一人食健康饮食</t>
        </is>
      </c>
      <c r="I573" t="inlineStr">
        <is>
          <t>691ac562a524ee0001b51d7b</t>
        </is>
      </c>
      <c r="J573" t="inlineStr">
        <is>
          <t/>
        </is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inlineStr">
        <is>
          <t/>
        </is>
      </c>
      <c r="R573" t="inlineStr">
        <is>
          <t/>
        </is>
      </c>
      <c r="S573" t="n">
        <v>0.0</v>
      </c>
      <c r="T573" t="n">
        <v>0.0</v>
      </c>
      <c r="U573" t="n">
        <v>0.0</v>
      </c>
      <c r="V573" t="n">
        <v>0.0</v>
      </c>
      <c r="W573" t="inlineStr">
        <is>
          <t/>
        </is>
      </c>
      <c r="X573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7.0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n">
        <v>5.142857142857143</v>
      </c>
      <c r="AL573" t="inlineStr">
        <is>
          <t/>
        </is>
      </c>
    </row>
    <row r="574">
      <c r="A574" t="inlineStr">
        <is>
          <t>节后控体，真花不了几个钱，69够吃一周了</t>
        </is>
      </c>
      <c r="B574" t="inlineStr">
        <is>
          <t>69ac3564000000001a035d5d</t>
        </is>
      </c>
      <c r="C574" s="573" t="n">
        <f>HYPERLINK("https://www.xiaohongshu.com/explore/69ac3564000000001a035d5d?xsec_token=TBJgc9C9Zxv_xTZMGIz7T6c26kwi-S1W6qt4bC5QibvVY=&amp;xsec_source=pc_trdark","https://www.xiaohongshu.com/explore/69ac3564000000001a035d5d?xsec_token=TBJgc9C9Zxv_xTZMGIz7T6c26kwi-S1W6qt4bC5QibvVY=&amp;xsec_source=pc_trdark")</f>
        <v>0.0</v>
      </c>
      <c r="D574" t="inlineStr">
        <is>
          <t>鲜水湾</t>
        </is>
      </c>
      <c r="E574" t="inlineStr">
        <is>
          <t>49316638994</t>
        </is>
      </c>
      <c r="F574" t="inlineStr">
        <is>
          <t>2026-03-07 22:25:40</t>
        </is>
      </c>
      <c r="G574" t="inlineStr">
        <is>
          <t>图文</t>
        </is>
      </c>
      <c r="H574" t="inlineStr">
        <is>
          <t>大虾基围虾王牌大虾厄瓜多尔白虾盐冻虾仁海洋大虾送礼顺丰包邮</t>
        </is>
      </c>
      <c r="I574" t="inlineStr">
        <is>
          <t>690aeb7be379430001e686ac</t>
        </is>
      </c>
      <c r="J574" t="inlineStr">
        <is>
          <t/>
        </is>
      </c>
      <c r="K574" t="n">
        <v>0.0</v>
      </c>
      <c r="L574" t="n">
        <v>0.0</v>
      </c>
      <c r="M574" t="n">
        <v>5.0</v>
      </c>
      <c r="N574" t="n">
        <v>0.7142857142857143</v>
      </c>
      <c r="O574" t="n">
        <v>5.0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inlineStr">
        <is>
          <t/>
        </is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7.0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17.285714285714285</v>
      </c>
      <c r="AL574" t="inlineStr">
        <is>
          <t/>
        </is>
      </c>
    </row>
    <row r="575">
      <c r="A575" t="inlineStr">
        <is>
          <t>不啰嗦了，300来块一整条</t>
        </is>
      </c>
      <c r="B575" t="inlineStr">
        <is>
          <t>69a9313d000000002202051a</t>
        </is>
      </c>
      <c r="C575" s="574" t="n">
        <f>HYPERLINK("https://www.xiaohongshu.com/explore/69a9313d000000002202051a?xsec_token=TBX1UPru9xmrqAy_hfS76TmugbaunlLKC6JrddAjTNWCM=&amp;xsec_source=pc_trdark","https://www.xiaohongshu.com/explore/69a9313d000000002202051a?xsec_token=TBX1UPru9xmrqAy_hfS76TmugbaunlLKC6JrddAjTNWCM=&amp;xsec_source=pc_trdark")</f>
        <v>0.0</v>
      </c>
      <c r="D575" t="inlineStr">
        <is>
          <t>鲜水湾甄选</t>
        </is>
      </c>
      <c r="E575" t="inlineStr">
        <is>
          <t>27401929161</t>
        </is>
      </c>
      <c r="F575" t="inlineStr">
        <is>
          <t>2026-03-05 15:31:09</t>
        </is>
      </c>
      <c r="G575" t="inlineStr">
        <is>
          <t>图文</t>
        </is>
      </c>
      <c r="H575" t="inlineStr">
        <is>
          <t>智利三文鱼切块·整条三文鱼·深海鱼一人食健康饮食</t>
        </is>
      </c>
      <c r="I575" t="inlineStr">
        <is>
          <t>691ac562a524ee0001b51d7b</t>
        </is>
      </c>
      <c r="J575" t="inlineStr">
        <is>
          <t/>
        </is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inlineStr">
        <is>
          <t/>
        </is>
      </c>
      <c r="R575" t="inlineStr">
        <is>
          <t/>
        </is>
      </c>
      <c r="S575" t="n">
        <v>0.0</v>
      </c>
      <c r="T575" t="n">
        <v>0.0</v>
      </c>
      <c r="U575" t="n">
        <v>0.0</v>
      </c>
      <c r="V575" t="n">
        <v>0.0</v>
      </c>
      <c r="W575" t="inlineStr">
        <is>
          <t/>
        </is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7.0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13.142857142857142</v>
      </c>
      <c r="AL575" t="inlineStr">
        <is>
          <t/>
        </is>
      </c>
    </row>
    <row r="576">
      <c r="A576" t="inlineStr">
        <is>
          <t>不啰嗦了！甜虾1r💰1⃣️只</t>
        </is>
      </c>
      <c r="B576" t="inlineStr">
        <is>
          <t>69a10854000000002303bbc7</t>
        </is>
      </c>
      <c r="C576" s="575" t="n">
        <f>HYPERLINK("https://www.xiaohongshu.com/explore/69a10854000000002303bbc7?xsec_token=TBk7Tu9foWGIsieMmGc2tlwleui2vJF9EQ7jZ211k4Aug=&amp;xsec_source=pc_trdark","https://www.xiaohongshu.com/explore/69a10854000000002303bbc7?xsec_token=TBk7Tu9foWGIsieMmGc2tlwleui2vJF9EQ7jZ211k4Aug=&amp;xsec_source=pc_trdark")</f>
        <v>0.0</v>
      </c>
      <c r="D576" t="inlineStr">
        <is>
          <t>鲜水湾甄选</t>
        </is>
      </c>
      <c r="E576" t="inlineStr">
        <is>
          <t>27401929161</t>
        </is>
      </c>
      <c r="F576" t="inlineStr">
        <is>
          <t>2026-02-27 10:58:28</t>
        </is>
      </c>
      <c r="G576" t="inlineStr">
        <is>
          <t>图文</t>
        </is>
      </c>
      <c r="H576" t="inlineStr">
        <is>
          <t>北极甜虾头籽甜虾元宝虾北极熊冰虾孕妈妈宝宝辅食顺丰</t>
        </is>
      </c>
      <c r="I576" t="inlineStr">
        <is>
          <t>6953717eb8f0bb000115158d</t>
        </is>
      </c>
      <c r="J576" t="inlineStr">
        <is>
          <t/>
        </is>
      </c>
      <c r="K576" t="n">
        <v>0.0</v>
      </c>
      <c r="L576" t="n">
        <v>0.0</v>
      </c>
      <c r="M576" t="n">
        <v>1.0</v>
      </c>
      <c r="N576" t="inlineStr">
        <is>
          <t>0.14285714285714285</t>
        </is>
      </c>
      <c r="O576" t="n">
        <v>1.0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inlineStr">
        <is>
          <t/>
        </is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7.0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5.428571428571429</v>
      </c>
      <c r="AL576" t="inlineStr">
        <is>
          <t/>
        </is>
      </c>
    </row>
    <row r="577">
      <c r="A577" t="inlineStr">
        <is>
          <t>青岛发过来的！被爸妈夸了一整天</t>
        </is>
      </c>
      <c r="B577" t="inlineStr">
        <is>
          <t>698ebc83000000000e00cad5</t>
        </is>
      </c>
      <c r="C577" s="576" t="n">
        <f>HYPERLINK("https://www.xiaohongshu.com/explore/698ebc83000000000e00cad5?xsec_token=TBNIhd8Wg4_l-WeAs5DLBNd3MDxm99LsgWpFOMllYrtqk=&amp;xsec_source=pc_trdark","https://www.xiaohongshu.com/explore/698ebc83000000000e00cad5?xsec_token=TBNIhd8Wg4_l-WeAs5DLBNd3MDxm99LsgWpFOMllYrtqk=&amp;xsec_source=pc_trdark")</f>
        <v>0.0</v>
      </c>
      <c r="D577" t="inlineStr">
        <is>
          <t>鲜水湾</t>
        </is>
      </c>
      <c r="E577" t="inlineStr">
        <is>
          <t>49316638994</t>
        </is>
      </c>
      <c r="F577" t="inlineStr">
        <is>
          <t>2026-02-13 13:54:11</t>
        </is>
      </c>
      <c r="G577" t="inlineStr">
        <is>
          <t>图文</t>
        </is>
      </c>
      <c r="H577" t="inlineStr">
        <is>
          <t>智利三文鱼切块·整条三文鱼·深海鱼一人食健康饮食</t>
        </is>
      </c>
      <c r="I577" t="inlineStr">
        <is>
          <t>691ac562a524ee0001b51d7b</t>
        </is>
      </c>
      <c r="J577" t="inlineStr">
        <is>
          <t/>
        </is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inlineStr">
        <is>
          <t/>
        </is>
      </c>
      <c r="R577" t="inlineStr">
        <is>
          <t/>
        </is>
      </c>
      <c r="S577" t="n">
        <v>0.0</v>
      </c>
      <c r="T577" t="n">
        <v>0.0</v>
      </c>
      <c r="U577" t="n">
        <v>0.0</v>
      </c>
      <c r="V577" t="n">
        <v>0.0</v>
      </c>
      <c r="W577" t="inlineStr">
        <is>
          <t/>
        </is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7.0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5.428571428571429</v>
      </c>
      <c r="AL577" t="inlineStr">
        <is>
          <t/>
        </is>
      </c>
    </row>
    <row r="578">
      <c r="A578" t="inlineStr">
        <is>
          <t>一个月回购3次，这冰虾口感真的赢麻了！</t>
        </is>
      </c>
      <c r="B578" t="inlineStr">
        <is>
          <t>697c460f000000000a02c1c6</t>
        </is>
      </c>
      <c r="C578" s="577" t="n">
        <f>HYPERLINK("https://www.xiaohongshu.com/explore/697c460f000000000a02c1c6?xsec_token=TBV-62_c6Sms9X18ENcOcpiIMy_WRjvnqsFur8P3OLNpw=&amp;xsec_source=pc_trdark","https://www.xiaohongshu.com/explore/697c460f000000000a02c1c6?xsec_token=TBV-62_c6Sms9X18ENcOcpiIMy_WRjvnqsFur8P3OLNpw=&amp;xsec_source=pc_trdark")</f>
        <v>0.0</v>
      </c>
      <c r="D578" t="inlineStr">
        <is>
          <t>鲜水湾甄选</t>
        </is>
      </c>
      <c r="E578" t="inlineStr">
        <is>
          <t>27401929161</t>
        </is>
      </c>
      <c r="F578" t="inlineStr">
        <is>
          <t>2026-01-30 13:47:59</t>
        </is>
      </c>
      <c r="G578" t="inlineStr">
        <is>
          <t>图文</t>
        </is>
      </c>
      <c r="H578" t="inlineStr">
        <is>
          <t>北极甜虾头籽甜虾元宝虾北极熊冰虾孕妈妈宝宝辅食顺丰</t>
        </is>
      </c>
      <c r="I578" t="inlineStr">
        <is>
          <t>6953717eb8f0bb000115158d</t>
        </is>
      </c>
      <c r="J578" t="inlineStr">
        <is>
          <t/>
        </is>
      </c>
      <c r="K578" t="n">
        <v>474.0</v>
      </c>
      <c r="L578" t="n">
        <v>2.0</v>
      </c>
      <c r="M578" t="n">
        <v>2.0</v>
      </c>
      <c r="N578" t="n">
        <v>0.2857142857142857</v>
      </c>
      <c r="O578" t="n">
        <v>2.0</v>
      </c>
      <c r="P578" t="n">
        <v>1.0</v>
      </c>
      <c r="Q578" t="n">
        <v>1.0</v>
      </c>
      <c r="R578" t="n">
        <v>0.5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1.0</v>
      </c>
      <c r="Z578" t="n">
        <v>0.0</v>
      </c>
      <c r="AA578" t="n">
        <v>0.0</v>
      </c>
      <c r="AB578" t="n">
        <v>0.0</v>
      </c>
      <c r="AC578" t="n">
        <v>0.0</v>
      </c>
      <c r="AD578" t="n">
        <v>7.0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9.142857142857142</v>
      </c>
      <c r="AL578" t="inlineStr">
        <is>
          <t/>
        </is>
      </c>
    </row>
    <row r="579">
      <c r="A579" t="inlineStr">
        <is>
          <t>我爸让我赶紧宣传一下40多一箱了！包活包肥</t>
        </is>
      </c>
      <c r="B579" t="inlineStr">
        <is>
          <t>693a2988000000001e0221ba</t>
        </is>
      </c>
      <c r="C579" s="578" t="n">
        <f>HYPERLINK("https://www.xiaohongshu.com/explore/693a2988000000001e0221ba?xsec_token=TBSe-eT4tPFhzXSmwZAcjHHzQcaRUI4VGM8y9as0HprmI=&amp;xsec_source=pc_trdark","https://www.xiaohongshu.com/explore/693a2988000000001e0221ba?xsec_token=TBSe-eT4tPFhzXSmwZAcjHHzQcaRUI4VGM8y9as0HprmI=&amp;xsec_source=pc_trdark")</f>
        <v>0.0</v>
      </c>
      <c r="D579" t="inlineStr">
        <is>
          <t>婉婉上班吃什么</t>
        </is>
      </c>
      <c r="E579" t="inlineStr">
        <is>
          <t>11434449706</t>
        </is>
      </c>
      <c r="F579" t="inlineStr">
        <is>
          <t>2025-12-11 10:16:40</t>
        </is>
      </c>
      <c r="G579" t="inlineStr">
        <is>
          <t>视频</t>
        </is>
      </c>
      <c r="H579" t="inlineStr">
        <is>
          <t>生蚝乳山生蚝海蛎子顺丰包邮</t>
        </is>
      </c>
      <c r="I579" t="inlineStr">
        <is>
          <t>690c70971b787900010866cc</t>
        </is>
      </c>
      <c r="J579" t="n">
        <v>21.0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inlineStr">
        <is>
          <t/>
        </is>
      </c>
      <c r="R579" t="inlineStr">
        <is>
          <t/>
        </is>
      </c>
      <c r="S579" t="n">
        <v>0.0</v>
      </c>
      <c r="T579" t="n">
        <v>0.0</v>
      </c>
      <c r="U579" t="n">
        <v>0.0</v>
      </c>
      <c r="V579" t="n">
        <v>0.0</v>
      </c>
      <c r="W579" t="inlineStr">
        <is>
          <t/>
        </is>
      </c>
      <c r="X579" t="n">
        <v>0.0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7.0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n">
        <v>3.857142857142857</v>
      </c>
      <c r="AL579" t="n">
        <v>0.0</v>
      </c>
    </row>
    <row r="580">
      <c r="A580" t="inlineStr">
        <is>
          <t>和老爸商量后，推出早八人独爱的小包装</t>
        </is>
      </c>
      <c r="B580" t="inlineStr">
        <is>
          <t>69e877b30000000022027f5a</t>
        </is>
      </c>
      <c r="C580" s="579" t="n">
        <f>HYPERLINK("https://www.xiaohongshu.com/explore/69e877b30000000022027f5a?xsec_token=TBrsJGfbmdICsvnXoyd4QdRveIHLifjVd65LSZNjJZ4z8=&amp;xsec_source=pc_trdark","https://www.xiaohongshu.com/explore/69e877b30000000022027f5a?xsec_token=TBrsJGfbmdICsvnXoyd4QdRveIHLifjVd65LSZNjJZ4z8=&amp;xsec_source=pc_trdark")</f>
        <v>0.0</v>
      </c>
      <c r="D580" t="inlineStr">
        <is>
          <t>菲菲上班吃什么</t>
        </is>
      </c>
      <c r="E580" t="inlineStr">
        <is>
          <t>49936530607</t>
        </is>
      </c>
      <c r="F580" t="inlineStr">
        <is>
          <t>2026-04-23 15:30:00</t>
        </is>
      </c>
      <c r="G580" t="inlineStr">
        <is>
          <t>图文</t>
        </is>
      </c>
      <c r="H580" t="inlineStr">
        <is>
          <t>手剥虾仁 无冰衣无添加 低脂餐一人食 上班带饭 顺丰包邮 5盒装</t>
        </is>
      </c>
      <c r="I580" t="inlineStr">
        <is>
          <t>694baba01d450d00013662f0</t>
        </is>
      </c>
      <c r="J580" t="inlineStr">
        <is>
          <t/>
        </is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inlineStr">
        <is>
          <t/>
        </is>
      </c>
      <c r="R580" t="inlineStr">
        <is>
          <t/>
        </is>
      </c>
      <c r="S580" t="n">
        <v>0.0</v>
      </c>
      <c r="T580" t="n">
        <v>0.0</v>
      </c>
      <c r="U580" t="n">
        <v>0.0</v>
      </c>
      <c r="V580" t="n">
        <v>0.0</v>
      </c>
      <c r="W580" t="inlineStr">
        <is>
          <t/>
        </is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6.0</v>
      </c>
      <c r="AE580" t="n">
        <v>0.0</v>
      </c>
      <c r="AF580" t="n">
        <v>0.0</v>
      </c>
      <c r="AG580" t="n">
        <v>0.0</v>
      </c>
      <c r="AH580" t="n">
        <v>2.0</v>
      </c>
      <c r="AI580" t="n">
        <v>0.0</v>
      </c>
      <c r="AJ580" t="n">
        <v>0.0</v>
      </c>
      <c r="AK580" t="n">
        <v>3.5</v>
      </c>
      <c r="AL580" t="inlineStr">
        <is>
          <t/>
        </is>
      </c>
    </row>
    <row r="581">
      <c r="A581" t="inlineStr">
        <is>
          <t>100来块解决我半个月的上班带饭</t>
        </is>
      </c>
      <c r="B581" t="inlineStr">
        <is>
          <t>69ca07a600000000220243b5</t>
        </is>
      </c>
      <c r="C581" s="580" t="n">
        <f>HYPERLINK("https://www.xiaohongshu.com/explore/69ca07a600000000220243b5?xsec_token=TBZMwIQ43aS0K0DsaEHGlBqnSzVMVOKf_ZtO_Bf43xZRY=&amp;xsec_source=pc_trdark","https://www.xiaohongshu.com/explore/69ca07a600000000220243b5?xsec_token=TBZMwIQ43aS0K0DsaEHGlBqnSzVMVOKf_ZtO_Bf43xZRY=&amp;xsec_source=pc_trdark")</f>
        <v>0.0</v>
      </c>
      <c r="D581" t="inlineStr">
        <is>
          <t>婉婉上班吃什么</t>
        </is>
      </c>
      <c r="E581" t="inlineStr">
        <is>
          <t>11434449706</t>
        </is>
      </c>
      <c r="F581" t="inlineStr">
        <is>
          <t>2026-03-30 13:18:30</t>
        </is>
      </c>
      <c r="G581" t="inlineStr">
        <is>
          <t>图文</t>
        </is>
      </c>
      <c r="H581" t="inlineStr">
        <is>
          <t>手剥虾仁 无冰衣无添加 低脂餐一人食 上班带饭 顺丰包邮 5盒装</t>
        </is>
      </c>
      <c r="I581" t="inlineStr">
        <is>
          <t>694baba01d450d00013662f0</t>
        </is>
      </c>
      <c r="J581" t="inlineStr">
        <is>
          <t/>
        </is>
      </c>
      <c r="K581" t="n">
        <v>0.0</v>
      </c>
      <c r="L581" t="n">
        <v>0.0</v>
      </c>
      <c r="M581" t="n">
        <v>1.0</v>
      </c>
      <c r="N581" t="inlineStr">
        <is>
          <t>0.16666666666666666</t>
        </is>
      </c>
      <c r="O581" t="n">
        <v>1.0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inlineStr">
        <is>
          <t/>
        </is>
      </c>
      <c r="X581" t="n">
        <v>0.0</v>
      </c>
      <c r="Y581" t="n">
        <v>0.0</v>
      </c>
      <c r="Z581" t="n">
        <v>1.0</v>
      </c>
      <c r="AA581" t="n">
        <v>0.0</v>
      </c>
      <c r="AB581" t="n">
        <v>0.0</v>
      </c>
      <c r="AC581" t="n">
        <v>0.0</v>
      </c>
      <c r="AD581" t="n">
        <v>6.0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15.333333333333334</v>
      </c>
      <c r="AL581" t="inlineStr">
        <is>
          <t/>
        </is>
      </c>
    </row>
    <row r="582">
      <c r="A582" t="inlineStr">
        <is>
          <t>听粉丝的话，推出了一人食小包装</t>
        </is>
      </c>
      <c r="B582" t="inlineStr">
        <is>
          <t>69c8e4730000000020038e80</t>
        </is>
      </c>
      <c r="C582" s="581" t="n">
        <f>HYPERLINK("https://www.xiaohongshu.com/explore/69c8e4730000000020038e80?xsec_token=TBSs0bsvi6YGXB042lLCz_JJbGGQ13yUistziy-MNcNZo=&amp;xsec_source=pc_trdark","https://www.xiaohongshu.com/explore/69c8e4730000000020038e80?xsec_token=TBSs0bsvi6YGXB042lLCz_JJbGGQ13yUistziy-MNcNZo=&amp;xsec_source=pc_trdark")</f>
        <v>0.0</v>
      </c>
      <c r="D582" t="inlineStr">
        <is>
          <t>婉婉上班吃什么</t>
        </is>
      </c>
      <c r="E582" t="inlineStr">
        <is>
          <t>11434449706</t>
        </is>
      </c>
      <c r="F582" t="inlineStr">
        <is>
          <t>2026-03-29 16:36:03</t>
        </is>
      </c>
      <c r="G582" t="inlineStr">
        <is>
          <t>图文</t>
        </is>
      </c>
      <c r="H582" t="inlineStr">
        <is>
          <t>手剥虾仁 无冰衣无添加 低脂餐一人食 上班带饭 顺丰包邮 5盒装</t>
        </is>
      </c>
      <c r="I582" t="inlineStr">
        <is>
          <t>694baba01d450d00013662f0</t>
        </is>
      </c>
      <c r="J582" t="inlineStr">
        <is>
          <t/>
        </is>
      </c>
      <c r="K582" t="n">
        <v>0.0</v>
      </c>
      <c r="L582" t="n">
        <v>0.0</v>
      </c>
      <c r="M582" t="n">
        <v>1.0</v>
      </c>
      <c r="N582" t="inlineStr">
        <is>
          <t>0.16666666666666666</t>
        </is>
      </c>
      <c r="O582" t="n">
        <v>1.0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inlineStr">
        <is>
          <t/>
        </is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6.0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7.333333333333333</v>
      </c>
      <c r="AL582" t="inlineStr">
        <is>
          <t/>
        </is>
      </c>
    </row>
    <row r="583">
      <c r="A583" t="inlineStr">
        <is>
          <t>原来长期吃这个虾仁会让人...</t>
        </is>
      </c>
      <c r="B583" t="inlineStr">
        <is>
          <t>69c34874000000001f005fa9</t>
        </is>
      </c>
      <c r="C583" s="582" t="n">
        <f>HYPERLINK("https://www.xiaohongshu.com/explore/69c34874000000001f005fa9?xsec_token=TBedSEQ7qtT06AlsylOAiUwx4UUTeAAgQYwvw-0lMHymU=&amp;xsec_source=pc_trdark","https://www.xiaohongshu.com/explore/69c34874000000001f005fa9?xsec_token=TBedSEQ7qtT06AlsylOAiUwx4UUTeAAgQYwvw-0lMHymU=&amp;xsec_source=pc_trdark")</f>
        <v>0.0</v>
      </c>
      <c r="D583" t="inlineStr">
        <is>
          <t>婉婉上班吃什么</t>
        </is>
      </c>
      <c r="E583" t="inlineStr">
        <is>
          <t>11434449706</t>
        </is>
      </c>
      <c r="F583" t="inlineStr">
        <is>
          <t>2026-03-25 10:29:08</t>
        </is>
      </c>
      <c r="G583" t="inlineStr">
        <is>
          <t>图文</t>
        </is>
      </c>
      <c r="H583" t="inlineStr">
        <is>
          <t>手剥虾仁 无冰衣无添加 低脂餐一人食 上班带饭 顺丰包邮 5盒装</t>
        </is>
      </c>
      <c r="I583" t="inlineStr">
        <is>
          <t>694baba01d450d00013662f0</t>
        </is>
      </c>
      <c r="J583" t="inlineStr">
        <is>
          <t/>
        </is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inlineStr">
        <is>
          <t/>
        </is>
      </c>
      <c r="R583" t="inlineStr">
        <is>
          <t/>
        </is>
      </c>
      <c r="S583" t="n">
        <v>0.0</v>
      </c>
      <c r="T583" t="n">
        <v>0.0</v>
      </c>
      <c r="U583" t="n">
        <v>0.0</v>
      </c>
      <c r="V583" t="n">
        <v>0.0</v>
      </c>
      <c r="W583" t="inlineStr">
        <is>
          <t/>
        </is>
      </c>
      <c r="X583" t="n">
        <v>0.0</v>
      </c>
      <c r="Y583" t="n">
        <v>0.0</v>
      </c>
      <c r="Z583" t="n">
        <v>1.0</v>
      </c>
      <c r="AA583" t="n">
        <v>0.0</v>
      </c>
      <c r="AB583" t="n">
        <v>0.0</v>
      </c>
      <c r="AC583" t="n">
        <v>0.0</v>
      </c>
      <c r="AD583" t="n">
        <v>6.0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9.833333333333334</v>
      </c>
      <c r="AL583" t="inlineStr">
        <is>
          <t/>
        </is>
      </c>
    </row>
    <row r="584">
      <c r="A584" t="inlineStr">
        <is>
          <t>因为我一个人，带动了办公室…</t>
        </is>
      </c>
      <c r="B584" t="inlineStr">
        <is>
          <t>69c10ac5000000002301d11c</t>
        </is>
      </c>
      <c r="C584" s="583" t="n">
        <f>HYPERLINK("https://www.xiaohongshu.com/explore/69c10ac5000000002301d11c?xsec_token=TBltfkQyXS0u_Ko7SgIzuBYjxWKFk1iLojPrukKWTjTL0=&amp;xsec_source=pc_trdark","https://www.xiaohongshu.com/explore/69c10ac5000000002301d11c?xsec_token=TBltfkQyXS0u_Ko7SgIzuBYjxWKFk1iLojPrukKWTjTL0=&amp;xsec_source=pc_trdark")</f>
        <v>0.0</v>
      </c>
      <c r="D584" t="inlineStr">
        <is>
          <t>菲菲上班吃什么</t>
        </is>
      </c>
      <c r="E584" t="inlineStr">
        <is>
          <t>49936530607</t>
        </is>
      </c>
      <c r="F584" t="inlineStr">
        <is>
          <t>2026-03-23 17:41:25</t>
        </is>
      </c>
      <c r="G584" t="inlineStr">
        <is>
          <t>图文</t>
        </is>
      </c>
      <c r="H584" t="inlineStr">
        <is>
          <t>手剥虾仁 无冰衣无添加 低脂餐一人食 上班带饭 顺丰包邮 5盒装</t>
        </is>
      </c>
      <c r="I584" t="inlineStr">
        <is>
          <t>694baba01d450d00013662f0</t>
        </is>
      </c>
      <c r="J584" t="inlineStr">
        <is>
          <t/>
        </is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inlineStr">
        <is>
          <t/>
        </is>
      </c>
      <c r="R584" t="inlineStr">
        <is>
          <t/>
        </is>
      </c>
      <c r="S584" t="n">
        <v>0.0</v>
      </c>
      <c r="T584" t="n">
        <v>0.0</v>
      </c>
      <c r="U584" t="n">
        <v>0.0</v>
      </c>
      <c r="V584" t="n">
        <v>0.0</v>
      </c>
      <c r="W584" t="inlineStr">
        <is>
          <t/>
        </is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6.0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7.0</v>
      </c>
      <c r="AL584" t="inlineStr">
        <is>
          <t/>
        </is>
      </c>
    </row>
    <row r="585">
      <c r="A585" t="inlineStr">
        <is>
          <t>还有比虾仁更方便的控体餐吗</t>
        </is>
      </c>
      <c r="B585" t="inlineStr">
        <is>
          <t>69bd1e3100000000230070c8</t>
        </is>
      </c>
      <c r="C585" s="584" t="n">
        <f>HYPERLINK("https://www.xiaohongshu.com/explore/69bd1e3100000000230070c8?xsec_token=TBRwbx0S6Y78qN5wWC1_PyBAZV8Dj-mNhqLW3xnLouRlw=&amp;xsec_source=pc_trdark","https://www.xiaohongshu.com/explore/69bd1e3100000000230070c8?xsec_token=TBRwbx0S6Y78qN5wWC1_PyBAZV8Dj-mNhqLW3xnLouRlw=&amp;xsec_source=pc_trdark")</f>
        <v>0.0</v>
      </c>
      <c r="D585" t="inlineStr">
        <is>
          <t>鲜水湾</t>
        </is>
      </c>
      <c r="E585" t="inlineStr">
        <is>
          <t>49316638994</t>
        </is>
      </c>
      <c r="F585" t="inlineStr">
        <is>
          <t>2026-03-20 18:15:13</t>
        </is>
      </c>
      <c r="G585" t="inlineStr">
        <is>
          <t>图文</t>
        </is>
      </c>
      <c r="H585" t="inlineStr">
        <is>
          <t>手剥虾仁 无冰衣无添加 低脂餐一人食 上班带饭 顺丰包邮 5盒装</t>
        </is>
      </c>
      <c r="I585" t="inlineStr">
        <is>
          <t>694baba01d450d00013662f0</t>
        </is>
      </c>
      <c r="J585" t="inlineStr">
        <is>
          <t/>
        </is>
      </c>
      <c r="K585" t="n">
        <v>0.0</v>
      </c>
      <c r="L585" t="n">
        <v>0.0</v>
      </c>
      <c r="M585" t="n">
        <v>2.0</v>
      </c>
      <c r="N585" t="n">
        <v>0.3333333333333333</v>
      </c>
      <c r="O585" t="n">
        <v>2.0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inlineStr">
        <is>
          <t/>
        </is>
      </c>
      <c r="X585" t="n">
        <v>0.0</v>
      </c>
      <c r="Y585" t="n">
        <v>1.0</v>
      </c>
      <c r="Z585" t="n">
        <v>0.0</v>
      </c>
      <c r="AA585" t="n">
        <v>0.0</v>
      </c>
      <c r="AB585" t="n">
        <v>0.0</v>
      </c>
      <c r="AC585" t="n">
        <v>0.0</v>
      </c>
      <c r="AD585" t="n">
        <v>6.0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n">
        <v>8.5</v>
      </c>
      <c r="AL585" t="inlineStr">
        <is>
          <t/>
        </is>
      </c>
    </row>
    <row r="586">
      <c r="A586" t="inlineStr">
        <is>
          <t>没人觉得控体人上班带饭跟省钱吗？</t>
        </is>
      </c>
      <c r="B586" t="inlineStr">
        <is>
          <t>69bcbb300000000022027560</t>
        </is>
      </c>
      <c r="C586" s="585" t="n">
        <f>HYPERLINK("https://www.xiaohongshu.com/explore/69bcbb300000000022027560?xsec_token=TBfIJFVzszocpn5U7ogutYTfGcnlzgFXMFpLWIFi325DA=&amp;xsec_source=pc_trdark","https://www.xiaohongshu.com/explore/69bcbb300000000022027560?xsec_token=TBfIJFVzszocpn5U7ogutYTfGcnlzgFXMFpLWIFi325DA=&amp;xsec_source=pc_trdark")</f>
        <v>0.0</v>
      </c>
      <c r="D586" t="inlineStr">
        <is>
          <t>菲菲上班吃什么</t>
        </is>
      </c>
      <c r="E586" t="inlineStr">
        <is>
          <t>49936530607</t>
        </is>
      </c>
      <c r="F586" t="inlineStr">
        <is>
          <t>2026-03-20 11:12:48</t>
        </is>
      </c>
      <c r="G586" t="inlineStr">
        <is>
          <t>图文</t>
        </is>
      </c>
      <c r="H586" t="inlineStr">
        <is>
          <t>手剥虾仁 无冰衣无添加 低脂餐一人食 上班带饭 顺丰包邮 5盒装</t>
        </is>
      </c>
      <c r="I586" t="inlineStr">
        <is>
          <t>694baba01d450d00013662f0</t>
        </is>
      </c>
      <c r="J586" t="inlineStr">
        <is>
          <t/>
        </is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inlineStr">
        <is>
          <t/>
        </is>
      </c>
      <c r="R586" t="inlineStr">
        <is>
          <t/>
        </is>
      </c>
      <c r="S586" t="n">
        <v>0.0</v>
      </c>
      <c r="T586" t="n">
        <v>0.0</v>
      </c>
      <c r="U586" t="n">
        <v>0.0</v>
      </c>
      <c r="V586" t="n">
        <v>0.0</v>
      </c>
      <c r="W586" t="inlineStr">
        <is>
          <t/>
        </is>
      </c>
      <c r="X586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6.0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n">
        <v>6.666666666666667</v>
      </c>
      <c r="AL586" t="inlineStr">
        <is>
          <t/>
        </is>
      </c>
    </row>
    <row r="587">
      <c r="A587" t="inlineStr">
        <is>
          <t>某姆对不起，我移情这个一人食大虾仁了！🍤</t>
        </is>
      </c>
      <c r="B587" t="inlineStr">
        <is>
          <t>69bbe546000000001f0000ea</t>
        </is>
      </c>
      <c r="C587" s="586" t="n">
        <f>HYPERLINK("https://www.xiaohongshu.com/explore/69bbe546000000001f0000ea?xsec_token=TBbjiHoA30T3IRnkbtYIm1O-OLltaFji99JgmbCIl7rZU=&amp;xsec_source=pc_trdark","https://www.xiaohongshu.com/explore/69bbe546000000001f0000ea?xsec_token=TBbjiHoA30T3IRnkbtYIm1O-OLltaFji99JgmbCIl7rZU=&amp;xsec_source=pc_trdark")</f>
        <v>0.0</v>
      </c>
      <c r="D587" t="inlineStr">
        <is>
          <t>鲜水湾</t>
        </is>
      </c>
      <c r="E587" t="inlineStr">
        <is>
          <t>49316638994</t>
        </is>
      </c>
      <c r="F587" t="inlineStr">
        <is>
          <t>2026-03-19 20:00:06</t>
        </is>
      </c>
      <c r="G587" t="inlineStr">
        <is>
          <t>图文</t>
        </is>
      </c>
      <c r="H587" t="inlineStr">
        <is>
          <t>手剥虾仁 无冰衣无添加 低脂餐一人食 上班带饭 顺丰包邮 5盒装</t>
        </is>
      </c>
      <c r="I587" t="inlineStr">
        <is>
          <t>694baba01d450d00013662f0</t>
        </is>
      </c>
      <c r="J587" t="inlineStr">
        <is>
          <t/>
        </is>
      </c>
      <c r="K587" t="n">
        <v>0.0</v>
      </c>
      <c r="L587" t="n">
        <v>0.0</v>
      </c>
      <c r="M587" t="n">
        <v>1.0</v>
      </c>
      <c r="N587" t="inlineStr">
        <is>
          <t>0.16666666666666666</t>
        </is>
      </c>
      <c r="O587" t="n">
        <v>1.0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inlineStr">
        <is>
          <t/>
        </is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6.0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n">
        <v>2.8333333333333335</v>
      </c>
      <c r="AL587" t="inlineStr">
        <is>
          <t/>
        </is>
      </c>
    </row>
    <row r="588">
      <c r="A588" t="inlineStr">
        <is>
          <t>春日减脂，区区69块够我吃一周了</t>
        </is>
      </c>
      <c r="B588" t="inlineStr">
        <is>
          <t>69ba7578000000001f002c39</t>
        </is>
      </c>
      <c r="C588" s="587" t="n">
        <f>HYPERLINK("https://www.xiaohongshu.com/explore/69ba7578000000001f002c39?xsec_token=TBgJVNruMKjnZKfHBYiZtZCY9CC4nsdsGps32PrUEX_ic=&amp;xsec_source=pc_trdark","https://www.xiaohongshu.com/explore/69ba7578000000001f002c39?xsec_token=TBgJVNruMKjnZKfHBYiZtZCY9CC4nsdsGps32PrUEX_ic=&amp;xsec_source=pc_trdark")</f>
        <v>0.0</v>
      </c>
      <c r="D588" t="inlineStr">
        <is>
          <t>婉婉上班吃什么</t>
        </is>
      </c>
      <c r="E588" t="inlineStr">
        <is>
          <t>11434449706</t>
        </is>
      </c>
      <c r="F588" t="inlineStr">
        <is>
          <t>2026-03-18 17:50:48</t>
        </is>
      </c>
      <c r="G588" t="inlineStr">
        <is>
          <t>图文</t>
        </is>
      </c>
      <c r="H588" t="inlineStr">
        <is>
          <t>手剥虾仁 无冰衣无添加 低脂餐一人食 上班带饭 顺丰包邮 5盒装</t>
        </is>
      </c>
      <c r="I588" t="inlineStr">
        <is>
          <t>694baba01d450d00013662f0</t>
        </is>
      </c>
      <c r="J588" t="inlineStr">
        <is>
          <t/>
        </is>
      </c>
      <c r="K588" t="n">
        <v>0.0</v>
      </c>
      <c r="L588" t="n">
        <v>0.0</v>
      </c>
      <c r="M588" t="n">
        <v>2.0</v>
      </c>
      <c r="N588" t="n">
        <v>0.3333333333333333</v>
      </c>
      <c r="O588" t="n">
        <v>2.0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inlineStr">
        <is>
          <t/>
        </is>
      </c>
      <c r="X588" t="n">
        <v>0.0</v>
      </c>
      <c r="Y588" t="n">
        <v>0.0</v>
      </c>
      <c r="Z588" t="n">
        <v>1.0</v>
      </c>
      <c r="AA588" t="n">
        <v>0.0</v>
      </c>
      <c r="AB588" t="n">
        <v>0.0</v>
      </c>
      <c r="AC588" t="n">
        <v>0.0</v>
      </c>
      <c r="AD588" t="n">
        <v>6.0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n">
        <v>8.5</v>
      </c>
      <c r="AL588" t="inlineStr">
        <is>
          <t/>
        </is>
      </c>
    </row>
    <row r="589">
      <c r="A589" t="inlineStr">
        <is>
          <t>真的低估了100来块的购买力，够我吃一周了</t>
        </is>
      </c>
      <c r="B589" t="inlineStr">
        <is>
          <t>69b8b8120000000028008e86</t>
        </is>
      </c>
      <c r="C589" s="588" t="n">
        <f>HYPERLINK("https://www.xiaohongshu.com/explore/69b8b8120000000028008e86?xsec_token=TBfbAEHpo8FSFeopDu7XYUioMTvwdlatWBttBE2SHNgR0=&amp;xsec_source=pc_trdark","https://www.xiaohongshu.com/explore/69b8b8120000000028008e86?xsec_token=TBfbAEHpo8FSFeopDu7XYUioMTvwdlatWBttBE2SHNgR0=&amp;xsec_source=pc_trdark")</f>
        <v>0.0</v>
      </c>
      <c r="D589" t="inlineStr">
        <is>
          <t>鲜水湾</t>
        </is>
      </c>
      <c r="E589" t="inlineStr">
        <is>
          <t>49316638994</t>
        </is>
      </c>
      <c r="F589" t="inlineStr">
        <is>
          <t>2026-03-17 10:10:26</t>
        </is>
      </c>
      <c r="G589" t="inlineStr">
        <is>
          <t>图文</t>
        </is>
      </c>
      <c r="H589" t="inlineStr">
        <is>
          <t>手剥虾仁 无冰衣无添加 低脂餐一人食 上班带饭 顺丰包邮 5盒装</t>
        </is>
      </c>
      <c r="I589" t="inlineStr">
        <is>
          <t>694baba01d450d00013662f0</t>
        </is>
      </c>
      <c r="J589" t="inlineStr">
        <is>
          <t/>
        </is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inlineStr">
        <is>
          <t/>
        </is>
      </c>
      <c r="R589" t="inlineStr">
        <is>
          <t/>
        </is>
      </c>
      <c r="S589" t="n">
        <v>0.0</v>
      </c>
      <c r="T589" t="n">
        <v>0.0</v>
      </c>
      <c r="U589" t="n">
        <v>0.0</v>
      </c>
      <c r="V589" t="n">
        <v>0.0</v>
      </c>
      <c r="W589" t="inlineStr">
        <is>
          <t/>
        </is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6.0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8.333333333333334</v>
      </c>
      <c r="AL589" t="inlineStr">
        <is>
          <t/>
        </is>
      </c>
    </row>
    <row r="590">
      <c r="A590" t="inlineStr">
        <is>
          <t>别乱囤了！69元搞定一周轻食餐🍤</t>
        </is>
      </c>
      <c r="B590" t="inlineStr">
        <is>
          <t>69b6d18d0000000023006acc</t>
        </is>
      </c>
      <c r="C590" s="589" t="n">
        <f>HYPERLINK("https://www.xiaohongshu.com/explore/69b6d18d0000000023006acc?xsec_token=TBwpaEqA4ODk9qkUKPtwfpqVRd0f1lwHQZ9DK_GJu38kw=&amp;xsec_source=pc_trdark","https://www.xiaohongshu.com/explore/69b6d18d0000000023006acc?xsec_token=TBwpaEqA4ODk9qkUKPtwfpqVRd0f1lwHQZ9DK_GJu38kw=&amp;xsec_source=pc_trdark")</f>
        <v>0.0</v>
      </c>
      <c r="D590" t="inlineStr">
        <is>
          <t>婉婉上班吃什么</t>
        </is>
      </c>
      <c r="E590" t="inlineStr">
        <is>
          <t>11434449706</t>
        </is>
      </c>
      <c r="F590" t="inlineStr">
        <is>
          <t>2026-03-15 23:34:37</t>
        </is>
      </c>
      <c r="G590" t="inlineStr">
        <is>
          <t>图文</t>
        </is>
      </c>
      <c r="H590" t="inlineStr">
        <is>
          <t>手剥虾仁 无冰衣无添加 低脂餐一人食 上班带饭 顺丰包邮 5盒装</t>
        </is>
      </c>
      <c r="I590" t="inlineStr">
        <is>
          <t>694baba01d450d00013662f0</t>
        </is>
      </c>
      <c r="J590" t="inlineStr">
        <is>
          <t/>
        </is>
      </c>
      <c r="K590" t="n">
        <v>0.0</v>
      </c>
      <c r="L590" t="n">
        <v>0.0</v>
      </c>
      <c r="M590" t="n">
        <v>2.0</v>
      </c>
      <c r="N590" t="n">
        <v>0.3333333333333333</v>
      </c>
      <c r="O590" t="n">
        <v>2.0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inlineStr">
        <is>
          <t/>
        </is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6.0</v>
      </c>
      <c r="AE590" t="n">
        <v>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24.666666666666668</v>
      </c>
      <c r="AL590" t="inlineStr">
        <is>
          <t/>
        </is>
      </c>
    </row>
    <row r="591">
      <c r="A591" t="inlineStr">
        <is>
          <t>第一次直观感受到69块的威力</t>
        </is>
      </c>
      <c r="B591" t="inlineStr">
        <is>
          <t>69b502ed00000000220262e6</t>
        </is>
      </c>
      <c r="C591" s="590" t="n">
        <f>HYPERLINK("https://www.xiaohongshu.com/explore/69b502ed00000000220262e6?xsec_token=TBYgTJ9EzKmyKny4Vfc-tHE2mSMp89o7u8rbprTJLD-IY=&amp;xsec_source=pc_trdark","https://www.xiaohongshu.com/explore/69b502ed00000000220262e6?xsec_token=TBYgTJ9EzKmyKny4Vfc-tHE2mSMp89o7u8rbprTJLD-IY=&amp;xsec_source=pc_trdark")</f>
        <v>0.0</v>
      </c>
      <c r="D591" t="inlineStr">
        <is>
          <t>婉婉上班吃什么</t>
        </is>
      </c>
      <c r="E591" t="inlineStr">
        <is>
          <t>11434449706</t>
        </is>
      </c>
      <c r="F591" t="inlineStr">
        <is>
          <t>2026-03-14 14:40:45</t>
        </is>
      </c>
      <c r="G591" t="inlineStr">
        <is>
          <t>图文</t>
        </is>
      </c>
      <c r="H591" t="inlineStr">
        <is>
          <t>手剥虾仁 无冰衣无添加 低脂餐一人食 上班带饭 顺丰包邮 5盒装</t>
        </is>
      </c>
      <c r="I591" t="inlineStr">
        <is>
          <t>694baba01d450d00013662f0</t>
        </is>
      </c>
      <c r="J591" t="inlineStr">
        <is>
          <t/>
        </is>
      </c>
      <c r="K591" t="n">
        <v>0.0</v>
      </c>
      <c r="L591" t="n">
        <v>0.0</v>
      </c>
      <c r="M591" t="n">
        <v>3.0</v>
      </c>
      <c r="N591" t="n">
        <v>0.5</v>
      </c>
      <c r="O591" t="n">
        <v>3.0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inlineStr">
        <is>
          <t/>
        </is>
      </c>
      <c r="X591" t="n">
        <v>0.0</v>
      </c>
      <c r="Y591" t="n">
        <v>2.0</v>
      </c>
      <c r="Z591" t="n">
        <v>0.0</v>
      </c>
      <c r="AA591" t="n">
        <v>0.0</v>
      </c>
      <c r="AB591" t="n">
        <v>0.0</v>
      </c>
      <c r="AC591" t="n">
        <v>0.0</v>
      </c>
      <c r="AD591" t="n">
        <v>6.0</v>
      </c>
      <c r="AE591" t="n">
        <v>0.0</v>
      </c>
      <c r="AF591" t="n">
        <v>1.0</v>
      </c>
      <c r="AG591" t="n">
        <v>0.0</v>
      </c>
      <c r="AH591" t="n">
        <v>0.0</v>
      </c>
      <c r="AI591" t="n">
        <v>0.0</v>
      </c>
      <c r="AJ591" t="n">
        <v>0.0</v>
      </c>
      <c r="AK591" t="n">
        <v>25.0</v>
      </c>
      <c r="AL591" t="inlineStr">
        <is>
          <t/>
        </is>
      </c>
    </row>
    <row r="592">
      <c r="A592" t="inlineStr">
        <is>
          <t>轻食界最严厉的母亲…🤫</t>
        </is>
      </c>
      <c r="B592" t="inlineStr">
        <is>
          <t>69b39fe2000000001b0214eb</t>
        </is>
      </c>
      <c r="C592" s="591" t="n">
        <f>HYPERLINK("https://www.xiaohongshu.com/explore/69b39fe2000000001b0214eb?xsec_token=TBu1W-q9yR_0LoYiUu9p9bD6L-4Ejd4gHo40QBYKa6qdw=&amp;xsec_source=pc_trdark","https://www.xiaohongshu.com/explore/69b39fe2000000001b0214eb?xsec_token=TBu1W-q9yR_0LoYiUu9p9bD6L-4Ejd4gHo40QBYKa6qdw=&amp;xsec_source=pc_trdark")</f>
        <v>0.0</v>
      </c>
      <c r="D592" t="inlineStr">
        <is>
          <t>婉婉上班吃什么</t>
        </is>
      </c>
      <c r="E592" t="inlineStr">
        <is>
          <t>11434449706</t>
        </is>
      </c>
      <c r="F592" t="inlineStr">
        <is>
          <t>2026-03-13 13:25:54</t>
        </is>
      </c>
      <c r="G592" t="inlineStr">
        <is>
          <t>图文</t>
        </is>
      </c>
      <c r="H592" t="inlineStr">
        <is>
          <t>手剥虾仁 无冰衣无添加 低脂餐一人食 上班带饭 顺丰包邮 5盒装</t>
        </is>
      </c>
      <c r="I592" t="inlineStr">
        <is>
          <t>694baba01d450d00013662f0</t>
        </is>
      </c>
      <c r="J592" t="inlineStr">
        <is>
          <t/>
        </is>
      </c>
      <c r="K592" t="n">
        <v>0.0</v>
      </c>
      <c r="L592" t="n">
        <v>0.0</v>
      </c>
      <c r="M592" t="n">
        <v>1.0</v>
      </c>
      <c r="N592" t="inlineStr">
        <is>
          <t>0.16666666666666666</t>
        </is>
      </c>
      <c r="O592" t="n">
        <v>1.0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inlineStr">
        <is>
          <t/>
        </is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6.0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n">
        <v>16.166666666666668</v>
      </c>
      <c r="AL592" t="inlineStr">
        <is>
          <t/>
        </is>
      </c>
    </row>
    <row r="593">
      <c r="A593" t="inlineStr">
        <is>
          <t>不啰嗦了，60来块一大盒</t>
        </is>
      </c>
      <c r="B593" t="inlineStr">
        <is>
          <t>69a940ca000000001a031ed2</t>
        </is>
      </c>
      <c r="C593" s="592" t="n">
        <f>HYPERLINK("https://www.xiaohongshu.com/explore/69a940ca000000001a031ed2?xsec_token=TBX1UPru9xmrqAy_hfS76Tmu1a6mu6QY0alJQS8yVmtpI=&amp;xsec_source=pc_trdark","https://www.xiaohongshu.com/explore/69a940ca000000001a031ed2?xsec_token=TBX1UPru9xmrqAy_hfS76Tmu1a6mu6QY0alJQS8yVmtpI=&amp;xsec_source=pc_trdark")</f>
        <v>0.0</v>
      </c>
      <c r="D593" t="inlineStr">
        <is>
          <t>鲜水湾</t>
        </is>
      </c>
      <c r="E593" t="inlineStr">
        <is>
          <t>49316638994</t>
        </is>
      </c>
      <c r="F593" t="inlineStr">
        <is>
          <t>2026-03-05 16:37:30</t>
        </is>
      </c>
      <c r="G593" t="inlineStr">
        <is>
          <t>图文</t>
        </is>
      </c>
      <c r="H593" t="inlineStr">
        <is>
          <t>大虾基围虾王牌大虾厄瓜多尔白虾盐冻虾仁海洋大虾送礼顺丰包邮</t>
        </is>
      </c>
      <c r="I593" t="inlineStr">
        <is>
          <t>690aeb7be379430001e686ac</t>
        </is>
      </c>
      <c r="J593" t="inlineStr">
        <is>
          <t/>
        </is>
      </c>
      <c r="K593" t="n">
        <v>0.0</v>
      </c>
      <c r="L593" t="n">
        <v>0.0</v>
      </c>
      <c r="M593" t="n">
        <v>1.0</v>
      </c>
      <c r="N593" t="inlineStr">
        <is>
          <t>0.16666666666666666</t>
        </is>
      </c>
      <c r="O593" t="n">
        <v>1.0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inlineStr">
        <is>
          <t/>
        </is>
      </c>
      <c r="X593" t="n">
        <v>0.0</v>
      </c>
      <c r="Y593" t="n">
        <v>0.0</v>
      </c>
      <c r="Z593" t="n">
        <v>1.0</v>
      </c>
      <c r="AA593" t="n">
        <v>0.0</v>
      </c>
      <c r="AB593" t="n">
        <v>0.0</v>
      </c>
      <c r="AC593" t="n">
        <v>0.0</v>
      </c>
      <c r="AD593" t="n">
        <v>6.0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6.5</v>
      </c>
      <c r="AL593" t="inlineStr">
        <is>
          <t/>
        </is>
      </c>
    </row>
    <row r="594">
      <c r="A594" t="inlineStr">
        <is>
          <t>我也不想抢超市生意，可线下真买不到这价</t>
        </is>
      </c>
      <c r="B594" t="inlineStr">
        <is>
          <t>69a6afc4000000001a0237ed</t>
        </is>
      </c>
      <c r="C594" s="593" t="n">
        <f>HYPERLINK("https://www.xiaohongshu.com/explore/69a6afc4000000001a0237ed?xsec_token=TBDC5ayGxbZoC8jUhTnn-Nf1gfmvPKKXPBz898O7VmQys=&amp;xsec_source=pc_trdark","https://www.xiaohongshu.com/explore/69a6afc4000000001a0237ed?xsec_token=TBDC5ayGxbZoC8jUhTnn-Nf1gfmvPKKXPBz898O7VmQys=&amp;xsec_source=pc_trdark")</f>
        <v>0.0</v>
      </c>
      <c r="D594" t="inlineStr">
        <is>
          <t>鲜水湾</t>
        </is>
      </c>
      <c r="E594" t="inlineStr">
        <is>
          <t>49316638994</t>
        </is>
      </c>
      <c r="F594" t="inlineStr">
        <is>
          <t>2026-03-03 17:54:12</t>
        </is>
      </c>
      <c r="G594" t="inlineStr">
        <is>
          <t>图文</t>
        </is>
      </c>
      <c r="H594" t="inlineStr">
        <is>
          <t>大虾基围虾王牌大虾厄瓜多尔白虾盐冻虾仁海洋大虾送礼顺丰包邮</t>
        </is>
      </c>
      <c r="I594" t="inlineStr">
        <is>
          <t>690aeb7be379430001e686ac</t>
        </is>
      </c>
      <c r="J594" t="inlineStr">
        <is>
          <t/>
        </is>
      </c>
      <c r="K594" t="n">
        <v>0.0</v>
      </c>
      <c r="L594" t="n">
        <v>0.0</v>
      </c>
      <c r="M594" t="n">
        <v>5.0</v>
      </c>
      <c r="N594" t="n">
        <v>0.8333333333333334</v>
      </c>
      <c r="O594" t="n">
        <v>3.0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inlineStr">
        <is>
          <t/>
        </is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6.0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7.166666666666667</v>
      </c>
      <c r="AL594" t="inlineStr">
        <is>
          <t/>
        </is>
      </c>
    </row>
    <row r="595">
      <c r="A595" t="inlineStr">
        <is>
          <t>快递半个月就停运了😭错过只能明年再吃了</t>
        </is>
      </c>
      <c r="B595" t="inlineStr">
        <is>
          <t>696d9286000000000a02ae67</t>
        </is>
      </c>
      <c r="C595" s="594" t="n">
        <f>HYPERLINK("https://www.xiaohongshu.com/explore/696d9286000000000a02ae67?xsec_token=TBhBdCGGh1NnVPomuS6-J4HwqZdNVzfvYi4-dz_chPrGM=&amp;xsec_source=pc_trdark","https://www.xiaohongshu.com/explore/696d9286000000000a02ae67?xsec_token=TBhBdCGGh1NnVPomuS6-J4HwqZdNVzfvYi4-dz_chPrGM=&amp;xsec_source=pc_trdark")</f>
        <v>0.0</v>
      </c>
      <c r="D595" t="inlineStr">
        <is>
          <t>鲜水湾甄选</t>
        </is>
      </c>
      <c r="E595" t="inlineStr">
        <is>
          <t>27401929161</t>
        </is>
      </c>
      <c r="F595" t="inlineStr">
        <is>
          <t>2026-01-19 12:10:00</t>
        </is>
      </c>
      <c r="G595" t="inlineStr">
        <is>
          <t>视频</t>
        </is>
      </c>
      <c r="H595" t="inlineStr">
        <is>
          <t>北极甜虾头籽甜虾元宝虾北极熊冰虾孕妈妈宝宝辅食顺丰</t>
        </is>
      </c>
      <c r="I595" t="inlineStr">
        <is>
          <t>6953717eb8f0bb000115158d</t>
        </is>
      </c>
      <c r="J595" t="n">
        <v>39.0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inlineStr">
        <is>
          <t/>
        </is>
      </c>
      <c r="R595" t="inlineStr">
        <is>
          <t/>
        </is>
      </c>
      <c r="S595" t="n">
        <v>0.0</v>
      </c>
      <c r="T595" t="n">
        <v>0.0</v>
      </c>
      <c r="U595" t="n">
        <v>0.0</v>
      </c>
      <c r="V595" t="n">
        <v>0.0</v>
      </c>
      <c r="W595" t="inlineStr">
        <is>
          <t/>
        </is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6.0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5.833333333333333</v>
      </c>
      <c r="AL595" t="n">
        <v>0.0</v>
      </c>
    </row>
    <row r="596">
      <c r="A596" t="inlineStr">
        <is>
          <t>男朋友过了30岁一定要狠狠吃生蚝🦪</t>
        </is>
      </c>
      <c r="B596" t="inlineStr">
        <is>
          <t>694df88b000000001e0268bb</t>
        </is>
      </c>
      <c r="C596" s="595" t="n">
        <f>HYPERLINK("https://www.xiaohongshu.com/explore/694df88b000000001e0268bb?xsec_token=TBtwDoStOWWrqIzqfvN9e2OYyToUoER25h8rN7gSce8D8=&amp;xsec_source=pc_trdark","https://www.xiaohongshu.com/explore/694df88b000000001e0268bb?xsec_token=TBtwDoStOWWrqIzqfvN9e2OYyToUoER25h8rN7gSce8D8=&amp;xsec_source=pc_trdark")</f>
        <v>0.0</v>
      </c>
      <c r="D596" t="inlineStr">
        <is>
          <t>鲜水湾</t>
        </is>
      </c>
      <c r="E596" t="inlineStr">
        <is>
          <t>49316638994</t>
        </is>
      </c>
      <c r="F596" t="inlineStr">
        <is>
          <t>2025-12-26 10:52:59</t>
        </is>
      </c>
      <c r="G596" t="inlineStr">
        <is>
          <t>图文</t>
        </is>
      </c>
      <c r="H596" t="inlineStr">
        <is>
          <t>生蚝乳山生蚝海蛎子顺丰包邮</t>
        </is>
      </c>
      <c r="I596" t="inlineStr">
        <is>
          <t>690c70971b787900010866cc</t>
        </is>
      </c>
      <c r="J596" t="inlineStr">
        <is>
          <t/>
        </is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inlineStr">
        <is>
          <t/>
        </is>
      </c>
      <c r="R596" t="inlineStr">
        <is>
          <t/>
        </is>
      </c>
      <c r="S596" t="n">
        <v>0.0</v>
      </c>
      <c r="T596" t="n">
        <v>0.0</v>
      </c>
      <c r="U596" t="n">
        <v>0.0</v>
      </c>
      <c r="V596" t="n">
        <v>0.0</v>
      </c>
      <c r="W596" t="inlineStr">
        <is>
          <t/>
        </is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6.0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4.666666666666667</v>
      </c>
      <c r="AL596" t="inlineStr">
        <is>
          <t/>
        </is>
      </c>
    </row>
    <row r="597">
      <c r="A597" t="inlineStr">
        <is>
          <t>建议12月狠狠吃生蚝，40+一箱的生蚝真好吃</t>
        </is>
      </c>
      <c r="B597" t="inlineStr">
        <is>
          <t>693cce7e000000001e03b55b</t>
        </is>
      </c>
      <c r="C597" s="596" t="n">
        <f>HYPERLINK("https://www.xiaohongshu.com/explore/693cce7e000000001e03b55b?xsec_token=TBby_8TUlAJfj-jHsmZvLUDY0L7dhLBoa4eNU39m3lyug=&amp;xsec_source=pc_trdark","https://www.xiaohongshu.com/explore/693cce7e000000001e03b55b?xsec_token=TBby_8TUlAJfj-jHsmZvLUDY0L7dhLBoa4eNU39m3lyug=&amp;xsec_source=pc_trdark")</f>
        <v>0.0</v>
      </c>
      <c r="D597" t="inlineStr">
        <is>
          <t>婉婉上班吃什么</t>
        </is>
      </c>
      <c r="E597" t="inlineStr">
        <is>
          <t>11434449706</t>
        </is>
      </c>
      <c r="F597" t="inlineStr">
        <is>
          <t>2025-12-13 10:25:02</t>
        </is>
      </c>
      <c r="G597" t="inlineStr">
        <is>
          <t>视频</t>
        </is>
      </c>
      <c r="H597" t="inlineStr">
        <is>
          <t>生蚝乳山生蚝海蛎子顺丰包邮</t>
        </is>
      </c>
      <c r="I597" t="inlineStr">
        <is>
          <t>690c70971b787900010866cc</t>
        </is>
      </c>
      <c r="J597" t="n">
        <v>26.0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inlineStr">
        <is>
          <t/>
        </is>
      </c>
      <c r="R597" t="inlineStr">
        <is>
          <t/>
        </is>
      </c>
      <c r="S597" t="n">
        <v>0.0</v>
      </c>
      <c r="T597" t="n">
        <v>0.0</v>
      </c>
      <c r="U597" t="n">
        <v>0.0</v>
      </c>
      <c r="V597" t="n">
        <v>0.0</v>
      </c>
      <c r="W597" t="inlineStr">
        <is>
          <t/>
        </is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6.0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n">
        <v>2.8333333333333335</v>
      </c>
      <c r="AL597" t="n">
        <v>0.0</v>
      </c>
    </row>
    <row r="598">
      <c r="A598" t="inlineStr">
        <is>
          <t>我宣布这是管理期解馋天花板！</t>
        </is>
      </c>
      <c r="B598" t="inlineStr">
        <is>
          <t>69c8f5fd00000000220294cd</t>
        </is>
      </c>
      <c r="C598" s="597" t="n">
        <f>HYPERLINK("https://www.xiaohongshu.com/explore/69c8f5fd00000000220294cd?xsec_token=TBSs0bsvi6YGXB042lLCz_JEoPg41IHbFy4Jz0jglpGtk=&amp;xsec_source=pc_trdark","https://www.xiaohongshu.com/explore/69c8f5fd00000000220294cd?xsec_token=TBSs0bsvi6YGXB042lLCz_JEoPg41IHbFy4Jz0jglpGtk=&amp;xsec_source=pc_trdark")</f>
        <v>0.0</v>
      </c>
      <c r="D598" t="inlineStr">
        <is>
          <t>鲜水湾</t>
        </is>
      </c>
      <c r="E598" t="inlineStr">
        <is>
          <t>49316638994</t>
        </is>
      </c>
      <c r="F598" t="inlineStr">
        <is>
          <t>2026-03-29 17:50:53</t>
        </is>
      </c>
      <c r="G598" t="inlineStr">
        <is>
          <t>图文</t>
        </is>
      </c>
      <c r="H598" t="inlineStr">
        <is>
          <t>智利三文鱼切块·整条三文鱼·深海鱼一人食健康饮食</t>
        </is>
      </c>
      <c r="I598" t="inlineStr">
        <is>
          <t>691ac562a524ee0001b51d7b</t>
        </is>
      </c>
      <c r="J598" t="inlineStr">
        <is>
          <t/>
        </is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inlineStr">
        <is>
          <t/>
        </is>
      </c>
      <c r="R598" t="inlineStr">
        <is>
          <t/>
        </is>
      </c>
      <c r="S598" t="n">
        <v>0.0</v>
      </c>
      <c r="T598" t="n">
        <v>0.0</v>
      </c>
      <c r="U598" t="n">
        <v>0.0</v>
      </c>
      <c r="V598" t="n">
        <v>0.0</v>
      </c>
      <c r="W598" t="inlineStr">
        <is>
          <t/>
        </is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5.0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3.8</v>
      </c>
      <c r="AL598" t="inlineStr">
        <is>
          <t/>
        </is>
      </c>
    </row>
    <row r="599">
      <c r="A599" t="inlineStr">
        <is>
          <t>因为一个人，带动了全办公室</t>
        </is>
      </c>
      <c r="B599" t="inlineStr">
        <is>
          <t>69c8de3b000000002300420f</t>
        </is>
      </c>
      <c r="C599" s="598" t="n">
        <f>HYPERLINK("https://www.xiaohongshu.com/explore/69c8de3b000000002300420f?xsec_token=TBSs0bsvi6YGXB042lLCz_JFTTqblRfPNeM92tfhZ_fBs=&amp;xsec_source=pc_trdark","https://www.xiaohongshu.com/explore/69c8de3b000000002300420f?xsec_token=TBSs0bsvi6YGXB042lLCz_JFTTqblRfPNeM92tfhZ_fBs=&amp;xsec_source=pc_trdark")</f>
        <v>0.0</v>
      </c>
      <c r="D599" t="inlineStr">
        <is>
          <t>菲菲上班吃什么</t>
        </is>
      </c>
      <c r="E599" t="inlineStr">
        <is>
          <t>49936530607</t>
        </is>
      </c>
      <c r="F599" t="inlineStr">
        <is>
          <t>2026-03-29 16:09:31</t>
        </is>
      </c>
      <c r="G599" t="inlineStr">
        <is>
          <t>图文</t>
        </is>
      </c>
      <c r="H599" t="inlineStr">
        <is>
          <t>手剥虾仁 无冰衣无添加 低脂餐一人食 上班带饭 顺丰包邮 5盒装</t>
        </is>
      </c>
      <c r="I599" t="inlineStr">
        <is>
          <t>694baba01d450d00013662f0</t>
        </is>
      </c>
      <c r="J599" t="inlineStr">
        <is>
          <t/>
        </is>
      </c>
      <c r="K599" t="n">
        <v>69.0</v>
      </c>
      <c r="L599" t="n">
        <v>1.0</v>
      </c>
      <c r="M599" t="n">
        <v>2.0</v>
      </c>
      <c r="N599" t="n">
        <v>0.4</v>
      </c>
      <c r="O599" t="n">
        <v>2.0</v>
      </c>
      <c r="P599" t="n">
        <v>1.0</v>
      </c>
      <c r="Q599" t="n">
        <v>0.5</v>
      </c>
      <c r="R599" t="n">
        <v>0.5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5.0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13.6</v>
      </c>
      <c r="AL599" t="inlineStr">
        <is>
          <t/>
        </is>
      </c>
    </row>
    <row r="600">
      <c r="A600" t="inlineStr">
        <is>
          <t>无保水虾仁才是孕妈妈、宝宝辅食的首选</t>
        </is>
      </c>
      <c r="B600" t="inlineStr">
        <is>
          <t>69c8cd4e0000000022028710</t>
        </is>
      </c>
      <c r="C600" s="599" t="n">
        <f>HYPERLINK("https://www.xiaohongshu.com/explore/69c8cd4e0000000022028710?xsec_token=TBSs0bsvi6YGXB042lLCz_JLk-P_R2ttQQGAlg49okX5c=&amp;xsec_source=pc_trdark","https://www.xiaohongshu.com/explore/69c8cd4e0000000022028710?xsec_token=TBSs0bsvi6YGXB042lLCz_JLk-P_R2ttQQGAlg49okX5c=&amp;xsec_source=pc_trdark")</f>
        <v>0.0</v>
      </c>
      <c r="D600" t="inlineStr">
        <is>
          <t>鲜水湾</t>
        </is>
      </c>
      <c r="E600" t="inlineStr">
        <is>
          <t>49316638994</t>
        </is>
      </c>
      <c r="F600" t="inlineStr">
        <is>
          <t>2026-03-29 14:57:18</t>
        </is>
      </c>
      <c r="G600" t="inlineStr">
        <is>
          <t>图文</t>
        </is>
      </c>
      <c r="H600" t="inlineStr">
        <is>
          <t>手剥虾仁 无冰衣无添加 低脂餐一人食 上班带饭 顺丰包邮 5盒装</t>
        </is>
      </c>
      <c r="I600" t="inlineStr">
        <is>
          <t>694baba01d450d00013662f0</t>
        </is>
      </c>
      <c r="J600" t="inlineStr">
        <is>
          <t/>
        </is>
      </c>
      <c r="K600" t="n">
        <v>69.0</v>
      </c>
      <c r="L600" t="n">
        <v>1.0</v>
      </c>
      <c r="M600" t="n">
        <v>1.0</v>
      </c>
      <c r="N600" t="n">
        <v>0.2</v>
      </c>
      <c r="O600" t="n">
        <v>1.0</v>
      </c>
      <c r="P600" t="n">
        <v>1.0</v>
      </c>
      <c r="Q600" t="n">
        <v>1.0</v>
      </c>
      <c r="R600" t="n">
        <v>1.0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1.0</v>
      </c>
      <c r="AA600" t="n">
        <v>0.0</v>
      </c>
      <c r="AB600" t="n">
        <v>0.0</v>
      </c>
      <c r="AC600" t="n">
        <v>0.0</v>
      </c>
      <c r="AD600" t="n">
        <v>5.0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10.6</v>
      </c>
      <c r="AL600" t="inlineStr">
        <is>
          <t/>
        </is>
      </c>
    </row>
    <row r="601">
      <c r="A601" t="inlineStr">
        <is>
          <t>感谢315🙏让我家这种无添加的虾仁被看见</t>
        </is>
      </c>
      <c r="B601" t="inlineStr">
        <is>
          <t>69c163a4000000002300793e</t>
        </is>
      </c>
      <c r="C601" s="600" t="n">
        <f>HYPERLINK("https://www.xiaohongshu.com/explore/69c163a4000000002300793e?xsec_token=TBltfkQyXS0u_Ko7SgIzuBYqYPIbSZEWkSKdBNkQLpaDA=&amp;xsec_source=pc_trdark","https://www.xiaohongshu.com/explore/69c163a4000000002300793e?xsec_token=TBltfkQyXS0u_Ko7SgIzuBYqYPIbSZEWkSKdBNkQLpaDA=&amp;xsec_source=pc_trdark")</f>
        <v>0.0</v>
      </c>
      <c r="D601" t="inlineStr">
        <is>
          <t>鲜水湾</t>
        </is>
      </c>
      <c r="E601" t="inlineStr">
        <is>
          <t>49316638994</t>
        </is>
      </c>
      <c r="F601" t="inlineStr">
        <is>
          <t>2026-03-24 00:00:36</t>
        </is>
      </c>
      <c r="G601" t="inlineStr">
        <is>
          <t>图文</t>
        </is>
      </c>
      <c r="H601" t="inlineStr">
        <is>
          <t>手剥虾仁 无冰衣无添加 低脂餐一人食 上班带饭 顺丰包邮 5盒装</t>
        </is>
      </c>
      <c r="I601" t="inlineStr">
        <is>
          <t>694baba01d450d00013662f0</t>
        </is>
      </c>
      <c r="J601" t="inlineStr">
        <is>
          <t/>
        </is>
      </c>
      <c r="K601" t="n">
        <v>0.0</v>
      </c>
      <c r="L601" t="n">
        <v>0.0</v>
      </c>
      <c r="M601" t="n">
        <v>1.0</v>
      </c>
      <c r="N601" t="n">
        <v>0.2</v>
      </c>
      <c r="O601" t="n">
        <v>1.0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inlineStr">
        <is>
          <t/>
        </is>
      </c>
      <c r="X601" t="n">
        <v>0.0</v>
      </c>
      <c r="Y601" t="n">
        <v>0.0</v>
      </c>
      <c r="Z601" t="n">
        <v>1.0</v>
      </c>
      <c r="AA601" t="n">
        <v>0.0</v>
      </c>
      <c r="AB601" t="n">
        <v>0.0</v>
      </c>
      <c r="AC601" t="n">
        <v>0.0</v>
      </c>
      <c r="AD601" t="n">
        <v>5.0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9.0</v>
      </c>
      <c r="AL601" t="inlineStr">
        <is>
          <t/>
        </is>
      </c>
    </row>
    <row r="602">
      <c r="A602" t="inlineStr">
        <is>
          <t>买的时候也没人说，69💰吃一周减肥餐</t>
        </is>
      </c>
      <c r="B602" t="inlineStr">
        <is>
          <t>69bcfaec000000001a035dde</t>
        </is>
      </c>
      <c r="C602" s="601" t="n">
        <f>HYPERLINK("https://www.xiaohongshu.com/explore/69bcfaec000000001a035dde?xsec_token=TBfIJFVzszocpn5U7ogutYTX-7OkJyEjQl2lp3qe7ySWc=&amp;xsec_source=pc_trdark","https://www.xiaohongshu.com/explore/69bcfaec000000001a035dde?xsec_token=TBfIJFVzszocpn5U7ogutYTX-7OkJyEjQl2lp3qe7ySWc=&amp;xsec_source=pc_trdark")</f>
        <v>0.0</v>
      </c>
      <c r="D602" t="inlineStr">
        <is>
          <t>婉婉上班吃什么</t>
        </is>
      </c>
      <c r="E602" t="inlineStr">
        <is>
          <t>11434449706</t>
        </is>
      </c>
      <c r="F602" t="inlineStr">
        <is>
          <t>2026-03-20 15:44:44</t>
        </is>
      </c>
      <c r="G602" t="inlineStr">
        <is>
          <t>图文</t>
        </is>
      </c>
      <c r="H602" t="inlineStr">
        <is>
          <t>手剥虾仁 无冰衣无添加 低脂餐一人食 上班带饭 顺丰包邮 5盒装</t>
        </is>
      </c>
      <c r="I602" t="inlineStr">
        <is>
          <t>694baba01d450d00013662f0</t>
        </is>
      </c>
      <c r="J602" t="inlineStr">
        <is>
          <t/>
        </is>
      </c>
      <c r="K602" t="n">
        <v>0.0</v>
      </c>
      <c r="L602" t="n">
        <v>0.0</v>
      </c>
      <c r="M602" t="n">
        <v>1.0</v>
      </c>
      <c r="N602" t="n">
        <v>0.2</v>
      </c>
      <c r="O602" t="n">
        <v>1.0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inlineStr">
        <is>
          <t/>
        </is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5.0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2.6</v>
      </c>
      <c r="AL602" t="inlineStr">
        <is>
          <t/>
        </is>
      </c>
    </row>
    <row r="603">
      <c r="A603" t="inlineStr">
        <is>
          <t>感谢315，让真正无添加的好虾仁被看见！</t>
        </is>
      </c>
      <c r="B603" t="inlineStr">
        <is>
          <t>69bb62430000000022025116</t>
        </is>
      </c>
      <c r="C603" s="602" t="n">
        <f>HYPERLINK("https://www.xiaohongshu.com/explore/69bb62430000000022025116?xsec_token=TBbjiHoA30T3IRnkbtYIm1OwRjA6sAGOM_slVseuOnq6k=&amp;xsec_source=pc_trdark","https://www.xiaohongshu.com/explore/69bb62430000000022025116?xsec_token=TBbjiHoA30T3IRnkbtYIm1OwRjA6sAGOM_slVseuOnq6k=&amp;xsec_source=pc_trdark")</f>
        <v>0.0</v>
      </c>
      <c r="D603" t="inlineStr">
        <is>
          <t>鲜水湾</t>
        </is>
      </c>
      <c r="E603" t="inlineStr">
        <is>
          <t>49316638994</t>
        </is>
      </c>
      <c r="F603" t="inlineStr">
        <is>
          <t>2026-03-19 10:41:07</t>
        </is>
      </c>
      <c r="G603" t="inlineStr">
        <is>
          <t>图文</t>
        </is>
      </c>
      <c r="H603" t="inlineStr">
        <is>
          <t>手剥虾仁 无冰衣无添加 低脂餐一人食 上班带饭 顺丰包邮 5盒装</t>
        </is>
      </c>
      <c r="I603" t="inlineStr">
        <is>
          <t>694baba01d450d00013662f0</t>
        </is>
      </c>
      <c r="J603" t="inlineStr">
        <is>
          <t/>
        </is>
      </c>
      <c r="K603" t="n">
        <v>0.0</v>
      </c>
      <c r="L603" t="n">
        <v>0.0</v>
      </c>
      <c r="M603" t="n">
        <v>1.0</v>
      </c>
      <c r="N603" t="n">
        <v>0.2</v>
      </c>
      <c r="O603" t="n">
        <v>1.0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inlineStr">
        <is>
          <t/>
        </is>
      </c>
      <c r="X603" t="n">
        <v>0.0</v>
      </c>
      <c r="Y603" t="n">
        <v>1.0</v>
      </c>
      <c r="Z603" t="n">
        <v>0.0</v>
      </c>
      <c r="AA603" t="n">
        <v>0.0</v>
      </c>
      <c r="AB603" t="n">
        <v>0.0</v>
      </c>
      <c r="AC603" t="n">
        <v>0.0</v>
      </c>
      <c r="AD603" t="n">
        <v>5.0</v>
      </c>
      <c r="AE603" t="n">
        <v>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n">
        <v>6.4</v>
      </c>
      <c r="AL603" t="inlineStr">
        <is>
          <t/>
        </is>
      </c>
    </row>
    <row r="604">
      <c r="A604" t="inlineStr">
        <is>
          <t>凭一己之力💪带动全公司人吃虾！</t>
        </is>
      </c>
      <c r="B604" t="inlineStr">
        <is>
          <t>69b76136000000002003883f</t>
        </is>
      </c>
      <c r="C604" s="603" t="n">
        <f>HYPERLINK("https://www.xiaohongshu.com/explore/69b76136000000002003883f?xsec_token=TBioiHaRPpzHnl86RCtCFk9lNX20ql0E9ZLSA5gm9UkZA=&amp;xsec_source=pc_trdark","https://www.xiaohongshu.com/explore/69b76136000000002003883f?xsec_token=TBioiHaRPpzHnl86RCtCFk9lNX20ql0E9ZLSA5gm9UkZA=&amp;xsec_source=pc_trdark")</f>
        <v>0.0</v>
      </c>
      <c r="D604" t="inlineStr">
        <is>
          <t>婉婉上班吃什么</t>
        </is>
      </c>
      <c r="E604" t="inlineStr">
        <is>
          <t>11434449706</t>
        </is>
      </c>
      <c r="F604" t="inlineStr">
        <is>
          <t>2026-03-16 09:47:34</t>
        </is>
      </c>
      <c r="G604" t="inlineStr">
        <is>
          <t>图文</t>
        </is>
      </c>
      <c r="H604" t="inlineStr">
        <is>
          <t>手剥虾仁 无冰衣无添加 低脂餐一人食 上班带饭 顺丰包邮 5盒装</t>
        </is>
      </c>
      <c r="I604" t="inlineStr">
        <is>
          <t>694baba01d450d00013662f0</t>
        </is>
      </c>
      <c r="J604" t="inlineStr">
        <is>
          <t/>
        </is>
      </c>
      <c r="K604" t="n">
        <v>0.0</v>
      </c>
      <c r="L604" t="n">
        <v>0.0</v>
      </c>
      <c r="M604" t="n">
        <v>1.0</v>
      </c>
      <c r="N604" t="n">
        <v>0.2</v>
      </c>
      <c r="O604" t="n">
        <v>1.0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inlineStr">
        <is>
          <t/>
        </is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5.0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3.2</v>
      </c>
      <c r="AL604" t="inlineStr">
        <is>
          <t/>
        </is>
      </c>
    </row>
    <row r="605">
      <c r="A605" t="inlineStr">
        <is>
          <t>减脂搭子推荐的！锯锯锯掉秤！</t>
        </is>
      </c>
      <c r="B605" t="inlineStr">
        <is>
          <t>69b21e14000000000800c395</t>
        </is>
      </c>
      <c r="C605" s="604" t="n">
        <f>HYPERLINK("https://www.xiaohongshu.com/explore/69b21e14000000000800c395?xsec_token=TB020mu_sDtHEgaPvBWpjWuT7_27Ep577L2KvbqH-TRX4=&amp;xsec_source=pc_trdark","https://www.xiaohongshu.com/explore/69b21e14000000000800c395?xsec_token=TB020mu_sDtHEgaPvBWpjWuT7_27Ep577L2KvbqH-TRX4=&amp;xsec_source=pc_trdark")</f>
        <v>0.0</v>
      </c>
      <c r="D605" t="inlineStr">
        <is>
          <t>婉婉上班吃什么</t>
        </is>
      </c>
      <c r="E605" t="inlineStr">
        <is>
          <t>11434449706</t>
        </is>
      </c>
      <c r="F605" t="inlineStr">
        <is>
          <t>2026-03-12 09:59:48</t>
        </is>
      </c>
      <c r="G605" t="inlineStr">
        <is>
          <t>图文</t>
        </is>
      </c>
      <c r="H605" t="inlineStr">
        <is>
          <t>大虾基围虾王牌大虾厄瓜多尔白虾盐冻虾仁海洋大虾送礼顺丰包邮</t>
        </is>
      </c>
      <c r="I605" t="inlineStr">
        <is>
          <t>690aeb7be379430001e686ac</t>
        </is>
      </c>
      <c r="J605" t="inlineStr">
        <is>
          <t/>
        </is>
      </c>
      <c r="K605" t="n">
        <v>0.0</v>
      </c>
      <c r="L605" t="n">
        <v>0.0</v>
      </c>
      <c r="M605" t="n">
        <v>2.0</v>
      </c>
      <c r="N605" t="n">
        <v>0.4</v>
      </c>
      <c r="O605" t="n">
        <v>2.0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inlineStr">
        <is>
          <t/>
        </is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5.0</v>
      </c>
      <c r="AE605" t="n">
        <v>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n">
        <v>8.6</v>
      </c>
      <c r="AL605" t="inlineStr">
        <is>
          <t/>
        </is>
      </c>
    </row>
    <row r="606">
      <c r="A606" t="inlineStr">
        <is>
          <t>区区58元，承包了我一周减脂的快乐</t>
        </is>
      </c>
      <c r="B606" t="inlineStr">
        <is>
          <t>69abf821000000001a033c09</t>
        </is>
      </c>
      <c r="C606" s="605" t="n">
        <f>HYPERLINK("https://www.xiaohongshu.com/explore/69abf821000000001a033c09?xsec_token=TBjk1R4L6FFMBESMYKkkhLfKNmP8OVYuf9hxq2Fn_wVNE=&amp;xsec_source=pc_trdark","https://www.xiaohongshu.com/explore/69abf821000000001a033c09?xsec_token=TBjk1R4L6FFMBESMYKkkhLfKNmP8OVYuf9hxq2Fn_wVNE=&amp;xsec_source=pc_trdark")</f>
        <v>0.0</v>
      </c>
      <c r="D606" t="inlineStr">
        <is>
          <t>鲜水湾</t>
        </is>
      </c>
      <c r="E606" t="inlineStr">
        <is>
          <t>49316638994</t>
        </is>
      </c>
      <c r="F606" t="inlineStr">
        <is>
          <t>2026-03-07 18:04:17</t>
        </is>
      </c>
      <c r="G606" t="inlineStr">
        <is>
          <t>图文</t>
        </is>
      </c>
      <c r="H606" t="inlineStr">
        <is>
          <t>手剥虾仁 无冰衣无添加 低脂餐一人食 上班带饭 顺丰包邮 5盒装</t>
        </is>
      </c>
      <c r="I606" t="inlineStr">
        <is>
          <t>694baba01d450d00013662f0</t>
        </is>
      </c>
      <c r="J606" t="inlineStr">
        <is>
          <t/>
        </is>
      </c>
      <c r="K606" t="n">
        <v>0.0</v>
      </c>
      <c r="L606" t="n">
        <v>0.0</v>
      </c>
      <c r="M606" t="n">
        <v>1.0</v>
      </c>
      <c r="N606" t="n">
        <v>0.2</v>
      </c>
      <c r="O606" t="n">
        <v>1.0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inlineStr">
        <is>
          <t/>
        </is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5.0</v>
      </c>
      <c r="AE606" t="n">
        <v>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n">
        <v>9.0</v>
      </c>
      <c r="AL606" t="inlineStr">
        <is>
          <t/>
        </is>
      </c>
    </row>
    <row r="607">
      <c r="A607" t="inlineStr">
        <is>
          <t>听劝！控体人吃它准没错👍</t>
        </is>
      </c>
      <c r="B607" t="inlineStr">
        <is>
          <t>69a5857b000000001a028bd1</t>
        </is>
      </c>
      <c r="C607" s="606" t="n">
        <f>HYPERLINK("https://www.xiaohongshu.com/explore/69a5857b000000001a028bd1?xsec_token=TBYlw7GbYDMDbP_5WWJv6Kp5-Favw4JjXw3JYI-O9n9cc=&amp;xsec_source=pc_trdark","https://www.xiaohongshu.com/explore/69a5857b000000001a028bd1?xsec_token=TBYlw7GbYDMDbP_5WWJv6Kp5-Favw4JjXw3JYI-O9n9cc=&amp;xsec_source=pc_trdark")</f>
        <v>0.0</v>
      </c>
      <c r="D607" t="inlineStr">
        <is>
          <t>鲜水湾</t>
        </is>
      </c>
      <c r="E607" t="inlineStr">
        <is>
          <t>49316638994</t>
        </is>
      </c>
      <c r="F607" t="inlineStr">
        <is>
          <t>2026-03-02 20:41:31</t>
        </is>
      </c>
      <c r="G607" t="inlineStr">
        <is>
          <t>图文</t>
        </is>
      </c>
      <c r="H607" t="inlineStr">
        <is>
          <t>大虾基围虾王牌大虾厄瓜多尔白虾盐冻虾仁海洋大虾送礼顺丰包邮</t>
        </is>
      </c>
      <c r="I607" t="inlineStr">
        <is>
          <t>690aeb7be379430001e686ac</t>
        </is>
      </c>
      <c r="J607" t="inlineStr">
        <is>
          <t/>
        </is>
      </c>
      <c r="K607" t="n">
        <v>0.0</v>
      </c>
      <c r="L607" t="n">
        <v>0.0</v>
      </c>
      <c r="M607" t="n">
        <v>1.0</v>
      </c>
      <c r="N607" t="n">
        <v>0.2</v>
      </c>
      <c r="O607" t="n">
        <v>1.0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inlineStr">
        <is>
          <t/>
        </is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5.0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7.8</v>
      </c>
      <c r="AL607" t="inlineStr">
        <is>
          <t/>
        </is>
      </c>
    </row>
    <row r="608">
      <c r="A608" t="inlineStr">
        <is>
          <t>不啰嗦了！！300来块一整条</t>
        </is>
      </c>
      <c r="B608" t="inlineStr">
        <is>
          <t>699ff03d000000001a02073e</t>
        </is>
      </c>
      <c r="C608" s="607" t="n">
        <f>HYPERLINK("https://www.xiaohongshu.com/explore/699ff03d000000001a02073e?xsec_token=TBmPrNsEp7sytnt8BzCMtNTVtndlWLUwRuqnamxfgVA6Y=&amp;xsec_source=pc_trdark","https://www.xiaohongshu.com/explore/699ff03d000000001a02073e?xsec_token=TBmPrNsEp7sytnt8BzCMtNTVtndlWLUwRuqnamxfgVA6Y=&amp;xsec_source=pc_trdark")</f>
        <v>0.0</v>
      </c>
      <c r="D608" t="inlineStr">
        <is>
          <t>鲜水湾</t>
        </is>
      </c>
      <c r="E608" t="inlineStr">
        <is>
          <t>49316638994</t>
        </is>
      </c>
      <c r="F608" t="inlineStr">
        <is>
          <t>2026-02-26 15:03:25</t>
        </is>
      </c>
      <c r="G608" t="inlineStr">
        <is>
          <t>图文</t>
        </is>
      </c>
      <c r="H608" t="inlineStr">
        <is>
          <t>智利三文鱼切块·整条三文鱼·深海鱼一人食健康饮食</t>
        </is>
      </c>
      <c r="I608" t="inlineStr">
        <is>
          <t>691ac562a524ee0001b51d7b</t>
        </is>
      </c>
      <c r="J608" t="inlineStr">
        <is>
          <t/>
        </is>
      </c>
      <c r="K608" t="n">
        <v>0.0</v>
      </c>
      <c r="L608" t="n">
        <v>0.0</v>
      </c>
      <c r="M608" t="n">
        <v>2.0</v>
      </c>
      <c r="N608" t="n">
        <v>0.4</v>
      </c>
      <c r="O608" t="n">
        <v>2.0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inlineStr">
        <is>
          <t/>
        </is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5.0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n">
        <v>13.4</v>
      </c>
      <c r="AL608" t="inlineStr">
        <is>
          <t/>
        </is>
      </c>
    </row>
    <row r="609">
      <c r="A609" t="inlineStr">
        <is>
          <t>讲真！自己像米其林大厨🧑‍🍳</t>
        </is>
      </c>
      <c r="B609" t="inlineStr">
        <is>
          <t>69899080000000000903b066</t>
        </is>
      </c>
      <c r="C609" s="608" t="n">
        <f>HYPERLINK("https://www.xiaohongshu.com/explore/69899080000000000903b066?xsec_token=TBeAeWMkLJ9etYlFDlK3pguZcv4i1LaORTLoyt49jb22o=&amp;xsec_source=pc_trdark","https://www.xiaohongshu.com/explore/69899080000000000903b066?xsec_token=TBeAeWMkLJ9etYlFDlK3pguZcv4i1LaORTLoyt49jb22o=&amp;xsec_source=pc_trdark")</f>
        <v>0.0</v>
      </c>
      <c r="D609" t="inlineStr">
        <is>
          <t>鲜水湾甄选</t>
        </is>
      </c>
      <c r="E609" t="inlineStr">
        <is>
          <t>27401929161</t>
        </is>
      </c>
      <c r="F609" t="inlineStr">
        <is>
          <t>2026-02-09 15:45:04</t>
        </is>
      </c>
      <c r="G609" t="inlineStr">
        <is>
          <t>图文</t>
        </is>
      </c>
      <c r="H609" t="inlineStr">
        <is>
          <t>智利三文鱼切块·整条三文鱼·深海鱼一人食健康饮食</t>
        </is>
      </c>
      <c r="I609" t="inlineStr">
        <is>
          <t>691ac562a524ee0001b51d7b</t>
        </is>
      </c>
      <c r="J609" t="inlineStr">
        <is>
          <t/>
        </is>
      </c>
      <c r="K609" t="n">
        <v>0.0</v>
      </c>
      <c r="L609" t="n">
        <v>0.0</v>
      </c>
      <c r="M609" t="n">
        <v>1.0</v>
      </c>
      <c r="N609" t="n">
        <v>0.2</v>
      </c>
      <c r="O609" t="n">
        <v>1.0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inlineStr">
        <is>
          <t/>
        </is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5.0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n">
        <v>30.4</v>
      </c>
      <c r="AL609" t="inlineStr">
        <is>
          <t/>
        </is>
      </c>
    </row>
    <row r="610">
      <c r="A610" t="inlineStr">
        <is>
          <t>其实，300块能吃一个月的三文鱼🫢</t>
        </is>
      </c>
      <c r="B610" t="inlineStr">
        <is>
          <t>697d850e000000001a029a04</t>
        </is>
      </c>
      <c r="C610" s="609" t="n">
        <f>HYPERLINK("https://www.xiaohongshu.com/explore/697d850e000000001a029a04?xsec_token=TBmDrNth1LGu49cSaHu-q0WwBFFiB_hZBrH6ERNOSl_EI=&amp;xsec_source=pc_trdark","https://www.xiaohongshu.com/explore/697d850e000000001a029a04?xsec_token=TBmDrNth1LGu49cSaHu-q0WwBFFiB_hZBrH6ERNOSl_EI=&amp;xsec_source=pc_trdark")</f>
        <v>0.0</v>
      </c>
      <c r="D610" t="inlineStr">
        <is>
          <t>鲜水湾</t>
        </is>
      </c>
      <c r="E610" t="inlineStr">
        <is>
          <t>49316638994</t>
        </is>
      </c>
      <c r="F610" t="inlineStr">
        <is>
          <t>2026-01-31 12:29:02</t>
        </is>
      </c>
      <c r="G610" t="inlineStr">
        <is>
          <t>图文</t>
        </is>
      </c>
      <c r="H610" t="inlineStr">
        <is>
          <t>智利三文鱼切块·整条三文鱼·深海鱼一人食健康饮食</t>
        </is>
      </c>
      <c r="I610" t="inlineStr">
        <is>
          <t>691ac562a524ee0001b51d7b</t>
        </is>
      </c>
      <c r="J610" t="inlineStr">
        <is>
          <t/>
        </is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inlineStr">
        <is>
          <t/>
        </is>
      </c>
      <c r="R610" t="inlineStr">
        <is>
          <t/>
        </is>
      </c>
      <c r="S610" t="n">
        <v>0.0</v>
      </c>
      <c r="T610" t="n">
        <v>0.0</v>
      </c>
      <c r="U610" t="n">
        <v>0.0</v>
      </c>
      <c r="V610" t="n">
        <v>0.0</v>
      </c>
      <c r="W610" t="inlineStr">
        <is>
          <t/>
        </is>
      </c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5.0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n">
        <v>5.6</v>
      </c>
      <c r="AL610" t="inlineStr">
        <is>
          <t/>
        </is>
      </c>
    </row>
    <row r="611">
      <c r="A611" t="inlineStr">
        <is>
          <t>重新定义10多块钱的购买力！</t>
        </is>
      </c>
      <c r="B611" t="inlineStr">
        <is>
          <t>696f47ec000000001a0210c5</t>
        </is>
      </c>
      <c r="C611" s="610" t="n">
        <f>HYPERLINK("https://www.xiaohongshu.com/explore/696f47ec000000001a0210c5?xsec_token=TBhNblbQcUsDvO_PJ-ZmFokkoRIXnWkHX1a6mUqLdCJ5s=&amp;xsec_source=pc_trdark","https://www.xiaohongshu.com/explore/696f47ec000000001a0210c5?xsec_token=TBhNblbQcUsDvO_PJ-ZmFokkoRIXnWkHX1a6mUqLdCJ5s=&amp;xsec_source=pc_trdark")</f>
        <v>0.0</v>
      </c>
      <c r="D611" t="inlineStr">
        <is>
          <t>婉婉上班吃什么</t>
        </is>
      </c>
      <c r="E611" t="inlineStr">
        <is>
          <t>11434449706</t>
        </is>
      </c>
      <c r="F611" t="inlineStr">
        <is>
          <t>2026-01-20 17:16:28</t>
        </is>
      </c>
      <c r="G611" t="inlineStr">
        <is>
          <t>视频</t>
        </is>
      </c>
      <c r="H611" t="inlineStr">
        <is>
          <t>生蚝乳山生蚝海蛎子顺丰包邮</t>
        </is>
      </c>
      <c r="I611" t="inlineStr">
        <is>
          <t>690c70971b787900010866cc</t>
        </is>
      </c>
      <c r="J611" t="n">
        <v>13.0</v>
      </c>
      <c r="K611" t="n">
        <v>0.0</v>
      </c>
      <c r="L611" t="n">
        <v>0.0</v>
      </c>
      <c r="M611" t="n">
        <v>1.0</v>
      </c>
      <c r="N611" t="n">
        <v>0.2</v>
      </c>
      <c r="O611" t="n">
        <v>1.0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inlineStr">
        <is>
          <t/>
        </is>
      </c>
      <c r="X611" t="n">
        <v>0.0</v>
      </c>
      <c r="Y611" t="n">
        <v>0.0</v>
      </c>
      <c r="Z611" t="n">
        <v>2.0</v>
      </c>
      <c r="AA611" t="n">
        <v>0.0</v>
      </c>
      <c r="AB611" t="n">
        <v>0.0</v>
      </c>
      <c r="AC611" t="n">
        <v>0.0</v>
      </c>
      <c r="AD611" t="n">
        <v>5.0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4.4</v>
      </c>
      <c r="AL611" t="n">
        <v>0.0</v>
      </c>
    </row>
    <row r="612">
      <c r="A612" t="inlineStr">
        <is>
          <t>真心建议男人过了30，多吃生蚝🦪</t>
        </is>
      </c>
      <c r="B612" t="inlineStr">
        <is>
          <t>6958d1f4000000001f005398</t>
        </is>
      </c>
      <c r="C612" s="611" t="n">
        <f>HYPERLINK("https://www.xiaohongshu.com/explore/6958d1f4000000001f005398?xsec_token=TBVWL7hy7ogZOv9P5VB1V6xwFILWsG_UatsLFAOiwl6-4=&amp;xsec_source=pc_trdark","https://www.xiaohongshu.com/explore/6958d1f4000000001f005398?xsec_token=TBVWL7hy7ogZOv9P5VB1V6xwFILWsG_UatsLFAOiwl6-4=&amp;xsec_source=pc_trdark")</f>
        <v>0.0</v>
      </c>
      <c r="D612" t="inlineStr">
        <is>
          <t>鲜水湾</t>
        </is>
      </c>
      <c r="E612" t="inlineStr">
        <is>
          <t>49316638994</t>
        </is>
      </c>
      <c r="F612" t="inlineStr">
        <is>
          <t>2026-01-03 16:23:16</t>
        </is>
      </c>
      <c r="G612" t="inlineStr">
        <is>
          <t>图文</t>
        </is>
      </c>
      <c r="H612" t="inlineStr">
        <is>
          <t>生蚝乳山生蚝海蛎子顺丰包邮</t>
        </is>
      </c>
      <c r="I612" t="inlineStr">
        <is>
          <t>690c70971b787900010866cc</t>
        </is>
      </c>
      <c r="J612" t="inlineStr">
        <is>
          <t/>
        </is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inlineStr">
        <is>
          <t/>
        </is>
      </c>
      <c r="R612" t="inlineStr">
        <is>
          <t/>
        </is>
      </c>
      <c r="S612" t="n">
        <v>0.0</v>
      </c>
      <c r="T612" t="n">
        <v>0.0</v>
      </c>
      <c r="U612" t="n">
        <v>0.0</v>
      </c>
      <c r="V612" t="n">
        <v>0.0</v>
      </c>
      <c r="W612" t="inlineStr">
        <is>
          <t/>
        </is>
      </c>
      <c r="X612" t="n">
        <v>0.0</v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5.0</v>
      </c>
      <c r="AE612" t="n">
        <v>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n">
        <v>5.8</v>
      </c>
      <c r="AL612" t="inlineStr">
        <is>
          <t/>
        </is>
      </c>
    </row>
    <row r="613">
      <c r="A613" t="inlineStr">
        <is>
          <t>这么大的生蚝你能吃几个？</t>
        </is>
      </c>
      <c r="B613" t="inlineStr">
        <is>
          <t>6923f964000000001e027c8f</t>
        </is>
      </c>
      <c r="C613" s="612" t="n">
        <f>HYPERLINK("https://www.xiaohongshu.com/explore/6923f964000000001e027c8f?xsec_token=TBBxL79LDzc6WqpUNHJD-EhWwcY2GgAg9WSXeLoqYOhgc=&amp;xsec_source=pc_trdark","https://www.xiaohongshu.com/explore/6923f964000000001e027c8f?xsec_token=TBBxL79LDzc6WqpUNHJD-EhWwcY2GgAg9WSXeLoqYOhgc=&amp;xsec_source=pc_trdark")</f>
        <v>0.0</v>
      </c>
      <c r="D613" t="inlineStr">
        <is>
          <t>婉婉上班吃什么</t>
        </is>
      </c>
      <c r="E613" t="inlineStr">
        <is>
          <t>11434449706</t>
        </is>
      </c>
      <c r="F613" t="inlineStr">
        <is>
          <t>2025-11-24 14:21:24</t>
        </is>
      </c>
      <c r="G613" t="inlineStr">
        <is>
          <t>视频</t>
        </is>
      </c>
      <c r="H613" t="inlineStr">
        <is>
          <t>生蚝乳山生蚝海蛎子顺丰包邮</t>
        </is>
      </c>
      <c r="I613" t="inlineStr">
        <is>
          <t>690c70971b787900010866cc</t>
        </is>
      </c>
      <c r="J613" t="n">
        <v>16.0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inlineStr">
        <is>
          <t/>
        </is>
      </c>
      <c r="R613" t="inlineStr">
        <is>
          <t/>
        </is>
      </c>
      <c r="S613" t="n">
        <v>0.0</v>
      </c>
      <c r="T613" t="n">
        <v>0.0</v>
      </c>
      <c r="U613" t="n">
        <v>0.0</v>
      </c>
      <c r="V613" t="n">
        <v>0.0</v>
      </c>
      <c r="W613" t="inlineStr">
        <is>
          <t/>
        </is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5.0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8.6</v>
      </c>
      <c r="AL613" t="inlineStr">
        <is>
          <t>0.14285714285714285</t>
        </is>
      </c>
    </row>
    <row r="614">
      <c r="A614" t="inlineStr">
        <is>
          <t>出了小包装之后，太适合上班带饭了</t>
        </is>
      </c>
      <c r="B614" t="inlineStr">
        <is>
          <t>69f2bfe0000000001e00fd23</t>
        </is>
      </c>
      <c r="C614" s="613" t="n">
        <f>HYPERLINK("https://www.xiaohongshu.com/explore/69f2bfe0000000001e00fd23?xsec_token=TBvWHBo3-qwEN9bVc9g-yUNbpggw9Z5xC2Iyq6X1ean5E=&amp;xsec_source=pc_trdark","https://www.xiaohongshu.com/explore/69f2bfe0000000001e00fd23?xsec_token=TBvWHBo3-qwEN9bVc9g-yUNbpggw9Z5xC2Iyq6X1ean5E=&amp;xsec_source=pc_trdark")</f>
        <v>0.0</v>
      </c>
      <c r="D614" t="inlineStr">
        <is>
          <t>菲菲上班吃什么</t>
        </is>
      </c>
      <c r="E614" t="inlineStr">
        <is>
          <t>49936530607</t>
        </is>
      </c>
      <c r="F614" t="inlineStr">
        <is>
          <t>2026-04-30 10:35:12</t>
        </is>
      </c>
      <c r="G614" t="inlineStr">
        <is>
          <t>图文</t>
        </is>
      </c>
      <c r="H614" t="inlineStr">
        <is>
          <t>手剥虾仁 无冰衣无添加 低脂餐一人食 上班带饭 顺丰包邮 5盒装</t>
        </is>
      </c>
      <c r="I614" t="inlineStr">
        <is>
          <t>694baba01d450d00013662f0</t>
        </is>
      </c>
      <c r="J614" t="inlineStr">
        <is>
          <t/>
        </is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inlineStr">
        <is>
          <t/>
        </is>
      </c>
      <c r="R614" t="inlineStr">
        <is>
          <t/>
        </is>
      </c>
      <c r="S614" t="n">
        <v>0.0</v>
      </c>
      <c r="T614" t="n">
        <v>0.0</v>
      </c>
      <c r="U614" t="n">
        <v>0.0</v>
      </c>
      <c r="V614" t="n">
        <v>0.0</v>
      </c>
      <c r="W614" t="inlineStr">
        <is>
          <t/>
        </is>
      </c>
      <c r="X614" t="n">
        <v>0.0</v>
      </c>
      <c r="Y614" t="n">
        <v>0.0</v>
      </c>
      <c r="Z614" t="n">
        <v>1.0</v>
      </c>
      <c r="AA614" t="n">
        <v>0.0</v>
      </c>
      <c r="AB614" t="n">
        <v>0.0</v>
      </c>
      <c r="AC614" t="n">
        <v>0.0</v>
      </c>
      <c r="AD614" t="n">
        <v>4.0</v>
      </c>
      <c r="AE614" t="n">
        <v>0.0</v>
      </c>
      <c r="AF614" t="n">
        <v>0.0</v>
      </c>
      <c r="AG614" t="n">
        <v>0.0</v>
      </c>
      <c r="AH614" t="n">
        <v>1.0</v>
      </c>
      <c r="AI614" t="n">
        <v>0.0</v>
      </c>
      <c r="AJ614" t="n">
        <v>0.0</v>
      </c>
      <c r="AK614" t="n">
        <v>1.5</v>
      </c>
      <c r="AL614" t="inlineStr">
        <is>
          <t/>
        </is>
      </c>
    </row>
    <row r="615">
      <c r="A615" t="inlineStr">
        <is>
          <t>70块搞定一周上班带饭🥹被虾仁省麻了</t>
        </is>
      </c>
      <c r="B615" t="inlineStr">
        <is>
          <t>69f1a7f1000000001f002572</t>
        </is>
      </c>
      <c r="C615" s="614" t="n">
        <f>HYPERLINK("https://www.xiaohongshu.com/explore/69f1a7f1000000001f002572?xsec_token=TBLt8Y96Ok9n09b_UIgIegbmBRjpEun7zQRBcx2sk2AuI=&amp;xsec_source=pc_trdark","https://www.xiaohongshu.com/explore/69f1a7f1000000001f002572?xsec_token=TBLt8Y96Ok9n09b_UIgIegbmBRjpEun7zQRBcx2sk2AuI=&amp;xsec_source=pc_trdark")</f>
        <v>0.0</v>
      </c>
      <c r="D615" t="inlineStr">
        <is>
          <t>菲菲上班吃什么</t>
        </is>
      </c>
      <c r="E615" t="inlineStr">
        <is>
          <t>49936530607</t>
        </is>
      </c>
      <c r="F615" t="inlineStr">
        <is>
          <t>2026-04-29 14:40:49</t>
        </is>
      </c>
      <c r="G615" t="inlineStr">
        <is>
          <t>图文</t>
        </is>
      </c>
      <c r="H615" t="inlineStr">
        <is>
          <t>手剥虾仁 无冰衣无添加 低脂餐一人食 上班带饭 顺丰包邮 5盒装</t>
        </is>
      </c>
      <c r="I615" t="inlineStr">
        <is>
          <t>694baba01d450d00013662f0</t>
        </is>
      </c>
      <c r="J615" t="inlineStr">
        <is>
          <t/>
        </is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inlineStr">
        <is>
          <t/>
        </is>
      </c>
      <c r="R615" t="inlineStr">
        <is>
          <t/>
        </is>
      </c>
      <c r="S615" t="n">
        <v>0.0</v>
      </c>
      <c r="T615" t="n">
        <v>0.0</v>
      </c>
      <c r="U615" t="n">
        <v>0.0</v>
      </c>
      <c r="V615" t="n">
        <v>0.0</v>
      </c>
      <c r="W615" t="inlineStr">
        <is>
          <t/>
        </is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4.0</v>
      </c>
      <c r="AE615" t="n">
        <v>0.0</v>
      </c>
      <c r="AF615" t="n">
        <v>0.0</v>
      </c>
      <c r="AG615" t="n">
        <v>0.0</v>
      </c>
      <c r="AH615" t="n">
        <v>1.0</v>
      </c>
      <c r="AI615" t="n">
        <v>0.0</v>
      </c>
      <c r="AJ615" t="n">
        <v>0.0</v>
      </c>
      <c r="AK615" t="n">
        <v>3.75</v>
      </c>
      <c r="AL615" t="inlineStr">
        <is>
          <t/>
        </is>
      </c>
    </row>
    <row r="616">
      <c r="A616" t="inlineStr">
        <is>
          <t>100来块吃不了一顿火锅，但能承包我一周</t>
        </is>
      </c>
      <c r="B616" t="inlineStr">
        <is>
          <t>69ca17c8000000001f0004f7</t>
        </is>
      </c>
      <c r="C616" s="615" t="n">
        <f>HYPERLINK("https://www.xiaohongshu.com/explore/69ca17c8000000001f0004f7?xsec_token=TBZMwIQ43aS0K0DsaEHGlBqqLcmxaG4YA08ShFTUAVGJg=&amp;xsec_source=pc_trdark","https://www.xiaohongshu.com/explore/69ca17c8000000001f0004f7?xsec_token=TBZMwIQ43aS0K0DsaEHGlBqqLcmxaG4YA08ShFTUAVGJg=&amp;xsec_source=pc_trdark")</f>
        <v>0.0</v>
      </c>
      <c r="D616" t="inlineStr">
        <is>
          <t>菲菲上班吃什么</t>
        </is>
      </c>
      <c r="E616" t="inlineStr">
        <is>
          <t>49936530607</t>
        </is>
      </c>
      <c r="F616" t="inlineStr">
        <is>
          <t>2026-03-30 14:27:20</t>
        </is>
      </c>
      <c r="G616" t="inlineStr">
        <is>
          <t>图文</t>
        </is>
      </c>
      <c r="H616" t="inlineStr">
        <is>
          <t>手剥虾仁 无冰衣无添加 低脂餐一人食 上班带饭 顺丰包邮 5盒装</t>
        </is>
      </c>
      <c r="I616" t="inlineStr">
        <is>
          <t>694baba01d450d00013662f0</t>
        </is>
      </c>
      <c r="J616" t="inlineStr">
        <is>
          <t/>
        </is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inlineStr">
        <is>
          <t/>
        </is>
      </c>
      <c r="R616" t="inlineStr">
        <is>
          <t/>
        </is>
      </c>
      <c r="S616" t="n">
        <v>0.0</v>
      </c>
      <c r="T616" t="n">
        <v>0.0</v>
      </c>
      <c r="U616" t="n">
        <v>0.0</v>
      </c>
      <c r="V616" t="n">
        <v>0.0</v>
      </c>
      <c r="W616" t="inlineStr">
        <is>
          <t/>
        </is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4.0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13.25</v>
      </c>
      <c r="AL616" t="inlineStr">
        <is>
          <t/>
        </is>
      </c>
    </row>
    <row r="617">
      <c r="A617" t="inlineStr">
        <is>
          <t>减脂期姐妹听我的，都去吃这个！真的超饱腹！</t>
        </is>
      </c>
      <c r="B617" t="inlineStr">
        <is>
          <t>69c8d773000000001f0005b2</t>
        </is>
      </c>
      <c r="C617" s="616" t="n">
        <f>HYPERLINK("https://www.xiaohongshu.com/explore/69c8d773000000001f0005b2?xsec_token=TBSs0bsvi6YGXB042lLCz_JEHHYVRRl_YW01WgkIFg0U4=&amp;xsec_source=pc_trdark","https://www.xiaohongshu.com/explore/69c8d773000000001f0005b2?xsec_token=TBSs0bsvi6YGXB042lLCz_JEHHYVRRl_YW01WgkIFg0U4=&amp;xsec_source=pc_trdark")</f>
        <v>0.0</v>
      </c>
      <c r="D617" t="inlineStr">
        <is>
          <t>婉婉上班吃什么</t>
        </is>
      </c>
      <c r="E617" t="inlineStr">
        <is>
          <t>11434449706</t>
        </is>
      </c>
      <c r="F617" t="inlineStr">
        <is>
          <t>2026-03-29 15:40:35</t>
        </is>
      </c>
      <c r="G617" t="inlineStr">
        <is>
          <t>图文</t>
        </is>
      </c>
      <c r="H617" t="inlineStr">
        <is>
          <t>手剥虾仁 无冰衣无添加 低脂餐一人食 上班带饭 顺丰包邮 5盒装</t>
        </is>
      </c>
      <c r="I617" t="inlineStr">
        <is>
          <t>694baba01d450d00013662f0</t>
        </is>
      </c>
      <c r="J617" t="inlineStr">
        <is>
          <t/>
        </is>
      </c>
      <c r="K617" t="n">
        <v>0.0</v>
      </c>
      <c r="L617" t="n">
        <v>0.0</v>
      </c>
      <c r="M617" t="n">
        <v>1.0</v>
      </c>
      <c r="N617" t="n">
        <v>0.25</v>
      </c>
      <c r="O617" t="n">
        <v>1.0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inlineStr">
        <is>
          <t/>
        </is>
      </c>
      <c r="X617" t="n">
        <v>0.0</v>
      </c>
      <c r="Y617" t="n">
        <v>1.0</v>
      </c>
      <c r="Z617" t="n">
        <v>0.0</v>
      </c>
      <c r="AA617" t="n">
        <v>0.0</v>
      </c>
      <c r="AB617" t="n">
        <v>0.0</v>
      </c>
      <c r="AC617" t="n">
        <v>0.0</v>
      </c>
      <c r="AD617" t="n">
        <v>4.0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n">
        <v>15.75</v>
      </c>
      <c r="AL617" t="inlineStr">
        <is>
          <t/>
        </is>
      </c>
    </row>
    <row r="618">
      <c r="A618" t="inlineStr">
        <is>
          <t>春日控体真不贵，69够我吃一周了…</t>
        </is>
      </c>
      <c r="B618" t="inlineStr">
        <is>
          <t>69c4f0cc000000001f007cae</t>
        </is>
      </c>
      <c r="C618" s="617" t="n">
        <f>HYPERLINK("https://www.xiaohongshu.com/explore/69c4f0cc000000001f007cae?xsec_token=TBIVv4KG_Is8XT8uyOgDE1R4214HMT7yef3fMvIHU0yQI=&amp;xsec_source=pc_trdark","https://www.xiaohongshu.com/explore/69c4f0cc000000001f007cae?xsec_token=TBIVv4KG_Is8XT8uyOgDE1R4214HMT7yef3fMvIHU0yQI=&amp;xsec_source=pc_trdark")</f>
        <v>0.0</v>
      </c>
      <c r="D618" t="inlineStr">
        <is>
          <t>菲菲上班吃什么</t>
        </is>
      </c>
      <c r="E618" t="inlineStr">
        <is>
          <t>49936530607</t>
        </is>
      </c>
      <c r="F618" t="inlineStr">
        <is>
          <t>2026-03-26 16:39:40</t>
        </is>
      </c>
      <c r="G618" t="inlineStr">
        <is>
          <t>图文</t>
        </is>
      </c>
      <c r="H618" t="inlineStr">
        <is>
          <t>手剥虾仁 无冰衣无添加 低脂餐一人食 上班带饭 顺丰包邮 5盒装</t>
        </is>
      </c>
      <c r="I618" t="inlineStr">
        <is>
          <t>694baba01d450d00013662f0</t>
        </is>
      </c>
      <c r="J618" t="inlineStr">
        <is>
          <t/>
        </is>
      </c>
      <c r="K618" t="n">
        <v>69.0</v>
      </c>
      <c r="L618" t="n">
        <v>1.0</v>
      </c>
      <c r="M618" t="n">
        <v>3.0</v>
      </c>
      <c r="N618" t="n">
        <v>0.75</v>
      </c>
      <c r="O618" t="n">
        <v>2.0</v>
      </c>
      <c r="P618" t="n">
        <v>1.0</v>
      </c>
      <c r="Q618" t="n">
        <v>0.3333333333333333</v>
      </c>
      <c r="R618" t="n">
        <v>0.5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1.0</v>
      </c>
      <c r="Z618" t="n">
        <v>0.0</v>
      </c>
      <c r="AA618" t="n">
        <v>0.0</v>
      </c>
      <c r="AB618" t="n">
        <v>0.0</v>
      </c>
      <c r="AC618" t="n">
        <v>0.0</v>
      </c>
      <c r="AD618" t="n">
        <v>4.0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n">
        <v>36.0</v>
      </c>
      <c r="AL618" t="inlineStr">
        <is>
          <t/>
        </is>
      </c>
    </row>
    <row r="619">
      <c r="A619" t="inlineStr">
        <is>
          <t>区区100块，承包我半个月减脂餐</t>
        </is>
      </c>
      <c r="B619" t="inlineStr">
        <is>
          <t>69c3774a0000000022027070</t>
        </is>
      </c>
      <c r="C619" s="618" t="n">
        <f>HYPERLINK("https://www.xiaohongshu.com/explore/69c3774a0000000022027070?xsec_token=TBedSEQ7qtT06AlsylOAiUw_EJw__iw4hZSDvR7f-uEyc=&amp;xsec_source=pc_trdark","https://www.xiaohongshu.com/explore/69c3774a0000000022027070?xsec_token=TBedSEQ7qtT06AlsylOAiUw_EJw__iw4hZSDvR7f-uEyc=&amp;xsec_source=pc_trdark")</f>
        <v>0.0</v>
      </c>
      <c r="D619" t="inlineStr">
        <is>
          <t>鲜水湾</t>
        </is>
      </c>
      <c r="E619" t="inlineStr">
        <is>
          <t>49316638994</t>
        </is>
      </c>
      <c r="F619" t="inlineStr">
        <is>
          <t>2026-03-25 13:48:58</t>
        </is>
      </c>
      <c r="G619" t="inlineStr">
        <is>
          <t>图文</t>
        </is>
      </c>
      <c r="H619" t="inlineStr">
        <is>
          <t>手剥虾仁 无冰衣无添加 低脂餐一人食 上班带饭 顺丰包邮 5盒装</t>
        </is>
      </c>
      <c r="I619" t="inlineStr">
        <is>
          <t>694baba01d450d00013662f0</t>
        </is>
      </c>
      <c r="J619" t="inlineStr">
        <is>
          <t/>
        </is>
      </c>
      <c r="K619" t="n">
        <v>0.0</v>
      </c>
      <c r="L619" t="n">
        <v>0.0</v>
      </c>
      <c r="M619" t="n">
        <v>1.0</v>
      </c>
      <c r="N619" t="n">
        <v>0.25</v>
      </c>
      <c r="O619" t="n">
        <v>1.0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inlineStr">
        <is>
          <t/>
        </is>
      </c>
      <c r="X619" t="n">
        <v>0.0</v>
      </c>
      <c r="Y619" t="n">
        <v>0.0</v>
      </c>
      <c r="Z619" t="n">
        <v>1.0</v>
      </c>
      <c r="AA619" t="n">
        <v>0.0</v>
      </c>
      <c r="AB619" t="n">
        <v>0.0</v>
      </c>
      <c r="AC619" t="n">
        <v>0.0</v>
      </c>
      <c r="AD619" t="n">
        <v>4.0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n">
        <v>3.25</v>
      </c>
      <c r="AL619" t="inlineStr">
        <is>
          <t/>
        </is>
      </c>
    </row>
    <row r="620">
      <c r="A620" t="inlineStr">
        <is>
          <t>现在人严重低估了100块的购买力</t>
        </is>
      </c>
      <c r="B620" t="inlineStr">
        <is>
          <t>69c231ef000000002301fef2</t>
        </is>
      </c>
      <c r="C620" s="619" t="n">
        <f>HYPERLINK("https://www.xiaohongshu.com/explore/69c231ef000000002301fef2?xsec_token=TBUqBR5MVQnv6JPS0VJV95uKcvaOCUaNsDhqhRqFK7EVA=&amp;xsec_source=pc_trdark","https://www.xiaohongshu.com/explore/69c231ef000000002301fef2?xsec_token=TBUqBR5MVQnv6JPS0VJV95uKcvaOCUaNsDhqhRqFK7EVA=&amp;xsec_source=pc_trdark")</f>
        <v>0.0</v>
      </c>
      <c r="D620" t="inlineStr">
        <is>
          <t>婉婉上班吃什么</t>
        </is>
      </c>
      <c r="E620" t="inlineStr">
        <is>
          <t>11434449706</t>
        </is>
      </c>
      <c r="F620" t="inlineStr">
        <is>
          <t>2026-03-24 14:40:47</t>
        </is>
      </c>
      <c r="G620" t="inlineStr">
        <is>
          <t>图文</t>
        </is>
      </c>
      <c r="H620" t="inlineStr">
        <is>
          <t>手剥虾仁 无冰衣无添加 低脂餐一人食 上班带饭 顺丰包邮 5盒装</t>
        </is>
      </c>
      <c r="I620" t="inlineStr">
        <is>
          <t>694baba01d450d00013662f0</t>
        </is>
      </c>
      <c r="J620" t="inlineStr">
        <is>
          <t/>
        </is>
      </c>
      <c r="K620" t="n">
        <v>0.0</v>
      </c>
      <c r="L620" t="n">
        <v>0.0</v>
      </c>
      <c r="M620" t="n">
        <v>2.0</v>
      </c>
      <c r="N620" t="n">
        <v>0.5</v>
      </c>
      <c r="O620" t="n">
        <v>2.0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inlineStr">
        <is>
          <t/>
        </is>
      </c>
      <c r="X620" t="n">
        <v>0.0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4.0</v>
      </c>
      <c r="AE620" t="n">
        <v>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n">
        <v>5.0</v>
      </c>
      <c r="AL620" t="inlineStr">
        <is>
          <t/>
        </is>
      </c>
    </row>
    <row r="621">
      <c r="A621" t="inlineStr">
        <is>
          <t>发现人减脂真的花不了几个钱</t>
        </is>
      </c>
      <c r="B621" t="inlineStr">
        <is>
          <t>69c0eb590000000020039b45</t>
        </is>
      </c>
      <c r="C621" s="620" t="n">
        <f>HYPERLINK("https://www.xiaohongshu.com/explore/69c0eb590000000020039b45?xsec_token=TBlSRAgxB_sBYkF02kEEKO54FB3eLkhHPZT8WWHFcZmlE=&amp;xsec_source=pc_trdark","https://www.xiaohongshu.com/explore/69c0eb590000000020039b45?xsec_token=TBlSRAgxB_sBYkF02kEEKO54FB3eLkhHPZT8WWHFcZmlE=&amp;xsec_source=pc_trdark")</f>
        <v>0.0</v>
      </c>
      <c r="D621" t="inlineStr">
        <is>
          <t>鲜水湾</t>
        </is>
      </c>
      <c r="E621" t="inlineStr">
        <is>
          <t>49316638994</t>
        </is>
      </c>
      <c r="F621" t="inlineStr">
        <is>
          <t>2026-03-23 15:27:21</t>
        </is>
      </c>
      <c r="G621" t="inlineStr">
        <is>
          <t>图文</t>
        </is>
      </c>
      <c r="H621" t="inlineStr">
        <is>
          <t>手剥虾仁 无冰衣无添加 低脂餐一人食 上班带饭 顺丰包邮 5盒装</t>
        </is>
      </c>
      <c r="I621" t="inlineStr">
        <is>
          <t>694baba01d450d00013662f0</t>
        </is>
      </c>
      <c r="J621" t="inlineStr">
        <is>
          <t/>
        </is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inlineStr">
        <is>
          <t/>
        </is>
      </c>
      <c r="R621" t="inlineStr">
        <is>
          <t/>
        </is>
      </c>
      <c r="S621" t="n">
        <v>0.0</v>
      </c>
      <c r="T621" t="n">
        <v>0.0</v>
      </c>
      <c r="U621" t="n">
        <v>0.0</v>
      </c>
      <c r="V621" t="n">
        <v>0.0</v>
      </c>
      <c r="W621" t="inlineStr">
        <is>
          <t/>
        </is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4.0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n">
        <v>3.5</v>
      </c>
      <c r="AL621" t="inlineStr">
        <is>
          <t/>
        </is>
      </c>
    </row>
    <row r="622">
      <c r="A622" t="inlineStr">
        <is>
          <t>每天带一袋虾仁上班，90后同事说我太招摇</t>
        </is>
      </c>
      <c r="B622" t="inlineStr">
        <is>
          <t>69c0baf300000000230064ec</t>
        </is>
      </c>
      <c r="C622" s="621" t="n">
        <f>HYPERLINK("https://www.xiaohongshu.com/explore/69c0baf300000000230064ec?xsec_token=TBlSRAgxB_sBYkF02kEEKO5424175FyiH5cUQ-EBrTGwY=&amp;xsec_source=pc_trdark","https://www.xiaohongshu.com/explore/69c0baf300000000230064ec?xsec_token=TBlSRAgxB_sBYkF02kEEKO5424175FyiH5cUQ-EBrTGwY=&amp;xsec_source=pc_trdark")</f>
        <v>0.0</v>
      </c>
      <c r="D622" t="inlineStr">
        <is>
          <t>婉婉上班吃什么</t>
        </is>
      </c>
      <c r="E622" t="inlineStr">
        <is>
          <t>11434449706</t>
        </is>
      </c>
      <c r="F622" t="inlineStr">
        <is>
          <t>2026-03-23 12:00:51</t>
        </is>
      </c>
      <c r="G622" t="inlineStr">
        <is>
          <t>图文</t>
        </is>
      </c>
      <c r="H622" t="inlineStr">
        <is>
          <t>手剥虾仁 无冰衣无添加 低脂餐一人食 上班带饭 顺丰包邮 5盒装</t>
        </is>
      </c>
      <c r="I622" t="inlineStr">
        <is>
          <t>694baba01d450d00013662f0</t>
        </is>
      </c>
      <c r="J622" t="inlineStr">
        <is>
          <t/>
        </is>
      </c>
      <c r="K622" t="n">
        <v>0.0</v>
      </c>
      <c r="L622" t="n">
        <v>0.0</v>
      </c>
      <c r="M622" t="n">
        <v>1.0</v>
      </c>
      <c r="N622" t="n">
        <v>0.25</v>
      </c>
      <c r="O622" t="n">
        <v>1.0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inlineStr">
        <is>
          <t/>
        </is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4.0</v>
      </c>
      <c r="AE622" t="n">
        <v>1.0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n">
        <v>35.25</v>
      </c>
      <c r="AL622" t="inlineStr">
        <is>
          <t/>
        </is>
      </c>
    </row>
    <row r="623">
      <c r="A623" t="inlineStr">
        <is>
          <t>自己赚钱后真的在报复性吃虾吃到撑！</t>
        </is>
      </c>
      <c r="B623" t="inlineStr">
        <is>
          <t>69be5232000000001e00ef47</t>
        </is>
      </c>
      <c r="C623" s="622" t="n">
        <f>HYPERLINK("https://www.xiaohongshu.com/explore/69be5232000000001e00ef47?xsec_token=TBEV1jCaY14J6usHdX26xRKHKJsrP9a2Rzr_2vHzAEWtY=&amp;xsec_source=pc_trdark","https://www.xiaohongshu.com/explore/69be5232000000001e00ef47?xsec_token=TBEV1jCaY14J6usHdX26xRKHKJsrP9a2Rzr_2vHzAEWtY=&amp;xsec_source=pc_trdark")</f>
        <v>0.0</v>
      </c>
      <c r="D623" t="inlineStr">
        <is>
          <t>婉婉上班吃什么</t>
        </is>
      </c>
      <c r="E623" t="inlineStr">
        <is>
          <t>11434449706</t>
        </is>
      </c>
      <c r="F623" t="inlineStr">
        <is>
          <t>2026-03-21 16:09:22</t>
        </is>
      </c>
      <c r="G623" t="inlineStr">
        <is>
          <t>图文</t>
        </is>
      </c>
      <c r="H623" t="inlineStr">
        <is>
          <t>手剥虾仁 无冰衣无添加 低脂餐一人食 上班带饭 顺丰包邮 5盒装</t>
        </is>
      </c>
      <c r="I623" t="inlineStr">
        <is>
          <t>694baba01d450d00013662f0</t>
        </is>
      </c>
      <c r="J623" t="inlineStr">
        <is>
          <t/>
        </is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inlineStr">
        <is>
          <t/>
        </is>
      </c>
      <c r="R623" t="inlineStr">
        <is>
          <t/>
        </is>
      </c>
      <c r="S623" t="n">
        <v>0.0</v>
      </c>
      <c r="T623" t="n">
        <v>0.0</v>
      </c>
      <c r="U623" t="n">
        <v>0.0</v>
      </c>
      <c r="V623" t="n">
        <v>0.0</v>
      </c>
      <c r="W623" t="inlineStr">
        <is>
          <t/>
        </is>
      </c>
      <c r="X623" t="n">
        <v>0.0</v>
      </c>
      <c r="Y623" t="n">
        <v>0.0</v>
      </c>
      <c r="Z623" t="n">
        <v>1.0</v>
      </c>
      <c r="AA623" t="n">
        <v>0.0</v>
      </c>
      <c r="AB623" t="n">
        <v>0.0</v>
      </c>
      <c r="AC623" t="n">
        <v>0.0</v>
      </c>
      <c r="AD623" t="n">
        <v>4.0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12.75</v>
      </c>
      <c r="AL623" t="inlineStr">
        <is>
          <t/>
        </is>
      </c>
    </row>
    <row r="624">
      <c r="A624" t="inlineStr">
        <is>
          <t>我家虾仁不够🔥吗，怎么还有人吃保水剂虾仁</t>
        </is>
      </c>
      <c r="B624" t="inlineStr">
        <is>
          <t>69bd0e38000000001e00f1df</t>
        </is>
      </c>
      <c r="C624" s="623" t="n">
        <f>HYPERLINK("https://www.xiaohongshu.com/explore/69bd0e38000000001e00f1df?xsec_token=TBRwbx0S6Y78qN5wWC1_PyBLDT-KQfH6MBsWulSozVQdo=&amp;xsec_source=pc_trdark","https://www.xiaohongshu.com/explore/69bd0e38000000001e00f1df?xsec_token=TBRwbx0S6Y78qN5wWC1_PyBLDT-KQfH6MBsWulSozVQdo=&amp;xsec_source=pc_trdark")</f>
        <v>0.0</v>
      </c>
      <c r="D624" t="inlineStr">
        <is>
          <t>鲜水湾</t>
        </is>
      </c>
      <c r="E624" t="inlineStr">
        <is>
          <t>49316638994</t>
        </is>
      </c>
      <c r="F624" t="inlineStr">
        <is>
          <t>2026-03-20 17:07:04</t>
        </is>
      </c>
      <c r="G624" t="inlineStr">
        <is>
          <t>图文</t>
        </is>
      </c>
      <c r="H624" t="inlineStr">
        <is>
          <t>手剥虾仁 无冰衣无添加 低脂餐一人食 上班带饭 顺丰包邮 5盒装</t>
        </is>
      </c>
      <c r="I624" t="inlineStr">
        <is>
          <t>694baba01d450d00013662f0</t>
        </is>
      </c>
      <c r="J624" t="inlineStr">
        <is>
          <t/>
        </is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inlineStr">
        <is>
          <t/>
        </is>
      </c>
      <c r="R624" t="inlineStr">
        <is>
          <t/>
        </is>
      </c>
      <c r="S624" t="n">
        <v>0.0</v>
      </c>
      <c r="T624" t="n">
        <v>0.0</v>
      </c>
      <c r="U624" t="n">
        <v>0.0</v>
      </c>
      <c r="V624" t="n">
        <v>0.0</v>
      </c>
      <c r="W624" t="inlineStr">
        <is>
          <t/>
        </is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4.0</v>
      </c>
      <c r="AE624" t="n">
        <v>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n">
        <v>3.5</v>
      </c>
      <c r="AL624" t="inlineStr">
        <is>
          <t/>
        </is>
      </c>
    </row>
    <row r="625">
      <c r="A625" t="inlineStr">
        <is>
          <t>年轻人真的不要低估了100块的购买力</t>
        </is>
      </c>
      <c r="B625" t="inlineStr">
        <is>
          <t>69bbed56000000002003abe7</t>
        </is>
      </c>
      <c r="C625" s="624" t="n">
        <f>HYPERLINK("https://www.xiaohongshu.com/explore/69bbed56000000002003abe7?xsec_token=TBbjiHoA30T3IRnkbtYIm1OybzhmTih0D0U8_vPWmHqNo=&amp;xsec_source=pc_trdark","https://www.xiaohongshu.com/explore/69bbed56000000002003abe7?xsec_token=TBbjiHoA30T3IRnkbtYIm1OybzhmTih0D0U8_vPWmHqNo=&amp;xsec_source=pc_trdark")</f>
        <v>0.0</v>
      </c>
      <c r="D625" t="inlineStr">
        <is>
          <t>婉婉上班吃什么</t>
        </is>
      </c>
      <c r="E625" t="inlineStr">
        <is>
          <t>11434449706</t>
        </is>
      </c>
      <c r="F625" t="inlineStr">
        <is>
          <t>2026-03-19 20:34:30</t>
        </is>
      </c>
      <c r="G625" t="inlineStr">
        <is>
          <t>图文</t>
        </is>
      </c>
      <c r="H625" t="inlineStr">
        <is>
          <t>手剥虾仁 无冰衣无添加 低脂餐一人食 上班带饭 顺丰包邮 5盒装</t>
        </is>
      </c>
      <c r="I625" t="inlineStr">
        <is>
          <t>694baba01d450d00013662f0</t>
        </is>
      </c>
      <c r="J625" t="inlineStr">
        <is>
          <t/>
        </is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inlineStr">
        <is>
          <t/>
        </is>
      </c>
      <c r="R625" t="inlineStr">
        <is>
          <t/>
        </is>
      </c>
      <c r="S625" t="n">
        <v>0.0</v>
      </c>
      <c r="T625" t="n">
        <v>0.0</v>
      </c>
      <c r="U625" t="n">
        <v>0.0</v>
      </c>
      <c r="V625" t="n">
        <v>0.0</v>
      </c>
      <c r="W625" t="inlineStr">
        <is>
          <t/>
        </is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4.0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10.25</v>
      </c>
      <c r="AL625" t="inlineStr">
        <is>
          <t/>
        </is>
      </c>
    </row>
    <row r="626">
      <c r="A626" t="inlineStr">
        <is>
          <t>和老爸商量后，推出春日减脂一人食🍤</t>
        </is>
      </c>
      <c r="B626" t="inlineStr">
        <is>
          <t>69b94607000000001a035b94</t>
        </is>
      </c>
      <c r="C626" s="625" t="n">
        <f>HYPERLINK("https://www.xiaohongshu.com/explore/69b94607000000001a035b94?xsec_token=TBgv0wN35T_w0yZx7fmvlvfJoR_pDxBMUke9Fy6OCxewU=&amp;xsec_source=pc_trdark","https://www.xiaohongshu.com/explore/69b94607000000001a035b94?xsec_token=TBgv0wN35T_w0yZx7fmvlvfJoR_pDxBMUke9Fy6OCxewU=&amp;xsec_source=pc_trdark")</f>
        <v>0.0</v>
      </c>
      <c r="D626" t="inlineStr">
        <is>
          <t>鲜水湾</t>
        </is>
      </c>
      <c r="E626" t="inlineStr">
        <is>
          <t>49316638994</t>
        </is>
      </c>
      <c r="F626" t="inlineStr">
        <is>
          <t>2026-03-17 20:16:07</t>
        </is>
      </c>
      <c r="G626" t="inlineStr">
        <is>
          <t>图文</t>
        </is>
      </c>
      <c r="H626" t="inlineStr">
        <is>
          <t>手剥虾仁 无冰衣无添加 低脂餐一人食 上班带饭 顺丰包邮 5盒装</t>
        </is>
      </c>
      <c r="I626" t="inlineStr">
        <is>
          <t>694baba01d450d00013662f0</t>
        </is>
      </c>
      <c r="J626" t="inlineStr">
        <is>
          <t/>
        </is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inlineStr">
        <is>
          <t/>
        </is>
      </c>
      <c r="R626" t="inlineStr">
        <is>
          <t/>
        </is>
      </c>
      <c r="S626" t="n">
        <v>0.0</v>
      </c>
      <c r="T626" t="n">
        <v>0.0</v>
      </c>
      <c r="U626" t="n">
        <v>0.0</v>
      </c>
      <c r="V626" t="n">
        <v>0.0</v>
      </c>
      <c r="W626" t="inlineStr">
        <is>
          <t/>
        </is>
      </c>
      <c r="X626" t="n">
        <v>0.0</v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4.0</v>
      </c>
      <c r="AE626" t="n">
        <v>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n">
        <v>28.25</v>
      </c>
      <c r="AL626" t="inlineStr">
        <is>
          <t/>
        </is>
      </c>
    </row>
    <row r="627">
      <c r="A627" t="inlineStr">
        <is>
          <t>发现人减脂根本花不了几个钱…</t>
        </is>
      </c>
      <c r="B627" t="inlineStr">
        <is>
          <t>69b9206b000000002003a746</t>
        </is>
      </c>
      <c r="C627" s="626" t="n">
        <f>HYPERLINK("https://www.xiaohongshu.com/explore/69b9206b000000002003a746?xsec_token=TBgv0wN35T_w0yZx7fmvlvfCHgH7GnnMmaHD_pNBDg0wA=&amp;xsec_source=pc_trdark","https://www.xiaohongshu.com/explore/69b9206b000000002003a746?xsec_token=TBgv0wN35T_w0yZx7fmvlvfCHgH7GnnMmaHD_pNBDg0wA=&amp;xsec_source=pc_trdark")</f>
        <v>0.0</v>
      </c>
      <c r="D627" t="inlineStr">
        <is>
          <t>鲜水湾</t>
        </is>
      </c>
      <c r="E627" t="inlineStr">
        <is>
          <t>49316638994</t>
        </is>
      </c>
      <c r="F627" t="inlineStr">
        <is>
          <t>2026-03-17 17:35:39</t>
        </is>
      </c>
      <c r="G627" t="inlineStr">
        <is>
          <t>图文</t>
        </is>
      </c>
      <c r="H627" t="inlineStr">
        <is>
          <t>手剥虾仁 无冰衣无添加 低脂餐一人食 上班带饭 顺丰包邮 5盒装</t>
        </is>
      </c>
      <c r="I627" t="inlineStr">
        <is>
          <t>694baba01d450d00013662f0</t>
        </is>
      </c>
      <c r="J627" t="inlineStr">
        <is>
          <t/>
        </is>
      </c>
      <c r="K627" t="n">
        <v>0.0</v>
      </c>
      <c r="L627" t="n">
        <v>0.0</v>
      </c>
      <c r="M627" t="n">
        <v>1.0</v>
      </c>
      <c r="N627" t="n">
        <v>0.25</v>
      </c>
      <c r="O627" t="n">
        <v>1.0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inlineStr">
        <is>
          <t/>
        </is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4.0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7.75</v>
      </c>
      <c r="AL627" t="inlineStr">
        <is>
          <t/>
        </is>
      </c>
    </row>
    <row r="628">
      <c r="A628" t="inlineStr">
        <is>
          <t>自己赚钱后报复性吃虾吃到爽</t>
        </is>
      </c>
      <c r="B628" t="inlineStr">
        <is>
          <t>69b517c10000000022024bb1</t>
        </is>
      </c>
      <c r="C628" s="627" t="n">
        <f>HYPERLINK("https://www.xiaohongshu.com/explore/69b517c10000000022024bb1?xsec_token=TBYgTJ9EzKmyKny4Vfc-tHEwkAvX5DoKGOb4A0nq9TXVw=&amp;xsec_source=pc_trdark","https://www.xiaohongshu.com/explore/69b517c10000000022024bb1?xsec_token=TBYgTJ9EzKmyKny4Vfc-tHEwkAvX5DoKGOb4A0nq9TXVw=&amp;xsec_source=pc_trdark")</f>
        <v>0.0</v>
      </c>
      <c r="D628" t="inlineStr">
        <is>
          <t>鲜水湾</t>
        </is>
      </c>
      <c r="E628" t="inlineStr">
        <is>
          <t>49316638994</t>
        </is>
      </c>
      <c r="F628" t="inlineStr">
        <is>
          <t>2026-03-14 16:09:37</t>
        </is>
      </c>
      <c r="G628" t="inlineStr">
        <is>
          <t>图文</t>
        </is>
      </c>
      <c r="H628" t="inlineStr">
        <is>
          <t>手剥虾仁 无冰衣无添加 低脂餐一人食 上班带饭 顺丰包邮 5盒装</t>
        </is>
      </c>
      <c r="I628" t="inlineStr">
        <is>
          <t>694baba01d450d00013662f0</t>
        </is>
      </c>
      <c r="J628" t="inlineStr">
        <is>
          <t/>
        </is>
      </c>
      <c r="K628" t="n">
        <v>0.0</v>
      </c>
      <c r="L628" t="n">
        <v>0.0</v>
      </c>
      <c r="M628" t="n">
        <v>2.0</v>
      </c>
      <c r="N628" t="n">
        <v>0.5</v>
      </c>
      <c r="O628" t="n">
        <v>2.0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inlineStr">
        <is>
          <t/>
        </is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4.0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6.0</v>
      </c>
      <c r="AL628" t="inlineStr">
        <is>
          <t/>
        </is>
      </c>
    </row>
    <row r="629">
      <c r="A629" t="inlineStr">
        <is>
          <t>吃的干净才能长得干净</t>
        </is>
      </c>
      <c r="B629" t="inlineStr">
        <is>
          <t>69b41ebb000000001b0209b6</t>
        </is>
      </c>
      <c r="C629" s="628" t="n">
        <f>HYPERLINK("https://www.xiaohongshu.com/explore/69b41ebb000000001b0209b6?xsec_token=TB4dy4zP2Sasn_cYXEm_KMIz4vByKyrQNORKTebuvEDk4=&amp;xsec_source=pc_trdark","https://www.xiaohongshu.com/explore/69b41ebb000000001b0209b6?xsec_token=TB4dy4zP2Sasn_cYXEm_KMIz4vByKyrQNORKTebuvEDk4=&amp;xsec_source=pc_trdark")</f>
        <v>0.0</v>
      </c>
      <c r="D629" t="inlineStr">
        <is>
          <t>鲜水湾</t>
        </is>
      </c>
      <c r="E629" t="inlineStr">
        <is>
          <t>49316638994</t>
        </is>
      </c>
      <c r="F629" t="inlineStr">
        <is>
          <t>2026-03-13 22:27:07</t>
        </is>
      </c>
      <c r="G629" t="inlineStr">
        <is>
          <t>图文</t>
        </is>
      </c>
      <c r="H629" t="inlineStr">
        <is>
          <t>智利三文鱼切块·整条三文鱼·深海鱼一人食健康饮食</t>
        </is>
      </c>
      <c r="I629" t="inlineStr">
        <is>
          <t>691ac562a524ee0001b51d7b</t>
        </is>
      </c>
      <c r="J629" t="inlineStr">
        <is>
          <t/>
        </is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inlineStr">
        <is>
          <t/>
        </is>
      </c>
      <c r="R629" t="inlineStr">
        <is>
          <t/>
        </is>
      </c>
      <c r="S629" t="n">
        <v>0.0</v>
      </c>
      <c r="T629" t="n">
        <v>0.0</v>
      </c>
      <c r="U629" t="n">
        <v>0.0</v>
      </c>
      <c r="V629" t="n">
        <v>0.0</v>
      </c>
      <c r="W629" t="inlineStr">
        <is>
          <t/>
        </is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4.0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8.75</v>
      </c>
      <c r="AL629" t="inlineStr">
        <is>
          <t/>
        </is>
      </c>
    </row>
    <row r="630">
      <c r="A630" t="inlineStr">
        <is>
          <t>我也不想吃啊，可它69承包了我一周减脂餐🤣</t>
        </is>
      </c>
      <c r="B630" t="inlineStr">
        <is>
          <t>69b37018000000000601fe51</t>
        </is>
      </c>
      <c r="C630" s="629" t="n">
        <f>HYPERLINK("https://www.xiaohongshu.com/explore/69b37018000000000601fe51?xsec_token=TBu1W-q9yR_0LoYiUu9p9bD1vEqHSGZT0rQSPAiS7-jqI=&amp;xsec_source=pc_trdark","https://www.xiaohongshu.com/explore/69b37018000000000601fe51?xsec_token=TBu1W-q9yR_0LoYiUu9p9bD1vEqHSGZT0rQSPAiS7-jqI=&amp;xsec_source=pc_trdark")</f>
        <v>0.0</v>
      </c>
      <c r="D630" t="inlineStr">
        <is>
          <t>鲜水湾</t>
        </is>
      </c>
      <c r="E630" t="inlineStr">
        <is>
          <t>49316638994</t>
        </is>
      </c>
      <c r="F630" t="inlineStr">
        <is>
          <t>2026-03-13 10:02:00</t>
        </is>
      </c>
      <c r="G630" t="inlineStr">
        <is>
          <t>图文</t>
        </is>
      </c>
      <c r="H630" t="inlineStr">
        <is>
          <t>大虾基围虾王牌大虾厄瓜多尔白虾盐冻虾仁海洋大虾送礼顺丰包邮</t>
        </is>
      </c>
      <c r="I630" t="inlineStr">
        <is>
          <t>690aeb7be379430001e686ac</t>
        </is>
      </c>
      <c r="J630" t="inlineStr">
        <is>
          <t/>
        </is>
      </c>
      <c r="K630" t="n">
        <v>0.0</v>
      </c>
      <c r="L630" t="n">
        <v>0.0</v>
      </c>
      <c r="M630" t="n">
        <v>1.0</v>
      </c>
      <c r="N630" t="n">
        <v>0.25</v>
      </c>
      <c r="O630" t="n">
        <v>1.0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inlineStr">
        <is>
          <t/>
        </is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4.0</v>
      </c>
      <c r="AE630" t="n">
        <v>1.0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19.25</v>
      </c>
      <c r="AL630" t="inlineStr">
        <is>
          <t/>
        </is>
      </c>
    </row>
    <row r="631">
      <c r="A631" t="inlineStr">
        <is>
          <t>区区69块，结果够我吃一周的了～</t>
        </is>
      </c>
      <c r="B631" t="inlineStr">
        <is>
          <t>69b13d4d0000000008032af2</t>
        </is>
      </c>
      <c r="C631" s="630" t="n">
        <f>HYPERLINK("https://www.xiaohongshu.com/explore/69b13d4d0000000008032af2?xsec_token=TBPThwaY7kqe53qUk5J0Oyzt2Swdhwfah01CsFJkxKvL8=&amp;xsec_source=pc_trdark","https://www.xiaohongshu.com/explore/69b13d4d0000000008032af2?xsec_token=TBPThwaY7kqe53qUk5J0Oyzt2Swdhwfah01CsFJkxKvL8=&amp;xsec_source=pc_trdark")</f>
        <v>0.0</v>
      </c>
      <c r="D631" t="inlineStr">
        <is>
          <t>鲜水湾</t>
        </is>
      </c>
      <c r="E631" t="inlineStr">
        <is>
          <t>49316638994</t>
        </is>
      </c>
      <c r="F631" t="inlineStr">
        <is>
          <t>2026-03-11 18:00:45</t>
        </is>
      </c>
      <c r="G631" t="inlineStr">
        <is>
          <t>图文</t>
        </is>
      </c>
      <c r="H631" t="inlineStr">
        <is>
          <t>大虾基围虾王牌大虾厄瓜多尔白虾盐冻虾仁海洋大虾送礼顺丰包邮</t>
        </is>
      </c>
      <c r="I631" t="inlineStr">
        <is>
          <t>690aeb7be379430001e686ac</t>
        </is>
      </c>
      <c r="J631" t="inlineStr">
        <is>
          <t/>
        </is>
      </c>
      <c r="K631" t="n">
        <v>79.0</v>
      </c>
      <c r="L631" t="n">
        <v>1.0</v>
      </c>
      <c r="M631" t="n">
        <v>0.0</v>
      </c>
      <c r="N631" t="n">
        <v>0.0</v>
      </c>
      <c r="O631" t="n">
        <v>0.0</v>
      </c>
      <c r="P631" t="n">
        <v>1.0</v>
      </c>
      <c r="Q631" t="inlineStr">
        <is>
          <t/>
        </is>
      </c>
      <c r="R631" t="inlineStr">
        <is>
          <t/>
        </is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4.0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8.25</v>
      </c>
      <c r="AL631" t="inlineStr">
        <is>
          <t/>
        </is>
      </c>
    </row>
    <row r="632">
      <c r="A632" t="inlineStr">
        <is>
          <t>一个礼拜掉了7斤的人中午都吃了啥</t>
        </is>
      </c>
      <c r="B632" t="inlineStr">
        <is>
          <t>69b12c91000000000c009b34</t>
        </is>
      </c>
      <c r="C632" s="631" t="n">
        <f>HYPERLINK("https://www.xiaohongshu.com/explore/69b12c91000000000c009b34?xsec_token=TBPThwaY7kqe53qUk5J0Oyzp2djiH1QNm-pa5WwoMvlO4=&amp;xsec_source=pc_trdark","https://www.xiaohongshu.com/explore/69b12c91000000000c009b34?xsec_token=TBPThwaY7kqe53qUk5J0Oyzp2djiH1QNm-pa5WwoMvlO4=&amp;xsec_source=pc_trdark")</f>
        <v>0.0</v>
      </c>
      <c r="D632" t="inlineStr">
        <is>
          <t>婉婉上班吃什么</t>
        </is>
      </c>
      <c r="E632" t="inlineStr">
        <is>
          <t>11434449706</t>
        </is>
      </c>
      <c r="F632" t="inlineStr">
        <is>
          <t>2026-03-11 16:49:21</t>
        </is>
      </c>
      <c r="G632" t="inlineStr">
        <is>
          <t>图文</t>
        </is>
      </c>
      <c r="H632" t="inlineStr">
        <is>
          <t>大虾基围虾王牌大虾厄瓜多尔白虾盐冻虾仁海洋大虾送礼顺丰包邮</t>
        </is>
      </c>
      <c r="I632" t="inlineStr">
        <is>
          <t>690aeb7be379430001e686ac</t>
        </is>
      </c>
      <c r="J632" t="inlineStr">
        <is>
          <t/>
        </is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inlineStr">
        <is>
          <t/>
        </is>
      </c>
      <c r="R632" t="inlineStr">
        <is>
          <t/>
        </is>
      </c>
      <c r="S632" t="n">
        <v>0.0</v>
      </c>
      <c r="T632" t="n">
        <v>0.0</v>
      </c>
      <c r="U632" t="n">
        <v>0.0</v>
      </c>
      <c r="V632" t="n">
        <v>0.0</v>
      </c>
      <c r="W632" t="inlineStr">
        <is>
          <t/>
        </is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4.0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4.25</v>
      </c>
      <c r="AL632" t="inlineStr">
        <is>
          <t/>
        </is>
      </c>
    </row>
    <row r="633">
      <c r="A633" t="inlineStr">
        <is>
          <t>年后管理，健身人值得按箱囤的大虾！</t>
        </is>
      </c>
      <c r="B633" t="inlineStr">
        <is>
          <t>69afbe380000000022023a73</t>
        </is>
      </c>
      <c r="C633" s="632" t="n">
        <f>HYPERLINK("https://www.xiaohongshu.com/explore/69afbe380000000022023a73?xsec_token=TBvA7Hz6ko-xGwfQy35gan6YrP0meCwAH1p-wVuuzyJUg=&amp;xsec_source=pc_trdark","https://www.xiaohongshu.com/explore/69afbe380000000022023a73?xsec_token=TBvA7Hz6ko-xGwfQy35gan6YrP0meCwAH1p-wVuuzyJUg=&amp;xsec_source=pc_trdark")</f>
        <v>0.0</v>
      </c>
      <c r="D633" t="inlineStr">
        <is>
          <t>鲜水湾甄选</t>
        </is>
      </c>
      <c r="E633" t="inlineStr">
        <is>
          <t>27401929161</t>
        </is>
      </c>
      <c r="F633" t="inlineStr">
        <is>
          <t>2026-03-10 14:46:16</t>
        </is>
      </c>
      <c r="G633" t="inlineStr">
        <is>
          <t>图文</t>
        </is>
      </c>
      <c r="H633" t="inlineStr">
        <is>
          <t>大虾基围虾王牌大虾厄瓜多尔白虾盐冻虾仁海洋大虾送礼顺丰包邮</t>
        </is>
      </c>
      <c r="I633" t="inlineStr">
        <is>
          <t>690aeb7be379430001e686ac</t>
        </is>
      </c>
      <c r="J633" t="inlineStr">
        <is>
          <t/>
        </is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inlineStr">
        <is>
          <t/>
        </is>
      </c>
      <c r="R633" t="inlineStr">
        <is>
          <t/>
        </is>
      </c>
      <c r="S633" t="n">
        <v>0.0</v>
      </c>
      <c r="T633" t="n">
        <v>0.0</v>
      </c>
      <c r="U633" t="n">
        <v>0.0</v>
      </c>
      <c r="V633" t="n">
        <v>0.0</v>
      </c>
      <c r="W633" t="inlineStr">
        <is>
          <t/>
        </is>
      </c>
      <c r="X633" t="n">
        <v>0.0</v>
      </c>
      <c r="Y633" t="n">
        <v>0.0</v>
      </c>
      <c r="Z633" t="n">
        <v>1.0</v>
      </c>
      <c r="AA633" t="n">
        <v>0.0</v>
      </c>
      <c r="AB633" t="n">
        <v>0.0</v>
      </c>
      <c r="AC633" t="n">
        <v>0.0</v>
      </c>
      <c r="AD633" t="n">
        <v>4.0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n">
        <v>5.75</v>
      </c>
      <c r="AL633" t="inlineStr">
        <is>
          <t/>
        </is>
      </c>
    </row>
    <row r="634">
      <c r="A634" t="inlineStr">
        <is>
          <t>邪修减脂就是快，连吃一周真被惊艳到了</t>
        </is>
      </c>
      <c r="B634" t="inlineStr">
        <is>
          <t>69aa93db000000002800abd5</t>
        </is>
      </c>
      <c r="C634" s="633" t="n">
        <f>HYPERLINK("https://www.xiaohongshu.com/explore/69aa93db000000002800abd5?xsec_token=TB8xU8BGf5cxJmpLtWj3tacSztNZWONWZK7_YXMZgr7j8=&amp;xsec_source=pc_trdark","https://www.xiaohongshu.com/explore/69aa93db000000002800abd5?xsec_token=TB8xU8BGf5cxJmpLtWj3tacSztNZWONWZK7_YXMZgr7j8=&amp;xsec_source=pc_trdark")</f>
        <v>0.0</v>
      </c>
      <c r="D634" t="inlineStr">
        <is>
          <t>鲜水湾</t>
        </is>
      </c>
      <c r="E634" t="inlineStr">
        <is>
          <t>49316638994</t>
        </is>
      </c>
      <c r="F634" t="inlineStr">
        <is>
          <t>2026-03-06 16:44:11</t>
        </is>
      </c>
      <c r="G634" t="inlineStr">
        <is>
          <t>图文</t>
        </is>
      </c>
      <c r="H634" t="inlineStr">
        <is>
          <t>大虾基围虾王牌大虾厄瓜多尔白虾盐冻虾仁海洋大虾送礼顺丰包邮</t>
        </is>
      </c>
      <c r="I634" t="inlineStr">
        <is>
          <t>690aeb7be379430001e686ac</t>
        </is>
      </c>
      <c r="J634" t="inlineStr">
        <is>
          <t/>
        </is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inlineStr">
        <is>
          <t/>
        </is>
      </c>
      <c r="R634" t="inlineStr">
        <is>
          <t/>
        </is>
      </c>
      <c r="S634" t="n">
        <v>0.0</v>
      </c>
      <c r="T634" t="n">
        <v>0.0</v>
      </c>
      <c r="U634" t="n">
        <v>0.0</v>
      </c>
      <c r="V634" t="n">
        <v>0.0</v>
      </c>
      <c r="W634" t="inlineStr">
        <is>
          <t/>
        </is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4.0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4.25</v>
      </c>
      <c r="AL634" t="inlineStr">
        <is>
          <t/>
        </is>
      </c>
    </row>
    <row r="635">
      <c r="A635" t="inlineStr">
        <is>
          <t>300来块真的可以爽吃一个月三文鱼</t>
        </is>
      </c>
      <c r="B635" t="inlineStr">
        <is>
          <t>69a9172c000000002603da23</t>
        </is>
      </c>
      <c r="C635" s="634" t="n">
        <f>HYPERLINK("https://www.xiaohongshu.com/explore/69a9172c000000002603da23?xsec_token=TBX1UPru9xmrqAy_hfS76TmlsKLy6u0KPdMpW9zABhv_8=&amp;xsec_source=pc_trdark","https://www.xiaohongshu.com/explore/69a9172c000000002603da23?xsec_token=TBX1UPru9xmrqAy_hfS76TmlsKLy6u0KPdMpW9zABhv_8=&amp;xsec_source=pc_trdark")</f>
        <v>0.0</v>
      </c>
      <c r="D635" t="inlineStr">
        <is>
          <t>鲜水湾甄选</t>
        </is>
      </c>
      <c r="E635" t="inlineStr">
        <is>
          <t>27401929161</t>
        </is>
      </c>
      <c r="F635" t="inlineStr">
        <is>
          <t>2026-03-05 13:39:56</t>
        </is>
      </c>
      <c r="G635" t="inlineStr">
        <is>
          <t>图文</t>
        </is>
      </c>
      <c r="H635" t="inlineStr">
        <is>
          <t>智利三文鱼切块·整条三文鱼·深海鱼一人食健康饮食</t>
        </is>
      </c>
      <c r="I635" t="inlineStr">
        <is>
          <t>691ac562a524ee0001b51d7b</t>
        </is>
      </c>
      <c r="J635" t="inlineStr">
        <is>
          <t/>
        </is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inlineStr">
        <is>
          <t/>
        </is>
      </c>
      <c r="R635" t="inlineStr">
        <is>
          <t/>
        </is>
      </c>
      <c r="S635" t="n">
        <v>0.0</v>
      </c>
      <c r="T635" t="n">
        <v>0.0</v>
      </c>
      <c r="U635" t="n">
        <v>0.0</v>
      </c>
      <c r="V635" t="n">
        <v>0.0</v>
      </c>
      <c r="W635" t="inlineStr">
        <is>
          <t/>
        </is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4.0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68.25</v>
      </c>
      <c r="AL635" t="inlineStr">
        <is>
          <t/>
        </is>
      </c>
    </row>
    <row r="636">
      <c r="A636" t="inlineStr">
        <is>
          <t>算了不劝了！300多顺丰包邮最后1天</t>
        </is>
      </c>
      <c r="B636" t="inlineStr">
        <is>
          <t>698d82ab000000000e03ffb3</t>
        </is>
      </c>
      <c r="C636" s="635" t="n">
        <f>HYPERLINK("https://www.xiaohongshu.com/explore/698d82ab000000000e03ffb3?xsec_token=TBihogQ8oj4MEfZiNNItL7aunsPzH7zs2VUKlzsN5FC3k=&amp;xsec_source=pc_trdark","https://www.xiaohongshu.com/explore/698d82ab000000000e03ffb3?xsec_token=TBihogQ8oj4MEfZiNNItL7aunsPzH7zs2VUKlzsN5FC3k=&amp;xsec_source=pc_trdark")</f>
        <v>0.0</v>
      </c>
      <c r="D636" t="inlineStr">
        <is>
          <t>鲜水湾</t>
        </is>
      </c>
      <c r="E636" t="inlineStr">
        <is>
          <t>49316638994</t>
        </is>
      </c>
      <c r="F636" t="inlineStr">
        <is>
          <t>2026-02-12 15:35:07</t>
        </is>
      </c>
      <c r="G636" t="inlineStr">
        <is>
          <t>图文</t>
        </is>
      </c>
      <c r="H636" t="inlineStr">
        <is>
          <t>智利三文鱼切块·整条三文鱼·深海鱼一人食健康饮食</t>
        </is>
      </c>
      <c r="I636" t="inlineStr">
        <is>
          <t>691ac562a524ee0001b51d7b</t>
        </is>
      </c>
      <c r="J636" t="inlineStr">
        <is>
          <t/>
        </is>
      </c>
      <c r="K636" t="n">
        <v>378.0</v>
      </c>
      <c r="L636" t="n">
        <v>1.0</v>
      </c>
      <c r="M636" t="n">
        <v>4.0</v>
      </c>
      <c r="N636" t="n">
        <v>1.0</v>
      </c>
      <c r="O636" t="n">
        <v>1.0</v>
      </c>
      <c r="P636" t="n">
        <v>1.0</v>
      </c>
      <c r="Q636" t="n">
        <v>0.25</v>
      </c>
      <c r="R636" t="n">
        <v>1.0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4.0</v>
      </c>
      <c r="AE636" t="n">
        <v>0.0</v>
      </c>
      <c r="AF636" t="n">
        <v>0.0</v>
      </c>
      <c r="AG636" t="n">
        <v>0.0</v>
      </c>
      <c r="AH636" t="n">
        <v>2.0</v>
      </c>
      <c r="AI636" t="n">
        <v>0.0</v>
      </c>
      <c r="AJ636" t="n">
        <v>0.0</v>
      </c>
      <c r="AK636" t="n">
        <v>52.0</v>
      </c>
      <c r="AL636" t="inlineStr">
        <is>
          <t/>
        </is>
      </c>
    </row>
    <row r="637">
      <c r="A637" t="inlineStr">
        <is>
          <t>讲真！自己像米其林大厨🧑‍🍳</t>
        </is>
      </c>
      <c r="B637" t="inlineStr">
        <is>
          <t>69897fe4000000002801ed74</t>
        </is>
      </c>
      <c r="C637" s="636" t="n">
        <f>HYPERLINK("https://www.xiaohongshu.com/explore/69897fe4000000002801ed74?xsec_token=TBeAeWMkLJ9etYlFDlK3pguZaINAfHwvOzpr8AxU8Cp0k=&amp;xsec_source=pc_trdark","https://www.xiaohongshu.com/explore/69897fe4000000002801ed74?xsec_token=TBeAeWMkLJ9etYlFDlK3pguZaINAfHwvOzpr8AxU8Cp0k=&amp;xsec_source=pc_trdark")</f>
        <v>0.0</v>
      </c>
      <c r="D637" t="inlineStr">
        <is>
          <t>鲜水湾</t>
        </is>
      </c>
      <c r="E637" t="inlineStr">
        <is>
          <t>49316638994</t>
        </is>
      </c>
      <c r="F637" t="inlineStr">
        <is>
          <t>2026-02-09 14:34:12</t>
        </is>
      </c>
      <c r="G637" t="inlineStr">
        <is>
          <t>图文</t>
        </is>
      </c>
      <c r="H637" t="inlineStr">
        <is>
          <t>智利三文鱼切块·整条三文鱼·深海鱼一人食健康饮食</t>
        </is>
      </c>
      <c r="I637" t="inlineStr">
        <is>
          <t>691ac562a524ee0001b51d7b</t>
        </is>
      </c>
      <c r="J637" t="inlineStr">
        <is>
          <t/>
        </is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inlineStr">
        <is>
          <t/>
        </is>
      </c>
      <c r="R637" t="inlineStr">
        <is>
          <t/>
        </is>
      </c>
      <c r="S637" t="n">
        <v>0.0</v>
      </c>
      <c r="T637" t="n">
        <v>0.0</v>
      </c>
      <c r="U637" t="n">
        <v>0.0</v>
      </c>
      <c r="V637" t="n">
        <v>0.0</v>
      </c>
      <c r="W637" t="inlineStr">
        <is>
          <t/>
        </is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4.0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13.5</v>
      </c>
      <c r="AL637" t="inlineStr">
        <is>
          <t/>
        </is>
      </c>
    </row>
    <row r="638">
      <c r="A638" t="inlineStr">
        <is>
          <t>不要低估了 300 来块的购买力，能买八九斤……</t>
        </is>
      </c>
      <c r="B638" t="inlineStr">
        <is>
          <t>69895362000000000b009467</t>
        </is>
      </c>
      <c r="C638" s="637" t="n">
        <f>HYPERLINK("https://www.xiaohongshu.com/explore/69895362000000000b009467?xsec_token=TBeAeWMkLJ9etYlFDlK3pguRoX2U6nXkTvhuLaEj73L3o=&amp;xsec_source=pc_trdark","https://www.xiaohongshu.com/explore/69895362000000000b009467?xsec_token=TBeAeWMkLJ9etYlFDlK3pguRoX2U6nXkTvhuLaEj73L3o=&amp;xsec_source=pc_trdark")</f>
        <v>0.0</v>
      </c>
      <c r="D638" t="inlineStr">
        <is>
          <t>鲜水湾甄选</t>
        </is>
      </c>
      <c r="E638" t="inlineStr">
        <is>
          <t>27401929161</t>
        </is>
      </c>
      <c r="F638" t="inlineStr">
        <is>
          <t>2026-02-09 11:24:18</t>
        </is>
      </c>
      <c r="G638" t="inlineStr">
        <is>
          <t>图文</t>
        </is>
      </c>
      <c r="H638" t="inlineStr">
        <is>
          <t>智利三文鱼切块·整条三文鱼·深海鱼一人食健康饮食</t>
        </is>
      </c>
      <c r="I638" t="inlineStr">
        <is>
          <t>691ac562a524ee0001b51d7b</t>
        </is>
      </c>
      <c r="J638" t="inlineStr">
        <is>
          <t/>
        </is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inlineStr">
        <is>
          <t/>
        </is>
      </c>
      <c r="R638" t="inlineStr">
        <is>
          <t/>
        </is>
      </c>
      <c r="S638" t="n">
        <v>0.0</v>
      </c>
      <c r="T638" t="n">
        <v>0.0</v>
      </c>
      <c r="U638" t="n">
        <v>0.0</v>
      </c>
      <c r="V638" t="n">
        <v>0.0</v>
      </c>
      <c r="W638" t="inlineStr">
        <is>
          <t/>
        </is>
      </c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4.0</v>
      </c>
      <c r="AE638" t="n">
        <v>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n">
        <v>5.75</v>
      </c>
      <c r="AL638" t="inlineStr">
        <is>
          <t/>
        </is>
      </c>
    </row>
    <row r="639">
      <c r="A639" t="inlineStr">
        <is>
          <t>100块的购买力越来越刷新我的认知了！</t>
        </is>
      </c>
      <c r="B639" t="inlineStr">
        <is>
          <t>6986a039000000000d00af7f</t>
        </is>
      </c>
      <c r="C639" s="638" t="n">
        <f>HYPERLINK("https://www.xiaohongshu.com/explore/6986a039000000000d00af7f?xsec_token=TB-LsRJw2UEyjZbU1RZqmjviQ0sgg50uAg92dV8tGzTuw=&amp;xsec_source=pc_trdark","https://www.xiaohongshu.com/explore/6986a039000000000d00af7f?xsec_token=TB-LsRJw2UEyjZbU1RZqmjviQ0sgg50uAg92dV8tGzTuw=&amp;xsec_source=pc_trdark")</f>
        <v>0.0</v>
      </c>
      <c r="D639" t="inlineStr">
        <is>
          <t>鲜水湾</t>
        </is>
      </c>
      <c r="E639" t="inlineStr">
        <is>
          <t>49316638994</t>
        </is>
      </c>
      <c r="F639" t="inlineStr">
        <is>
          <t>2026-02-07 10:15:21</t>
        </is>
      </c>
      <c r="G639" t="inlineStr">
        <is>
          <t>图文</t>
        </is>
      </c>
      <c r="H639" t="inlineStr">
        <is>
          <t>智利三文鱼切块·整条三文鱼·深海鱼一人食健康饮食</t>
        </is>
      </c>
      <c r="I639" t="inlineStr">
        <is>
          <t>691ac562a524ee0001b51d7b</t>
        </is>
      </c>
      <c r="J639" t="inlineStr">
        <is>
          <t/>
        </is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inlineStr">
        <is>
          <t/>
        </is>
      </c>
      <c r="R639" t="inlineStr">
        <is>
          <t/>
        </is>
      </c>
      <c r="S639" t="n">
        <v>0.0</v>
      </c>
      <c r="T639" t="n">
        <v>0.0</v>
      </c>
      <c r="U639" t="n">
        <v>0.0</v>
      </c>
      <c r="V639" t="n">
        <v>0.0</v>
      </c>
      <c r="W639" t="inlineStr">
        <is>
          <t/>
        </is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4.0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1.5</v>
      </c>
      <c r="AL639" t="inlineStr">
        <is>
          <t/>
        </is>
      </c>
    </row>
    <row r="640">
      <c r="A640" t="inlineStr">
        <is>
          <t>长期吃三文鱼的代价就是。。。</t>
        </is>
      </c>
      <c r="B640" t="inlineStr">
        <is>
          <t>6984530c000000001a0347a5</t>
        </is>
      </c>
      <c r="C640" s="639" t="n">
        <f>HYPERLINK("https://www.xiaohongshu.com/explore/6984530c000000001a0347a5?xsec_token=TBn0ftdrPlwv37Gn1tDFpAI2puJNXEBAJ5Efs_F6Mp2zs=&amp;xsec_source=pc_trdark","https://www.xiaohongshu.com/explore/6984530c000000001a0347a5?xsec_token=TBn0ftdrPlwv37Gn1tDFpAI2puJNXEBAJ5Efs_F6Mp2zs=&amp;xsec_source=pc_trdark")</f>
        <v>0.0</v>
      </c>
      <c r="D640" t="inlineStr">
        <is>
          <t>鲜水湾</t>
        </is>
      </c>
      <c r="E640" t="inlineStr">
        <is>
          <t>49316638994</t>
        </is>
      </c>
      <c r="F640" t="inlineStr">
        <is>
          <t>2026-02-05 16:21:32</t>
        </is>
      </c>
      <c r="G640" t="inlineStr">
        <is>
          <t>图文</t>
        </is>
      </c>
      <c r="H640" t="inlineStr">
        <is>
          <t>智利三文鱼切块·整条三文鱼·深海鱼一人食健康饮食</t>
        </is>
      </c>
      <c r="I640" t="inlineStr">
        <is>
          <t>691ac562a524ee0001b51d7b</t>
        </is>
      </c>
      <c r="J640" t="inlineStr">
        <is>
          <t/>
        </is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inlineStr">
        <is>
          <t/>
        </is>
      </c>
      <c r="R640" t="inlineStr">
        <is>
          <t/>
        </is>
      </c>
      <c r="S640" t="n">
        <v>0.0</v>
      </c>
      <c r="T640" t="n">
        <v>0.0</v>
      </c>
      <c r="U640" t="n">
        <v>0.0</v>
      </c>
      <c r="V640" t="n">
        <v>0.0</v>
      </c>
      <c r="W640" t="inlineStr">
        <is>
          <t/>
        </is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4.0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12.25</v>
      </c>
      <c r="AL640" t="inlineStr">
        <is>
          <t/>
        </is>
      </c>
    </row>
    <row r="641">
      <c r="A641" t="inlineStr">
        <is>
          <t>新年送礼被问爆！整条三文鱼礼盒太有面了</t>
        </is>
      </c>
      <c r="B641" t="inlineStr">
        <is>
          <t>698197600000000028021a81</t>
        </is>
      </c>
      <c r="C641" s="640" t="n">
        <f>HYPERLINK("https://www.xiaohongshu.com/explore/698197600000000028021a81?xsec_token=TBCSP6T6xotiZWoIZvuSKQiBW6fQAyJUVJP04K6Tt2nJw=&amp;xsec_source=pc_trdark","https://www.xiaohongshu.com/explore/698197600000000028021a81?xsec_token=TBCSP6T6xotiZWoIZvuSKQiBW6fQAyJUVJP04K6Tt2nJw=&amp;xsec_source=pc_trdark")</f>
        <v>0.0</v>
      </c>
      <c r="D641" t="inlineStr">
        <is>
          <t>鲜水湾</t>
        </is>
      </c>
      <c r="E641" t="inlineStr">
        <is>
          <t>49316638994</t>
        </is>
      </c>
      <c r="F641" t="inlineStr">
        <is>
          <t>2026-02-03 14:36:16</t>
        </is>
      </c>
      <c r="G641" t="inlineStr">
        <is>
          <t>图文</t>
        </is>
      </c>
      <c r="H641" t="inlineStr">
        <is>
          <t>智利三文鱼切块·整条三文鱼·深海鱼一人食健康饮食</t>
        </is>
      </c>
      <c r="I641" t="inlineStr">
        <is>
          <t>691ac562a524ee0001b51d7b</t>
        </is>
      </c>
      <c r="J641" t="inlineStr">
        <is>
          <t/>
        </is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inlineStr">
        <is>
          <t/>
        </is>
      </c>
      <c r="R641" t="inlineStr">
        <is>
          <t/>
        </is>
      </c>
      <c r="S641" t="n">
        <v>0.0</v>
      </c>
      <c r="T641" t="n">
        <v>0.0</v>
      </c>
      <c r="U641" t="n">
        <v>0.0</v>
      </c>
      <c r="V641" t="n">
        <v>0.0</v>
      </c>
      <c r="W641" t="inlineStr">
        <is>
          <t/>
        </is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4.0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5.5</v>
      </c>
      <c r="AL641" t="inlineStr">
        <is>
          <t/>
        </is>
      </c>
    </row>
    <row r="642">
      <c r="A642" t="inlineStr">
        <is>
          <t>三文鱼补蛋白质比牛肉还猛，整条才300多…</t>
        </is>
      </c>
      <c r="B642" t="inlineStr">
        <is>
          <t>6978cf1c000000000e00df74</t>
        </is>
      </c>
      <c r="C642" s="641" t="n">
        <f>HYPERLINK("https://www.xiaohongshu.com/explore/6978cf1c000000000e00df74?xsec_token=TB4uixe4FoDg0vEpIlbspmipHM29uc79_xYphutBinVZY=&amp;xsec_source=pc_trdark","https://www.xiaohongshu.com/explore/6978cf1c000000000e00df74?xsec_token=TB4uixe4FoDg0vEpIlbspmipHM29uc79_xYphutBinVZY=&amp;xsec_source=pc_trdark")</f>
        <v>0.0</v>
      </c>
      <c r="D642" t="inlineStr">
        <is>
          <t>鲜水湾</t>
        </is>
      </c>
      <c r="E642" t="inlineStr">
        <is>
          <t>49316638994</t>
        </is>
      </c>
      <c r="F642" t="inlineStr">
        <is>
          <t>2026-01-27 22:43:40</t>
        </is>
      </c>
      <c r="G642" t="inlineStr">
        <is>
          <t>图文</t>
        </is>
      </c>
      <c r="H642" t="inlineStr">
        <is>
          <t>智利三文鱼切块·整条三文鱼·深海鱼一人食健康饮食</t>
        </is>
      </c>
      <c r="I642" t="inlineStr">
        <is>
          <t>691ac562a524ee0001b51d7b</t>
        </is>
      </c>
      <c r="J642" t="inlineStr">
        <is>
          <t/>
        </is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inlineStr">
        <is>
          <t/>
        </is>
      </c>
      <c r="R642" t="inlineStr">
        <is>
          <t/>
        </is>
      </c>
      <c r="S642" t="n">
        <v>0.0</v>
      </c>
      <c r="T642" t="n">
        <v>0.0</v>
      </c>
      <c r="U642" t="n">
        <v>0.0</v>
      </c>
      <c r="V642" t="n">
        <v>0.0</v>
      </c>
      <c r="W642" t="inlineStr">
        <is>
          <t/>
        </is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4.0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10.5</v>
      </c>
      <c r="AL642" t="inlineStr">
        <is>
          <t/>
        </is>
      </c>
    </row>
    <row r="643">
      <c r="A643" t="inlineStr">
        <is>
          <t>终于找到性价比天花板！这三文鱼比⛰️姆划算</t>
        </is>
      </c>
      <c r="B643" t="inlineStr">
        <is>
          <t>69770c77000000001a01cb2f</t>
        </is>
      </c>
      <c r="C643" s="642" t="n">
        <f>HYPERLINK("https://www.xiaohongshu.com/explore/69770c77000000001a01cb2f?xsec_token=TBZa2Y5La6UySpk4oKPt7hfxYzxcd8zC6ovj4vxPHsmAg=&amp;xsec_source=pc_trdark","https://www.xiaohongshu.com/explore/69770c77000000001a01cb2f?xsec_token=TBZa2Y5La6UySpk4oKPt7hfxYzxcd8zC6ovj4vxPHsmAg=&amp;xsec_source=pc_trdark")</f>
        <v>0.0</v>
      </c>
      <c r="D643" t="inlineStr">
        <is>
          <t>鲜水湾</t>
        </is>
      </c>
      <c r="E643" t="inlineStr">
        <is>
          <t>49316638994</t>
        </is>
      </c>
      <c r="F643" t="inlineStr">
        <is>
          <t>2026-01-26 14:40:55</t>
        </is>
      </c>
      <c r="G643" t="inlineStr">
        <is>
          <t>图文</t>
        </is>
      </c>
      <c r="H643" t="inlineStr">
        <is>
          <t>智利三文鱼切块·整条三文鱼·深海鱼一人食健康饮食</t>
        </is>
      </c>
      <c r="I643" t="inlineStr">
        <is>
          <t>691ac562a524ee0001b51d7b</t>
        </is>
      </c>
      <c r="J643" t="inlineStr">
        <is>
          <t/>
        </is>
      </c>
      <c r="K643" t="n">
        <v>0.0</v>
      </c>
      <c r="L643" t="n">
        <v>0.0</v>
      </c>
      <c r="M643" t="n">
        <v>1.0</v>
      </c>
      <c r="N643" t="n">
        <v>0.25</v>
      </c>
      <c r="O643" t="n">
        <v>1.0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inlineStr">
        <is>
          <t/>
        </is>
      </c>
      <c r="X643" t="n">
        <v>0.0</v>
      </c>
      <c r="Y643" t="n">
        <v>0.0</v>
      </c>
      <c r="Z643" t="n">
        <v>2.0</v>
      </c>
      <c r="AA643" t="n">
        <v>0.0</v>
      </c>
      <c r="AB643" t="n">
        <v>0.0</v>
      </c>
      <c r="AC643" t="n">
        <v>0.0</v>
      </c>
      <c r="AD643" t="n">
        <v>4.0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4.25</v>
      </c>
      <c r="AL643" t="inlineStr">
        <is>
          <t/>
        </is>
      </c>
    </row>
    <row r="644">
      <c r="A644" t="inlineStr">
        <is>
          <t>这乳山生蚝49.9一箱光是口感就赢麻了</t>
        </is>
      </c>
      <c r="B644" t="inlineStr">
        <is>
          <t>696a474d000000001a02c985</t>
        </is>
      </c>
      <c r="C644" s="643" t="n">
        <f>HYPERLINK("https://www.xiaohongshu.com/explore/696a474d000000001a02c985?xsec_token=TB0eXhepDH8HSHhoc_PkmgA4xaPxro562b0unkESVDxtg=&amp;xsec_source=pc_trdark","https://www.xiaohongshu.com/explore/696a474d000000001a02c985?xsec_token=TB0eXhepDH8HSHhoc_PkmgA4xaPxro562b0unkESVDxtg=&amp;xsec_source=pc_trdark")</f>
        <v>0.0</v>
      </c>
      <c r="D644" t="inlineStr">
        <is>
          <t>婉婉上班吃什么</t>
        </is>
      </c>
      <c r="E644" t="inlineStr">
        <is>
          <t>11434449706</t>
        </is>
      </c>
      <c r="F644" t="inlineStr">
        <is>
          <t>2026-01-16 22:12:29</t>
        </is>
      </c>
      <c r="G644" t="inlineStr">
        <is>
          <t>视频</t>
        </is>
      </c>
      <c r="H644" t="inlineStr">
        <is>
          <t>生蚝乳山生蚝海蛎子顺丰包邮</t>
        </is>
      </c>
      <c r="I644" t="inlineStr">
        <is>
          <t>690c70971b787900010866cc</t>
        </is>
      </c>
      <c r="J644" t="n">
        <v>13.0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inlineStr">
        <is>
          <t/>
        </is>
      </c>
      <c r="R644" t="inlineStr">
        <is>
          <t/>
        </is>
      </c>
      <c r="S644" t="n">
        <v>0.0</v>
      </c>
      <c r="T644" t="n">
        <v>0.0</v>
      </c>
      <c r="U644" t="n">
        <v>0.0</v>
      </c>
      <c r="V644" t="n">
        <v>0.0</v>
      </c>
      <c r="W644" t="inlineStr">
        <is>
          <t/>
        </is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4.0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1.25</v>
      </c>
      <c r="AL644" t="n">
        <v>0.0</v>
      </c>
    </row>
    <row r="645">
      <c r="A645" t="inlineStr">
        <is>
          <t>建议男人过了40多吃生蚝，40+一箱的生蚝真肥</t>
        </is>
      </c>
      <c r="B645" t="inlineStr">
        <is>
          <t>69509b7b000000001e0242ce</t>
        </is>
      </c>
      <c r="C645" s="644" t="n">
        <f>HYPERLINK("https://www.xiaohongshu.com/explore/69509b7b000000001e0242ce?xsec_token=TBZlsVk_u522I8N-JhGtRMDt_31dwPsls_8oOedinU-fs=&amp;xsec_source=pc_trdark","https://www.xiaohongshu.com/explore/69509b7b000000001e0242ce?xsec_token=TBZlsVk_u522I8N-JhGtRMDt_31dwPsls_8oOedinU-fs=&amp;xsec_source=pc_trdark")</f>
        <v>0.0</v>
      </c>
      <c r="D645" t="inlineStr">
        <is>
          <t>婉婉上班吃什么</t>
        </is>
      </c>
      <c r="E645" t="inlineStr">
        <is>
          <t>11434449706</t>
        </is>
      </c>
      <c r="F645" t="inlineStr">
        <is>
          <t>2025-12-28 10:52:43</t>
        </is>
      </c>
      <c r="G645" t="inlineStr">
        <is>
          <t>图文</t>
        </is>
      </c>
      <c r="H645" t="inlineStr">
        <is>
          <t>生蚝乳山生蚝海蛎子顺丰包邮</t>
        </is>
      </c>
      <c r="I645" t="inlineStr">
        <is>
          <t>690c70971b787900010866cc</t>
        </is>
      </c>
      <c r="J645" t="inlineStr">
        <is>
          <t/>
        </is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inlineStr">
        <is>
          <t/>
        </is>
      </c>
      <c r="R645" t="inlineStr">
        <is>
          <t/>
        </is>
      </c>
      <c r="S645" t="n">
        <v>0.0</v>
      </c>
      <c r="T645" t="n">
        <v>0.0</v>
      </c>
      <c r="U645" t="n">
        <v>0.0</v>
      </c>
      <c r="V645" t="n">
        <v>0.0</v>
      </c>
      <c r="W645" t="inlineStr">
        <is>
          <t/>
        </is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4.0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3.25</v>
      </c>
      <c r="AL645" t="inlineStr">
        <is>
          <t/>
        </is>
      </c>
    </row>
    <row r="646">
      <c r="A646" t="inlineStr">
        <is>
          <t>我爸：大虾你就25一斤卖总会出单的</t>
        </is>
      </c>
      <c r="B646" t="inlineStr">
        <is>
          <t>6942b246000000001f006aec</t>
        </is>
      </c>
      <c r="C646" s="645" t="n">
        <f>HYPERLINK("https://www.xiaohongshu.com/explore/6942b246000000001f006aec?xsec_token=TB0tDM60Z2n8tclFaINyevIaVt7CMYfI-7ya499lFojHI=&amp;xsec_source=pc_trdark","https://www.xiaohongshu.com/explore/6942b246000000001f006aec?xsec_token=TB0tDM60Z2n8tclFaINyevIaVt7CMYfI-7ya499lFojHI=&amp;xsec_source=pc_trdark")</f>
        <v>0.0</v>
      </c>
      <c r="D646" t="inlineStr">
        <is>
          <t>鲜水湾</t>
        </is>
      </c>
      <c r="E646" t="inlineStr">
        <is>
          <t>49316638994</t>
        </is>
      </c>
      <c r="F646" t="inlineStr">
        <is>
          <t>2025-12-17 21:38:14</t>
        </is>
      </c>
      <c r="G646" t="inlineStr">
        <is>
          <t>图文</t>
        </is>
      </c>
      <c r="H646" t="inlineStr">
        <is>
          <t>大虾基围虾王牌大虾厄瓜多尔白虾盐冻虾仁海洋大虾送礼顺丰包邮</t>
        </is>
      </c>
      <c r="I646" t="inlineStr">
        <is>
          <t>690aeb7be379430001e686ac</t>
        </is>
      </c>
      <c r="J646" t="inlineStr">
        <is>
          <t/>
        </is>
      </c>
      <c r="K646" t="n">
        <v>0.0</v>
      </c>
      <c r="L646" t="n">
        <v>0.0</v>
      </c>
      <c r="M646" t="n">
        <v>1.0</v>
      </c>
      <c r="N646" t="n">
        <v>0.25</v>
      </c>
      <c r="O646" t="n">
        <v>1.0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inlineStr">
        <is>
          <t/>
        </is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4.0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n">
        <v>4.0</v>
      </c>
      <c r="AL646" t="inlineStr">
        <is>
          <t/>
        </is>
      </c>
    </row>
    <row r="647">
      <c r="A647" t="inlineStr">
        <is>
          <t>为什么网上减脂的人很少吃虾啊？</t>
        </is>
      </c>
      <c r="B647" t="inlineStr">
        <is>
          <t>69287242000000001e02637f</t>
        </is>
      </c>
      <c r="C647" s="646" t="n">
        <f>HYPERLINK("https://www.xiaohongshu.com/explore/69287242000000001e02637f?xsec_token=TB7YCQGJ8vrzp8yv38IzH520xd3NiOBFPrjaWgOz9Kc7A=&amp;xsec_source=pc_trdark","https://www.xiaohongshu.com/explore/69287242000000001e02637f?xsec_token=TB7YCQGJ8vrzp8yv38IzH520xd3NiOBFPrjaWgOz9Kc7A=&amp;xsec_source=pc_trdark")</f>
        <v>0.0</v>
      </c>
      <c r="D647" t="inlineStr">
        <is>
          <t>鲜水湾</t>
        </is>
      </c>
      <c r="E647" t="inlineStr">
        <is>
          <t>49316638994</t>
        </is>
      </c>
      <c r="F647" t="inlineStr">
        <is>
          <t>2025-11-27 23:46:10</t>
        </is>
      </c>
      <c r="G647" t="inlineStr">
        <is>
          <t>图文</t>
        </is>
      </c>
      <c r="H647" t="inlineStr">
        <is>
          <t>大虾基围虾王牌大虾厄瓜多尔白虾盐冻虾仁海洋大虾送礼顺丰包邮</t>
        </is>
      </c>
      <c r="I647" t="inlineStr">
        <is>
          <t>690aeb7be379430001e686ac</t>
        </is>
      </c>
      <c r="J647" t="inlineStr">
        <is>
          <t/>
        </is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inlineStr">
        <is>
          <t/>
        </is>
      </c>
      <c r="R647" t="inlineStr">
        <is>
          <t/>
        </is>
      </c>
      <c r="S647" t="n">
        <v>0.0</v>
      </c>
      <c r="T647" t="n">
        <v>0.0</v>
      </c>
      <c r="U647" t="n">
        <v>0.0</v>
      </c>
      <c r="V647" t="n">
        <v>0.0</v>
      </c>
      <c r="W647" t="inlineStr">
        <is>
          <t/>
        </is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4.0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2.5</v>
      </c>
      <c r="AL647" t="inlineStr">
        <is>
          <t/>
        </is>
      </c>
    </row>
    <row r="648">
      <c r="A648" t="inlineStr">
        <is>
          <t>在办公室吃虾，结果整个公司都被种草了🥺</t>
        </is>
      </c>
      <c r="B648" t="inlineStr">
        <is>
          <t>69154f1a0000000004011889</t>
        </is>
      </c>
      <c r="C648" s="647" t="n">
        <f>HYPERLINK("https://www.xiaohongshu.com/explore/69154f1a0000000004011889?xsec_token=TBAg-veJq-9HvX6LdnoJFXasyK0CljA2XvM9Bauv3uBSI=&amp;xsec_source=pc_trdark","https://www.xiaohongshu.com/explore/69154f1a0000000004011889?xsec_token=TBAg-veJq-9HvX6LdnoJFXasyK0CljA2XvM9Bauv3uBSI=&amp;xsec_source=pc_trdark")</f>
        <v>0.0</v>
      </c>
      <c r="D648" t="inlineStr">
        <is>
          <t>鲜水湾</t>
        </is>
      </c>
      <c r="E648" t="inlineStr">
        <is>
          <t>49316638994</t>
        </is>
      </c>
      <c r="F648" t="inlineStr">
        <is>
          <t>2025-11-13 11:23:06</t>
        </is>
      </c>
      <c r="G648" t="inlineStr">
        <is>
          <t>图文</t>
        </is>
      </c>
      <c r="H648" t="inlineStr">
        <is>
          <t>大虾基围虾王牌大虾厄瓜多尔白虾盐冻虾仁海洋大虾送礼顺丰包邮</t>
        </is>
      </c>
      <c r="I648" t="inlineStr">
        <is>
          <t>690aeb7be379430001e686ac</t>
        </is>
      </c>
      <c r="J648" t="inlineStr">
        <is>
          <t/>
        </is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inlineStr">
        <is>
          <t/>
        </is>
      </c>
      <c r="R648" t="inlineStr">
        <is>
          <t/>
        </is>
      </c>
      <c r="S648" t="n">
        <v>0.0</v>
      </c>
      <c r="T648" t="n">
        <v>0.0</v>
      </c>
      <c r="U648" t="n">
        <v>0.0</v>
      </c>
      <c r="V648" t="n">
        <v>0.0</v>
      </c>
      <c r="W648" t="inlineStr">
        <is>
          <t/>
        </is>
      </c>
      <c r="X648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4.0</v>
      </c>
      <c r="AE648" t="n">
        <v>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3.0</v>
      </c>
      <c r="AL648" t="inlineStr">
        <is>
          <t/>
        </is>
      </c>
    </row>
    <row r="649">
      <c r="A649" t="inlineStr">
        <is>
          <t>感谢315，让我家虾仁被更多人看到🥹</t>
        </is>
      </c>
      <c r="B649" t="inlineStr">
        <is>
          <t>69c641a500000000230154c3</t>
        </is>
      </c>
      <c r="C649" s="648" t="n">
        <f>HYPERLINK("https://www.xiaohongshu.com/explore/69c641a500000000230154c3?xsec_token=TBR8u6ZWGQ_m04-W6r1rkZPJdloJzg5YnUrW5L2opzm_E=&amp;xsec_source=pc_trdark","https://www.xiaohongshu.com/explore/69c641a500000000230154c3?xsec_token=TBR8u6ZWGQ_m04-W6r1rkZPJdloJzg5YnUrW5L2opzm_E=&amp;xsec_source=pc_trdark")</f>
        <v>0.0</v>
      </c>
      <c r="D649" t="inlineStr">
        <is>
          <t>鲜水湾</t>
        </is>
      </c>
      <c r="E649" t="inlineStr">
        <is>
          <t>49316638994</t>
        </is>
      </c>
      <c r="F649" t="inlineStr">
        <is>
          <t>2026-03-27 16:36:53</t>
        </is>
      </c>
      <c r="G649" t="inlineStr">
        <is>
          <t>图文</t>
        </is>
      </c>
      <c r="H649" t="inlineStr">
        <is>
          <t>手剥虾仁 无冰衣无添加 低脂餐一人食 上班带饭 顺丰包邮 5盒装</t>
        </is>
      </c>
      <c r="I649" t="inlineStr">
        <is>
          <t>694baba01d450d00013662f0</t>
        </is>
      </c>
      <c r="J649" t="inlineStr">
        <is>
          <t/>
        </is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inlineStr">
        <is>
          <t/>
        </is>
      </c>
      <c r="R649" t="inlineStr">
        <is>
          <t/>
        </is>
      </c>
      <c r="S649" t="n">
        <v>0.0</v>
      </c>
      <c r="T649" t="n">
        <v>0.0</v>
      </c>
      <c r="U649" t="n">
        <v>0.0</v>
      </c>
      <c r="V649" t="n">
        <v>0.0</v>
      </c>
      <c r="W649" t="inlineStr">
        <is>
          <t/>
        </is>
      </c>
      <c r="X649" t="n">
        <v>0.0</v>
      </c>
      <c r="Y649" t="n">
        <v>0.0</v>
      </c>
      <c r="Z649" t="n">
        <v>1.0</v>
      </c>
      <c r="AA649" t="n">
        <v>0.0</v>
      </c>
      <c r="AB649" t="n">
        <v>0.0</v>
      </c>
      <c r="AC649" t="n">
        <v>0.0</v>
      </c>
      <c r="AD649" t="n">
        <v>3.0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3.0</v>
      </c>
      <c r="AL649" t="inlineStr">
        <is>
          <t/>
        </is>
      </c>
    </row>
    <row r="650">
      <c r="A650" t="inlineStr">
        <is>
          <t>因为上班带饭被同事误以为家境拮据…</t>
        </is>
      </c>
      <c r="B650" t="inlineStr">
        <is>
          <t>69c627150000000023006d2e</t>
        </is>
      </c>
      <c r="C650" s="649" t="n">
        <f>HYPERLINK("https://www.xiaohongshu.com/explore/69c627150000000023006d2e?xsec_token=TBR8u6ZWGQ_m04-W6r1rkZPHdEc13tXva5z2A-caBz_A4=&amp;xsec_source=pc_trdark","https://www.xiaohongshu.com/explore/69c627150000000023006d2e?xsec_token=TBR8u6ZWGQ_m04-W6r1rkZPHdEc13tXva5z2A-caBz_A4=&amp;xsec_source=pc_trdark")</f>
        <v>0.0</v>
      </c>
      <c r="D650" t="inlineStr">
        <is>
          <t>菲菲上班吃什么</t>
        </is>
      </c>
      <c r="E650" t="inlineStr">
        <is>
          <t>49936530607</t>
        </is>
      </c>
      <c r="F650" t="inlineStr">
        <is>
          <t>2026-03-27 14:43:33</t>
        </is>
      </c>
      <c r="G650" t="inlineStr">
        <is>
          <t>图文</t>
        </is>
      </c>
      <c r="H650" t="inlineStr">
        <is>
          <t>手剥虾仁 无冰衣无添加 低脂餐一人食 上班带饭 顺丰包邮 5盒装</t>
        </is>
      </c>
      <c r="I650" t="inlineStr">
        <is>
          <t>694baba01d450d00013662f0</t>
        </is>
      </c>
      <c r="J650" t="inlineStr">
        <is>
          <t/>
        </is>
      </c>
      <c r="K650" t="n">
        <v>0.0</v>
      </c>
      <c r="L650" t="n">
        <v>0.0</v>
      </c>
      <c r="M650" t="n">
        <v>1.0</v>
      </c>
      <c r="N650" t="n">
        <v>0.3333333333333333</v>
      </c>
      <c r="O650" t="n">
        <v>1.0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inlineStr">
        <is>
          <t/>
        </is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3.0</v>
      </c>
      <c r="AE650" t="n">
        <v>1.0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5.0</v>
      </c>
      <c r="AL650" t="inlineStr">
        <is>
          <t/>
        </is>
      </c>
    </row>
    <row r="651">
      <c r="A651" t="inlineStr">
        <is>
          <t>区区69竟然够我吃一周了😂</t>
        </is>
      </c>
      <c r="B651" t="inlineStr">
        <is>
          <t>69c146cd000000002003a7c1</t>
        </is>
      </c>
      <c r="C651" s="650" t="n">
        <f>HYPERLINK("https://www.xiaohongshu.com/explore/69c146cd000000002003a7c1?xsec_token=TBltfkQyXS0u_Ko7SgIzuBYvj6Nmm3ZUprI1MEbWYlQZA=&amp;xsec_source=pc_trdark","https://www.xiaohongshu.com/explore/69c146cd000000002003a7c1?xsec_token=TBltfkQyXS0u_Ko7SgIzuBYvj6Nmm3ZUprI1MEbWYlQZA=&amp;xsec_source=pc_trdark")</f>
        <v>0.0</v>
      </c>
      <c r="D651" t="inlineStr">
        <is>
          <t>鲜水湾</t>
        </is>
      </c>
      <c r="E651" t="inlineStr">
        <is>
          <t>49316638994</t>
        </is>
      </c>
      <c r="F651" t="inlineStr">
        <is>
          <t>2026-03-23 21:57:33</t>
        </is>
      </c>
      <c r="G651" t="inlineStr">
        <is>
          <t>图文</t>
        </is>
      </c>
      <c r="H651" t="inlineStr">
        <is>
          <t>手剥虾仁 无冰衣无添加 低脂餐一人食 上班带饭 顺丰包邮 5盒装</t>
        </is>
      </c>
      <c r="I651" t="inlineStr">
        <is>
          <t>694baba01d450d00013662f0</t>
        </is>
      </c>
      <c r="J651" t="inlineStr">
        <is>
          <t/>
        </is>
      </c>
      <c r="K651" t="n">
        <v>0.0</v>
      </c>
      <c r="L651" t="n">
        <v>0.0</v>
      </c>
      <c r="M651" t="n">
        <v>2.0</v>
      </c>
      <c r="N651" t="n">
        <v>0.6666666666666666</v>
      </c>
      <c r="O651" t="n">
        <v>2.0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inlineStr">
        <is>
          <t/>
        </is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3.0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59.666666666666664</v>
      </c>
      <c r="AL651" t="inlineStr">
        <is>
          <t/>
        </is>
      </c>
    </row>
    <row r="652">
      <c r="A652" t="inlineStr">
        <is>
          <t>算了不劝了……这价卖保水剂虾仁，那真没良心</t>
        </is>
      </c>
      <c r="B652" t="inlineStr">
        <is>
          <t>69bcdae4000000001a02d392</t>
        </is>
      </c>
      <c r="C652" s="651" t="n">
        <f>HYPERLINK("https://www.xiaohongshu.com/explore/69bcdae4000000001a02d392?xsec_token=TBfIJFVzszocpn5U7ogutYTYV7gvs086Vg6V5meGtLkyc=&amp;xsec_source=pc_trdark","https://www.xiaohongshu.com/explore/69bcdae4000000001a02d392?xsec_token=TBfIJFVzszocpn5U7ogutYTYV7gvs086Vg6V5meGtLkyc=&amp;xsec_source=pc_trdark")</f>
        <v>0.0</v>
      </c>
      <c r="D652" t="inlineStr">
        <is>
          <t>鲜水湾</t>
        </is>
      </c>
      <c r="E652" t="inlineStr">
        <is>
          <t>49316638994</t>
        </is>
      </c>
      <c r="F652" t="inlineStr">
        <is>
          <t>2026-03-20 13:28:04</t>
        </is>
      </c>
      <c r="G652" t="inlineStr">
        <is>
          <t>图文</t>
        </is>
      </c>
      <c r="H652" t="inlineStr">
        <is>
          <t>手剥虾仁 无冰衣无添加 低脂餐一人食 上班带饭 顺丰包邮 5盒装</t>
        </is>
      </c>
      <c r="I652" t="inlineStr">
        <is>
          <t>694baba01d450d00013662f0</t>
        </is>
      </c>
      <c r="J652" t="inlineStr">
        <is>
          <t/>
        </is>
      </c>
      <c r="K652" t="n">
        <v>69.0</v>
      </c>
      <c r="L652" t="n">
        <v>1.0</v>
      </c>
      <c r="M652" t="n">
        <v>1.0</v>
      </c>
      <c r="N652" t="n">
        <v>0.3333333333333333</v>
      </c>
      <c r="O652" t="n">
        <v>1.0</v>
      </c>
      <c r="P652" t="n">
        <v>1.0</v>
      </c>
      <c r="Q652" t="n">
        <v>1.0</v>
      </c>
      <c r="R652" t="n">
        <v>1.0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2.0</v>
      </c>
      <c r="Z652" t="n">
        <v>3.0</v>
      </c>
      <c r="AA652" t="n">
        <v>0.0</v>
      </c>
      <c r="AB652" t="n">
        <v>0.0</v>
      </c>
      <c r="AC652" t="n">
        <v>0.0</v>
      </c>
      <c r="AD652" t="n">
        <v>3.0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72.0</v>
      </c>
      <c r="AL652" t="inlineStr">
        <is>
          <t/>
        </is>
      </c>
    </row>
    <row r="653">
      <c r="A653" t="inlineStr">
        <is>
          <t>又囤上了😂100块承包了半个多月的减脂餐</t>
        </is>
      </c>
      <c r="B653" t="inlineStr">
        <is>
          <t>69bbbb3d000000001f006d84</t>
        </is>
      </c>
      <c r="C653" s="652" t="n">
        <f>HYPERLINK("https://www.xiaohongshu.com/explore/69bbbb3d000000001f006d84?xsec_token=TBbjiHoA30T3IRnkbtYIm1O1AY1_S8RzBxvY1GjLZ5CRs=&amp;xsec_source=pc_trdark","https://www.xiaohongshu.com/explore/69bbbb3d000000001f006d84?xsec_token=TBbjiHoA30T3IRnkbtYIm1O1AY1_S8RzBxvY1GjLZ5CRs=&amp;xsec_source=pc_trdark")</f>
        <v>0.0</v>
      </c>
      <c r="D653" t="inlineStr">
        <is>
          <t>鲜水湾</t>
        </is>
      </c>
      <c r="E653" t="inlineStr">
        <is>
          <t>49316638994</t>
        </is>
      </c>
      <c r="F653" t="inlineStr">
        <is>
          <t>2026-03-19 17:00:45</t>
        </is>
      </c>
      <c r="G653" t="inlineStr">
        <is>
          <t>图文</t>
        </is>
      </c>
      <c r="H653" t="inlineStr">
        <is>
          <t>手剥虾仁 无冰衣无添加 低脂餐一人食 上班带饭 顺丰包邮 5盒装</t>
        </is>
      </c>
      <c r="I653" t="inlineStr">
        <is>
          <t>694baba01d450d00013662f0</t>
        </is>
      </c>
      <c r="J653" t="inlineStr">
        <is>
          <t/>
        </is>
      </c>
      <c r="K653" t="n">
        <v>0.0</v>
      </c>
      <c r="L653" t="n">
        <v>0.0</v>
      </c>
      <c r="M653" t="n">
        <v>2.0</v>
      </c>
      <c r="N653" t="n">
        <v>0.6666666666666666</v>
      </c>
      <c r="O653" t="n">
        <v>1.0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inlineStr">
        <is>
          <t/>
        </is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3.0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2.3333333333333335</v>
      </c>
      <c r="AL653" t="inlineStr">
        <is>
          <t/>
        </is>
      </c>
    </row>
    <row r="654">
      <c r="A654" t="inlineStr">
        <is>
          <t>在小红书买的！一人食小包装虾仁🍤</t>
        </is>
      </c>
      <c r="B654" t="inlineStr">
        <is>
          <t>69babd40000000002302116a</t>
        </is>
      </c>
      <c r="C654" s="653" t="n">
        <f>HYPERLINK("https://www.xiaohongshu.com/explore/69babd40000000002302116a?xsec_token=TBgJVNruMKjnZKfHBYiZtZCSfHKszfRzVYvjHLoPCVc9c=&amp;xsec_source=pc_trdark","https://www.xiaohongshu.com/explore/69babd40000000002302116a?xsec_token=TBgJVNruMKjnZKfHBYiZtZCSfHKszfRzVYvjHLoPCVc9c=&amp;xsec_source=pc_trdark")</f>
        <v>0.0</v>
      </c>
      <c r="D654" t="inlineStr">
        <is>
          <t>鲜水湾甄选</t>
        </is>
      </c>
      <c r="E654" t="inlineStr">
        <is>
          <t>27401929161</t>
        </is>
      </c>
      <c r="F654" t="inlineStr">
        <is>
          <t>2026-03-18 22:57:04</t>
        </is>
      </c>
      <c r="G654" t="inlineStr">
        <is>
          <t>图文</t>
        </is>
      </c>
      <c r="H654" t="inlineStr">
        <is>
          <t>手剥虾仁 无冰衣无添加 低脂餐一人食 上班带饭 顺丰包邮 5盒装</t>
        </is>
      </c>
      <c r="I654" t="inlineStr">
        <is>
          <t>694baba01d450d00013662f0</t>
        </is>
      </c>
      <c r="J654" t="inlineStr">
        <is>
          <t/>
        </is>
      </c>
      <c r="K654" t="n">
        <v>0.0</v>
      </c>
      <c r="L654" t="n">
        <v>0.0</v>
      </c>
      <c r="M654" t="n">
        <v>1.0</v>
      </c>
      <c r="N654" t="n">
        <v>0.3333333333333333</v>
      </c>
      <c r="O654" t="n">
        <v>1.0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inlineStr">
        <is>
          <t/>
        </is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3.0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7.666666666666667</v>
      </c>
      <c r="AL654" t="inlineStr">
        <is>
          <t/>
        </is>
      </c>
    </row>
    <row r="655">
      <c r="A655" t="inlineStr">
        <is>
          <t>说一个撑死人但热量很低的东西！</t>
        </is>
      </c>
      <c r="B655" t="inlineStr">
        <is>
          <t>69b8ea03000000001b020297</t>
        </is>
      </c>
      <c r="C655" s="654" t="n">
        <f>HYPERLINK("https://www.xiaohongshu.com/explore/69b8ea03000000001b020297?xsec_token=TBfbAEHpo8FSFeopDu7XYUighbZEYDNDpuTDowyyB4z_c=&amp;xsec_source=pc_trdark","https://www.xiaohongshu.com/explore/69b8ea03000000001b020297?xsec_token=TBfbAEHpo8FSFeopDu7XYUighbZEYDNDpuTDowyyB4z_c=&amp;xsec_source=pc_trdark")</f>
        <v>0.0</v>
      </c>
      <c r="D655" t="inlineStr">
        <is>
          <t>婉婉上班吃什么</t>
        </is>
      </c>
      <c r="E655" t="inlineStr">
        <is>
          <t>11434449706</t>
        </is>
      </c>
      <c r="F655" t="inlineStr">
        <is>
          <t>2026-03-17 13:43:31</t>
        </is>
      </c>
      <c r="G655" t="inlineStr">
        <is>
          <t>图文</t>
        </is>
      </c>
      <c r="H655" t="inlineStr">
        <is>
          <t>手剥虾仁 无冰衣无添加 低脂餐一人食 上班带饭 顺丰包邮 5盒装</t>
        </is>
      </c>
      <c r="I655" t="inlineStr">
        <is>
          <t>694baba01d450d00013662f0</t>
        </is>
      </c>
      <c r="J655" t="inlineStr">
        <is>
          <t/>
        </is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inlineStr">
        <is>
          <t/>
        </is>
      </c>
      <c r="R655" t="inlineStr">
        <is>
          <t/>
        </is>
      </c>
      <c r="S655" t="n">
        <v>0.0</v>
      </c>
      <c r="T655" t="n">
        <v>0.0</v>
      </c>
      <c r="U655" t="n">
        <v>0.0</v>
      </c>
      <c r="V655" t="n">
        <v>0.0</v>
      </c>
      <c r="W655" t="inlineStr">
        <is>
          <t/>
        </is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3.0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4.333333333333333</v>
      </c>
      <c r="AL655" t="inlineStr">
        <is>
          <t/>
        </is>
      </c>
    </row>
    <row r="656">
      <c r="A656" t="inlineStr">
        <is>
          <t>奶奶的绝了！减脂健身餐天花板 一周才60多</t>
        </is>
      </c>
      <c r="B656" t="inlineStr">
        <is>
          <t>69b795d4000000001a02eed5</t>
        </is>
      </c>
      <c r="C656" s="655" t="n">
        <f>HYPERLINK("https://www.xiaohongshu.com/explore/69b795d4000000001a02eed5?xsec_token=TBioiHaRPpzHnl86RCtCFk9gFILfRpLG80EX7ANZxkiCM=&amp;xsec_source=pc_trdark","https://www.xiaohongshu.com/explore/69b795d4000000001a02eed5?xsec_token=TBioiHaRPpzHnl86RCtCFk9gFILfRpLG80EX7ANZxkiCM=&amp;xsec_source=pc_trdark")</f>
        <v>0.0</v>
      </c>
      <c r="D656" t="inlineStr">
        <is>
          <t>婉婉上班吃什么</t>
        </is>
      </c>
      <c r="E656" t="inlineStr">
        <is>
          <t>11434449706</t>
        </is>
      </c>
      <c r="F656" t="inlineStr">
        <is>
          <t>2026-03-16 13:32:04</t>
        </is>
      </c>
      <c r="G656" t="inlineStr">
        <is>
          <t>图文</t>
        </is>
      </c>
      <c r="H656" t="inlineStr">
        <is>
          <t>手剥虾仁 无冰衣无添加 低脂餐一人食 上班带饭 顺丰包邮 5盒装</t>
        </is>
      </c>
      <c r="I656" t="inlineStr">
        <is>
          <t>694baba01d450d00013662f0</t>
        </is>
      </c>
      <c r="J656" t="inlineStr">
        <is>
          <t/>
        </is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inlineStr">
        <is>
          <t/>
        </is>
      </c>
      <c r="R656" t="inlineStr">
        <is>
          <t/>
        </is>
      </c>
      <c r="S656" t="n">
        <v>0.0</v>
      </c>
      <c r="T656" t="n">
        <v>0.0</v>
      </c>
      <c r="U656" t="n">
        <v>0.0</v>
      </c>
      <c r="V656" t="n">
        <v>0.0</v>
      </c>
      <c r="W656" t="inlineStr">
        <is>
          <t/>
        </is>
      </c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3.0</v>
      </c>
      <c r="AE656" t="n">
        <v>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n">
        <v>65.33333333333333</v>
      </c>
      <c r="AL656" t="inlineStr">
        <is>
          <t/>
        </is>
      </c>
    </row>
    <row r="657">
      <c r="A657" t="inlineStr">
        <is>
          <t>爸妈对于我每天吃一盒虾仁，表示很奢侈！</t>
        </is>
      </c>
      <c r="B657" t="inlineStr">
        <is>
          <t>69b75d96000000001f00385e</t>
        </is>
      </c>
      <c r="C657" s="656" t="n">
        <f>HYPERLINK("https://www.xiaohongshu.com/explore/69b75d96000000001f00385e?xsec_token=TBioiHaRPpzHnl86RCtCFk9iuT34eQlrApC3cuLbTpDao=&amp;xsec_source=pc_trdark","https://www.xiaohongshu.com/explore/69b75d96000000001f00385e?xsec_token=TBioiHaRPpzHnl86RCtCFk9iuT34eQlrApC3cuLbTpDao=&amp;xsec_source=pc_trdark")</f>
        <v>0.0</v>
      </c>
      <c r="D657" t="inlineStr">
        <is>
          <t>婉婉上班吃什么</t>
        </is>
      </c>
      <c r="E657" t="inlineStr">
        <is>
          <t>11434449706</t>
        </is>
      </c>
      <c r="F657" t="inlineStr">
        <is>
          <t>2026-03-16 09:32:06</t>
        </is>
      </c>
      <c r="G657" t="inlineStr">
        <is>
          <t>图文</t>
        </is>
      </c>
      <c r="H657" t="inlineStr">
        <is>
          <t>手剥虾仁 无冰衣无添加 低脂餐一人食 上班带饭 顺丰包邮 5盒装</t>
        </is>
      </c>
      <c r="I657" t="inlineStr">
        <is>
          <t>694baba01d450d00013662f0</t>
        </is>
      </c>
      <c r="J657" t="inlineStr">
        <is>
          <t/>
        </is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inlineStr">
        <is>
          <t/>
        </is>
      </c>
      <c r="R657" t="inlineStr">
        <is>
          <t/>
        </is>
      </c>
      <c r="S657" t="n">
        <v>0.0</v>
      </c>
      <c r="T657" t="n">
        <v>0.0</v>
      </c>
      <c r="U657" t="n">
        <v>0.0</v>
      </c>
      <c r="V657" t="n">
        <v>0.0</v>
      </c>
      <c r="W657" t="inlineStr">
        <is>
          <t/>
        </is>
      </c>
      <c r="X657" t="n">
        <v>0.0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3.0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5.0</v>
      </c>
      <c r="AL657" t="inlineStr">
        <is>
          <t/>
        </is>
      </c>
    </row>
    <row r="658">
      <c r="A658" t="inlineStr">
        <is>
          <t>69r承包一周轻食！我是真没想到🍤</t>
        </is>
      </c>
      <c r="B658" t="inlineStr">
        <is>
          <t>69b6cc6a000000001b021e96</t>
        </is>
      </c>
      <c r="C658" s="657" t="n">
        <f>HYPERLINK("https://www.xiaohongshu.com/explore/69b6cc6a000000001b021e96?xsec_token=TBwpaEqA4ODk9qkUKPtwfpqWKEK3kE9r0oxxvG5sZ7zWo=&amp;xsec_source=pc_trdark","https://www.xiaohongshu.com/explore/69b6cc6a000000001b021e96?xsec_token=TBwpaEqA4ODk9qkUKPtwfpqWKEK3kE9r0oxxvG5sZ7zWo=&amp;xsec_source=pc_trdark")</f>
        <v>0.0</v>
      </c>
      <c r="D658" t="inlineStr">
        <is>
          <t>婉婉上班吃什么</t>
        </is>
      </c>
      <c r="E658" t="inlineStr">
        <is>
          <t>11434449706</t>
        </is>
      </c>
      <c r="F658" t="inlineStr">
        <is>
          <t>2026-03-15 23:12:42</t>
        </is>
      </c>
      <c r="G658" t="inlineStr">
        <is>
          <t>图文</t>
        </is>
      </c>
      <c r="H658" t="inlineStr">
        <is>
          <t>手剥虾仁 无冰衣无添加 低脂餐一人食 上班带饭 顺丰包邮 5盒装</t>
        </is>
      </c>
      <c r="I658" t="inlineStr">
        <is>
          <t>694baba01d450d00013662f0</t>
        </is>
      </c>
      <c r="J658" t="inlineStr">
        <is>
          <t/>
        </is>
      </c>
      <c r="K658" t="n">
        <v>0.0</v>
      </c>
      <c r="L658" t="n">
        <v>0.0</v>
      </c>
      <c r="M658" t="n">
        <v>1.0</v>
      </c>
      <c r="N658" t="n">
        <v>0.3333333333333333</v>
      </c>
      <c r="O658" t="n">
        <v>1.0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inlineStr">
        <is>
          <t/>
        </is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3.0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6.666666666666667</v>
      </c>
      <c r="AL658" t="inlineStr">
        <is>
          <t/>
        </is>
      </c>
    </row>
    <row r="659">
      <c r="A659" t="inlineStr">
        <is>
          <t>这盘三文鱼餐，承包了我一天的快乐和营养</t>
        </is>
      </c>
      <c r="B659" t="inlineStr">
        <is>
          <t>69ae8868000000002801cdbd</t>
        </is>
      </c>
      <c r="C659" s="658" t="n">
        <f>HYPERLINK("https://www.xiaohongshu.com/explore/69ae8868000000002801cdbd?xsec_token=TBy3i3TfmyKE7XGojG_cT9hZxfO_Yt35ktjtr-38ewnJE=&amp;xsec_source=pc_trdark","https://www.xiaohongshu.com/explore/69ae8868000000002801cdbd?xsec_token=TBy3i3TfmyKE7XGojG_cT9hZxfO_Yt35ktjtr-38ewnJE=&amp;xsec_source=pc_trdark")</f>
        <v>0.0</v>
      </c>
      <c r="D659" t="inlineStr">
        <is>
          <t>鲜水湾</t>
        </is>
      </c>
      <c r="E659" t="inlineStr">
        <is>
          <t>49316638994</t>
        </is>
      </c>
      <c r="F659" t="inlineStr">
        <is>
          <t>2026-03-09 16:44:24</t>
        </is>
      </c>
      <c r="G659" t="inlineStr">
        <is>
          <t>图文</t>
        </is>
      </c>
      <c r="H659" t="inlineStr">
        <is>
          <t>智利三文鱼切块·整条三文鱼·深海鱼一人食健康饮食</t>
        </is>
      </c>
      <c r="I659" t="inlineStr">
        <is>
          <t>691ac562a524ee0001b51d7b</t>
        </is>
      </c>
      <c r="J659" t="inlineStr">
        <is>
          <t/>
        </is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inlineStr">
        <is>
          <t/>
        </is>
      </c>
      <c r="R659" t="inlineStr">
        <is>
          <t/>
        </is>
      </c>
      <c r="S659" t="n">
        <v>0.0</v>
      </c>
      <c r="T659" t="n">
        <v>0.0</v>
      </c>
      <c r="U659" t="n">
        <v>0.0</v>
      </c>
      <c r="V659" t="n">
        <v>0.0</v>
      </c>
      <c r="W659" t="inlineStr">
        <is>
          <t/>
        </is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3.0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3.3333333333333335</v>
      </c>
      <c r="AL659" t="inlineStr">
        <is>
          <t/>
        </is>
      </c>
    </row>
    <row r="660">
      <c r="A660" t="inlineStr">
        <is>
          <t>控体期不知道回购了多少袋的虾仁</t>
        </is>
      </c>
      <c r="B660" t="inlineStr">
        <is>
          <t>69ae737e000000001a0265ad</t>
        </is>
      </c>
      <c r="C660" s="659" t="n">
        <f>HYPERLINK("https://www.xiaohongshu.com/explore/69ae737e000000001a0265ad?xsec_token=TBy3i3TfmyKE7XGojG_cT9hdh06ePQSkl9_6GAiqMH1Fg=&amp;xsec_source=pc_trdark","https://www.xiaohongshu.com/explore/69ae737e000000001a0265ad?xsec_token=TBy3i3TfmyKE7XGojG_cT9hdh06ePQSkl9_6GAiqMH1Fg=&amp;xsec_source=pc_trdark")</f>
        <v>0.0</v>
      </c>
      <c r="D660" t="inlineStr">
        <is>
          <t>婉婉上班吃什么</t>
        </is>
      </c>
      <c r="E660" t="inlineStr">
        <is>
          <t>11434449706</t>
        </is>
      </c>
      <c r="F660" t="inlineStr">
        <is>
          <t>2026-03-09 15:15:10</t>
        </is>
      </c>
      <c r="G660" t="inlineStr">
        <is>
          <t>图文</t>
        </is>
      </c>
      <c r="H660" t="inlineStr">
        <is>
          <t>手剥虾仁 无冰衣无添加 低脂餐一人食 上班带饭 顺丰包邮 5盒装</t>
        </is>
      </c>
      <c r="I660" t="inlineStr">
        <is>
          <t>694baba01d450d00013662f0</t>
        </is>
      </c>
      <c r="J660" t="inlineStr">
        <is>
          <t/>
        </is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inlineStr">
        <is>
          <t/>
        </is>
      </c>
      <c r="R660" t="inlineStr">
        <is>
          <t/>
        </is>
      </c>
      <c r="S660" t="n">
        <v>0.0</v>
      </c>
      <c r="T660" t="n">
        <v>0.0</v>
      </c>
      <c r="U660" t="n">
        <v>0.0</v>
      </c>
      <c r="V660" t="n">
        <v>0.0</v>
      </c>
      <c r="W660" t="inlineStr">
        <is>
          <t/>
        </is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3.0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2.3333333333333335</v>
      </c>
      <c r="AL660" t="inlineStr">
        <is>
          <t/>
        </is>
      </c>
    </row>
    <row r="661">
      <c r="A661" t="inlineStr">
        <is>
          <t>为什么我宁愿天天吃虾仁也不愿喝蛋白粉？</t>
        </is>
      </c>
      <c r="B661" t="inlineStr">
        <is>
          <t>69ae6a310000000022033fb7</t>
        </is>
      </c>
      <c r="C661" s="660" t="n">
        <f>HYPERLINK("https://www.xiaohongshu.com/explore/69ae6a310000000022033fb7?xsec_token=TBy3i3TfmyKE7XGojG_cT9hS7XU_TgSwL6pxcciAC6Hcg=&amp;xsec_source=pc_trdark","https://www.xiaohongshu.com/explore/69ae6a310000000022033fb7?xsec_token=TBy3i3TfmyKE7XGojG_cT9hS7XU_TgSwL6pxcciAC6Hcg=&amp;xsec_source=pc_trdark")</f>
        <v>0.0</v>
      </c>
      <c r="D661" t="inlineStr">
        <is>
          <t>鲜水湾甄选</t>
        </is>
      </c>
      <c r="E661" t="inlineStr">
        <is>
          <t>27401929161</t>
        </is>
      </c>
      <c r="F661" t="inlineStr">
        <is>
          <t>2026-03-09 14:35:29</t>
        </is>
      </c>
      <c r="G661" t="inlineStr">
        <is>
          <t>图文</t>
        </is>
      </c>
      <c r="H661" t="inlineStr">
        <is>
          <t>手剥虾仁 无冰衣无添加 低脂餐一人食 上班带饭 顺丰包邮 5盒装</t>
        </is>
      </c>
      <c r="I661" t="inlineStr">
        <is>
          <t>694baba01d450d00013662f0</t>
        </is>
      </c>
      <c r="J661" t="inlineStr">
        <is>
          <t/>
        </is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inlineStr">
        <is>
          <t/>
        </is>
      </c>
      <c r="R661" t="inlineStr">
        <is>
          <t/>
        </is>
      </c>
      <c r="S661" t="n">
        <v>0.0</v>
      </c>
      <c r="T661" t="n">
        <v>0.0</v>
      </c>
      <c r="U661" t="n">
        <v>0.0</v>
      </c>
      <c r="V661" t="n">
        <v>0.0</v>
      </c>
      <c r="W661" t="inlineStr">
        <is>
          <t/>
        </is>
      </c>
      <c r="X661" t="n">
        <v>0.0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3.0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8.666666666666666</v>
      </c>
      <c r="AL661" t="inlineStr">
        <is>
          <t/>
        </is>
      </c>
    </row>
    <row r="662">
      <c r="A662" t="inlineStr">
        <is>
          <t>同事笑我吃虾仁奢侈？结果我一百能吃一周</t>
        </is>
      </c>
      <c r="B662" t="inlineStr">
        <is>
          <t>69ad60db000000001a029588</t>
        </is>
      </c>
      <c r="C662" s="661" t="n">
        <f>HYPERLINK("https://www.xiaohongshu.com/explore/69ad60db000000001a029588?xsec_token=TBsauhpT2AwjD8NBV7WI8gZMzyH4pKM3jU7FhamJKNJJM=&amp;xsec_source=pc_trdark","https://www.xiaohongshu.com/explore/69ad60db000000001a029588?xsec_token=TBsauhpT2AwjD8NBV7WI8gZMzyH4pKM3jU7FhamJKNJJM=&amp;xsec_source=pc_trdark")</f>
        <v>0.0</v>
      </c>
      <c r="D662" t="inlineStr">
        <is>
          <t>婉婉上班吃什么</t>
        </is>
      </c>
      <c r="E662" t="inlineStr">
        <is>
          <t>11434449706</t>
        </is>
      </c>
      <c r="F662" t="inlineStr">
        <is>
          <t>2026-03-08 19:43:23</t>
        </is>
      </c>
      <c r="G662" t="inlineStr">
        <is>
          <t>图文</t>
        </is>
      </c>
      <c r="H662" t="inlineStr">
        <is>
          <t>手剥虾仁 无冰衣无添加 低脂餐一人食 上班带饭 顺丰包邮 5盒装</t>
        </is>
      </c>
      <c r="I662" t="inlineStr">
        <is>
          <t>694baba01d450d00013662f0</t>
        </is>
      </c>
      <c r="J662" t="inlineStr">
        <is>
          <t/>
        </is>
      </c>
      <c r="K662" t="n">
        <v>0.0</v>
      </c>
      <c r="L662" t="n">
        <v>0.0</v>
      </c>
      <c r="M662" t="n">
        <v>1.0</v>
      </c>
      <c r="N662" t="n">
        <v>0.3333333333333333</v>
      </c>
      <c r="O662" t="n">
        <v>1.0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inlineStr">
        <is>
          <t/>
        </is>
      </c>
      <c r="X662" t="n">
        <v>0.0</v>
      </c>
      <c r="Y662" t="n">
        <v>1.0</v>
      </c>
      <c r="Z662" t="n">
        <v>0.0</v>
      </c>
      <c r="AA662" t="n">
        <v>0.0</v>
      </c>
      <c r="AB662" t="n">
        <v>0.0</v>
      </c>
      <c r="AC662" t="n">
        <v>0.0</v>
      </c>
      <c r="AD662" t="n">
        <v>3.0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4.666666666666667</v>
      </c>
      <c r="AL662" t="inlineStr">
        <is>
          <t/>
        </is>
      </c>
    </row>
    <row r="663">
      <c r="A663" t="inlineStr">
        <is>
          <t>自从减脂买了这个虾仁🍤，一个月省好几百！</t>
        </is>
      </c>
      <c r="B663" t="inlineStr">
        <is>
          <t>69a17d74000000001a037572</t>
        </is>
      </c>
      <c r="C663" s="662" t="n">
        <f>HYPERLINK("https://www.xiaohongshu.com/explore/69a17d74000000001a037572?xsec_token=TBk7Tu9foWGIsieMmGc2tlwonvTIGzChTME6-ODDFvbdw=&amp;xsec_source=pc_trdark","https://www.xiaohongshu.com/explore/69a17d74000000001a037572?xsec_token=TBk7Tu9foWGIsieMmGc2tlwonvTIGzChTME6-ODDFvbdw=&amp;xsec_source=pc_trdark")</f>
        <v>0.0</v>
      </c>
      <c r="D663" t="inlineStr">
        <is>
          <t>鲜水湾</t>
        </is>
      </c>
      <c r="E663" t="inlineStr">
        <is>
          <t>49316638994</t>
        </is>
      </c>
      <c r="F663" t="inlineStr">
        <is>
          <t>2026-02-27 19:18:12</t>
        </is>
      </c>
      <c r="G663" t="inlineStr">
        <is>
          <t>图文</t>
        </is>
      </c>
      <c r="H663" t="inlineStr">
        <is>
          <t>手剥虾仁 无冰衣无添加 低脂餐一人食 上班带饭 顺丰包邮 5盒装</t>
        </is>
      </c>
      <c r="I663" t="inlineStr">
        <is>
          <t>694baba01d450d00013662f0</t>
        </is>
      </c>
      <c r="J663" t="inlineStr">
        <is>
          <t/>
        </is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inlineStr">
        <is>
          <t/>
        </is>
      </c>
      <c r="R663" t="inlineStr">
        <is>
          <t/>
        </is>
      </c>
      <c r="S663" t="n">
        <v>0.0</v>
      </c>
      <c r="T663" t="n">
        <v>0.0</v>
      </c>
      <c r="U663" t="n">
        <v>0.0</v>
      </c>
      <c r="V663" t="n">
        <v>0.0</v>
      </c>
      <c r="W663" t="inlineStr">
        <is>
          <t/>
        </is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3.0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1.6666666666666667</v>
      </c>
      <c r="AL663" t="inlineStr">
        <is>
          <t/>
        </is>
      </c>
    </row>
    <row r="664">
      <c r="A664" t="inlineStr">
        <is>
          <t>春节快速回复状态：多吃高钾食物</t>
        </is>
      </c>
      <c r="B664" t="inlineStr">
        <is>
          <t>699e7341000000001a02240c</t>
        </is>
      </c>
      <c r="C664" s="663" t="n">
        <f>HYPERLINK("https://www.xiaohongshu.com/explore/699e7341000000001a02240c?xsec_token=TBggKgSP0tIUAtqBAPfP3mLYtMkfFhWb042bWYIwFhasA=&amp;xsec_source=pc_trdark","https://www.xiaohongshu.com/explore/699e7341000000001a02240c?xsec_token=TBggKgSP0tIUAtqBAPfP3mLYtMkfFhWb042bWYIwFhasA=&amp;xsec_source=pc_trdark")</f>
        <v>0.0</v>
      </c>
      <c r="D664" t="inlineStr">
        <is>
          <t>鲜水湾</t>
        </is>
      </c>
      <c r="E664" t="inlineStr">
        <is>
          <t>49316638994</t>
        </is>
      </c>
      <c r="F664" t="inlineStr">
        <is>
          <t>2026-02-25 11:57:53</t>
        </is>
      </c>
      <c r="G664" t="inlineStr">
        <is>
          <t>图文</t>
        </is>
      </c>
      <c r="H664" t="inlineStr">
        <is>
          <t>智利三文鱼切块·整条三文鱼·深海鱼一人食健康饮食</t>
        </is>
      </c>
      <c r="I664" t="inlineStr">
        <is>
          <t>691ac562a524ee0001b51d7b</t>
        </is>
      </c>
      <c r="J664" t="inlineStr">
        <is>
          <t/>
        </is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inlineStr">
        <is>
          <t/>
        </is>
      </c>
      <c r="R664" t="inlineStr">
        <is>
          <t/>
        </is>
      </c>
      <c r="S664" t="n">
        <v>0.0</v>
      </c>
      <c r="T664" t="n">
        <v>0.0</v>
      </c>
      <c r="U664" t="n">
        <v>0.0</v>
      </c>
      <c r="V664" t="n">
        <v>0.0</v>
      </c>
      <c r="W664" t="inlineStr">
        <is>
          <t/>
        </is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3.0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2.3333333333333335</v>
      </c>
      <c r="AL664" t="inlineStr">
        <is>
          <t/>
        </is>
      </c>
    </row>
    <row r="665">
      <c r="A665" t="inlineStr">
        <is>
          <t>区区69/盒，承包我半个月减脂餐了</t>
        </is>
      </c>
      <c r="B665" t="inlineStr">
        <is>
          <t>698afed0000000001a02598b</t>
        </is>
      </c>
      <c r="C665" s="664" t="n">
        <f>HYPERLINK("https://www.xiaohongshu.com/explore/698afed0000000001a02598b?xsec_token=TBG0mKfxVH0N0QJz26OSUyhRtILSkWqJa2D6sJqW_8bY0=&amp;xsec_source=pc_trdark","https://www.xiaohongshu.com/explore/698afed0000000001a02598b?xsec_token=TBG0mKfxVH0N0QJz26OSUyhRtILSkWqJa2D6sJqW_8bY0=&amp;xsec_source=pc_trdark")</f>
        <v>0.0</v>
      </c>
      <c r="D665" t="inlineStr">
        <is>
          <t>鲜水湾</t>
        </is>
      </c>
      <c r="E665" t="inlineStr">
        <is>
          <t>49316638994</t>
        </is>
      </c>
      <c r="F665" t="inlineStr">
        <is>
          <t>2026-02-10 17:48:00</t>
        </is>
      </c>
      <c r="G665" t="inlineStr">
        <is>
          <t>图文</t>
        </is>
      </c>
      <c r="H665" t="inlineStr">
        <is>
          <t>大虾基围虾王牌大虾厄瓜多尔白虾盐冻虾仁海洋大虾送礼顺丰包邮</t>
        </is>
      </c>
      <c r="I665" t="inlineStr">
        <is>
          <t>690aeb7be379430001e686ac</t>
        </is>
      </c>
      <c r="J665" t="inlineStr">
        <is>
          <t/>
        </is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inlineStr">
        <is>
          <t/>
        </is>
      </c>
      <c r="R665" t="inlineStr">
        <is>
          <t/>
        </is>
      </c>
      <c r="S665" t="n">
        <v>0.0</v>
      </c>
      <c r="T665" t="n">
        <v>0.0</v>
      </c>
      <c r="U665" t="n">
        <v>0.0</v>
      </c>
      <c r="V665" t="n">
        <v>0.0</v>
      </c>
      <c r="W665" t="inlineStr">
        <is>
          <t/>
        </is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3.0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16.666666666666668</v>
      </c>
      <c r="AL665" t="inlineStr">
        <is>
          <t/>
        </is>
      </c>
    </row>
    <row r="666">
      <c r="A666" t="inlineStr">
        <is>
          <t>区区300块承包了我一个月的低脂餐</t>
        </is>
      </c>
      <c r="B666" t="inlineStr">
        <is>
          <t>6976c763000000001a02bd8d</t>
        </is>
      </c>
      <c r="C666" s="665" t="n">
        <f>HYPERLINK("https://www.xiaohongshu.com/explore/6976c763000000001a02bd8d?xsec_token=TBEjiQazNQ2GMSJvE5OHqWXpZu9XuycYyPoI8S0NbTa78=&amp;xsec_source=pc_trdark","https://www.xiaohongshu.com/explore/6976c763000000001a02bd8d?xsec_token=TBEjiQazNQ2GMSJvE5OHqWXpZu9XuycYyPoI8S0NbTa78=&amp;xsec_source=pc_trdark")</f>
        <v>0.0</v>
      </c>
      <c r="D666" t="inlineStr">
        <is>
          <t>鲜水湾</t>
        </is>
      </c>
      <c r="E666" t="inlineStr">
        <is>
          <t>49316638994</t>
        </is>
      </c>
      <c r="F666" t="inlineStr">
        <is>
          <t>2026-01-26 09:46:11</t>
        </is>
      </c>
      <c r="G666" t="inlineStr">
        <is>
          <t>图文</t>
        </is>
      </c>
      <c r="H666" t="inlineStr">
        <is>
          <t>智利三文鱼切块·整条三文鱼·深海鱼一人食健康饮食</t>
        </is>
      </c>
      <c r="I666" t="inlineStr">
        <is>
          <t>691ac562a524ee0001b51d7b</t>
        </is>
      </c>
      <c r="J666" t="inlineStr">
        <is>
          <t/>
        </is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inlineStr">
        <is>
          <t/>
        </is>
      </c>
      <c r="R666" t="inlineStr">
        <is>
          <t/>
        </is>
      </c>
      <c r="S666" t="n">
        <v>0.0</v>
      </c>
      <c r="T666" t="n">
        <v>0.0</v>
      </c>
      <c r="U666" t="n">
        <v>0.0</v>
      </c>
      <c r="V666" t="n">
        <v>0.0</v>
      </c>
      <c r="W666" t="inlineStr">
        <is>
          <t/>
        </is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3.0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17.333333333333332</v>
      </c>
      <c r="AL666" t="inlineStr">
        <is>
          <t/>
        </is>
      </c>
    </row>
    <row r="667">
      <c r="A667" t="inlineStr">
        <is>
          <t>老爸：你就49.9五斤总会出单的</t>
        </is>
      </c>
      <c r="B667" t="inlineStr">
        <is>
          <t>69699d9a000000001a01c003</t>
        </is>
      </c>
      <c r="C667" s="666" t="n">
        <f>HYPERLINK("https://www.xiaohongshu.com/explore/69699d9a000000001a01c003?xsec_token=TBrfrRU4wM2w5bDKUviah5T2PhBAVzaWRQTOplttkH1Jk=&amp;xsec_source=pc_trdark","https://www.xiaohongshu.com/explore/69699d9a000000001a01c003?xsec_token=TBrfrRU4wM2w5bDKUviah5T2PhBAVzaWRQTOplttkH1Jk=&amp;xsec_source=pc_trdark")</f>
        <v>0.0</v>
      </c>
      <c r="D667" t="inlineStr">
        <is>
          <t>婉婉上班吃什么</t>
        </is>
      </c>
      <c r="E667" t="inlineStr">
        <is>
          <t>11434449706</t>
        </is>
      </c>
      <c r="F667" t="inlineStr">
        <is>
          <t>2026-01-16 10:08:26</t>
        </is>
      </c>
      <c r="G667" t="inlineStr">
        <is>
          <t>视频</t>
        </is>
      </c>
      <c r="H667" t="inlineStr">
        <is>
          <t>生蚝乳山生蚝海蛎子顺丰包邮</t>
        </is>
      </c>
      <c r="I667" t="inlineStr">
        <is>
          <t>690c70971b787900010866cc</t>
        </is>
      </c>
      <c r="J667" t="n">
        <v>22.0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inlineStr">
        <is>
          <t/>
        </is>
      </c>
      <c r="R667" t="inlineStr">
        <is>
          <t/>
        </is>
      </c>
      <c r="S667" t="n">
        <v>0.0</v>
      </c>
      <c r="T667" t="n">
        <v>0.0</v>
      </c>
      <c r="U667" t="n">
        <v>0.0</v>
      </c>
      <c r="V667" t="n">
        <v>0.0</v>
      </c>
      <c r="W667" t="inlineStr">
        <is>
          <t/>
        </is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3.0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4.0</v>
      </c>
      <c r="AL667" t="n">
        <v>0.0</v>
      </c>
    </row>
    <row r="668">
      <c r="A668" t="inlineStr">
        <is>
          <t>低估了200多的购买力了</t>
        </is>
      </c>
      <c r="B668" t="inlineStr">
        <is>
          <t>694002d6000000001f00dda4</t>
        </is>
      </c>
      <c r="C668" s="667" t="n">
        <f>HYPERLINK("https://www.xiaohongshu.com/explore/694002d6000000001f00dda4?xsec_token=TBzm36tUj4jhogPihZGtakWQrr_kym20zAn6MsvZ2T6aU=&amp;xsec_source=pc_trdark","https://www.xiaohongshu.com/explore/694002d6000000001f00dda4?xsec_token=TBzm36tUj4jhogPihZGtakWQrr_kym20zAn6MsvZ2T6aU=&amp;xsec_source=pc_trdark")</f>
        <v>0.0</v>
      </c>
      <c r="D668" t="inlineStr">
        <is>
          <t>鲜水湾</t>
        </is>
      </c>
      <c r="E668" t="inlineStr">
        <is>
          <t>49316638994</t>
        </is>
      </c>
      <c r="F668" t="inlineStr">
        <is>
          <t>2025-12-15 20:45:10</t>
        </is>
      </c>
      <c r="G668" t="inlineStr">
        <is>
          <t>图文</t>
        </is>
      </c>
      <c r="H668" t="inlineStr">
        <is>
          <t>智利三文鱼切块·整条三文鱼·深海鱼一人食健康饮食</t>
        </is>
      </c>
      <c r="I668" t="inlineStr">
        <is>
          <t>691ac562a524ee0001b51d7b</t>
        </is>
      </c>
      <c r="J668" t="inlineStr">
        <is>
          <t/>
        </is>
      </c>
      <c r="K668" t="n">
        <v>0.0</v>
      </c>
      <c r="L668" t="n">
        <v>0.0</v>
      </c>
      <c r="M668" t="n">
        <v>1.0</v>
      </c>
      <c r="N668" t="n">
        <v>0.3333333333333333</v>
      </c>
      <c r="O668" t="n">
        <v>1.0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inlineStr">
        <is>
          <t/>
        </is>
      </c>
      <c r="X668" t="n">
        <v>0.0</v>
      </c>
      <c r="Y668" t="n">
        <v>1.0</v>
      </c>
      <c r="Z668" t="n">
        <v>0.0</v>
      </c>
      <c r="AA668" t="n">
        <v>0.0</v>
      </c>
      <c r="AB668" t="n">
        <v>0.0</v>
      </c>
      <c r="AC668" t="n">
        <v>0.0</v>
      </c>
      <c r="AD668" t="n">
        <v>3.0</v>
      </c>
      <c r="AE668" t="n">
        <v>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n">
        <v>7.666666666666667</v>
      </c>
      <c r="AL668" t="inlineStr">
        <is>
          <t/>
        </is>
      </c>
    </row>
    <row r="669">
      <c r="A669" t="inlineStr">
        <is>
          <t>一定要尝尝这个49.9r五斤的乳山生蚝！</t>
        </is>
      </c>
      <c r="B669" t="inlineStr">
        <is>
          <t>693fbc0f000000001e0388c5</t>
        </is>
      </c>
      <c r="C669" s="668" t="n">
        <f>HYPERLINK("https://www.xiaohongshu.com/explore/693fbc0f000000001e0388c5?xsec_token=TB1R2yju8ccr97WVPo1goJUAHzI_Uw9P_WDQyZH2LtLn8=&amp;xsec_source=pc_trdark","https://www.xiaohongshu.com/explore/693fbc0f000000001e0388c5?xsec_token=TB1R2yju8ccr97WVPo1goJUAHzI_Uw9P_WDQyZH2LtLn8=&amp;xsec_source=pc_trdark")</f>
        <v>0.0</v>
      </c>
      <c r="D669" t="inlineStr">
        <is>
          <t>婉婉上班吃什么</t>
        </is>
      </c>
      <c r="E669" t="inlineStr">
        <is>
          <t>11434449706</t>
        </is>
      </c>
      <c r="F669" t="inlineStr">
        <is>
          <t>2025-12-15 15:43:11</t>
        </is>
      </c>
      <c r="G669" t="inlineStr">
        <is>
          <t>视频</t>
        </is>
      </c>
      <c r="H669" t="inlineStr">
        <is>
          <t>生蚝乳山生蚝海蛎子顺丰包邮</t>
        </is>
      </c>
      <c r="I669" t="inlineStr">
        <is>
          <t>690c70971b787900010866cc</t>
        </is>
      </c>
      <c r="J669" t="n">
        <v>26.0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inlineStr">
        <is>
          <t/>
        </is>
      </c>
      <c r="R669" t="inlineStr">
        <is>
          <t/>
        </is>
      </c>
      <c r="S669" t="n">
        <v>0.0</v>
      </c>
      <c r="T669" t="n">
        <v>0.0</v>
      </c>
      <c r="U669" t="n">
        <v>0.0</v>
      </c>
      <c r="V669" t="n">
        <v>0.0</v>
      </c>
      <c r="W669" t="inlineStr">
        <is>
          <t/>
        </is>
      </c>
      <c r="X669" t="n">
        <v>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3.0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2.0</v>
      </c>
      <c r="AL669" t="n">
        <v>0.0</v>
      </c>
    </row>
    <row r="670">
      <c r="A670" t="inlineStr">
        <is>
          <t>向全世界安利我减脂期经常回购的大虾</t>
        </is>
      </c>
      <c r="B670" t="inlineStr">
        <is>
          <t>6925c1a9000000001e03b8a8</t>
        </is>
      </c>
      <c r="C670" s="669" t="n">
        <f>HYPERLINK("https://www.xiaohongshu.com/explore/6925c1a9000000001e03b8a8?xsec_token=TBVx22ZAFho_bBgysCIliGP5d16euiK77zamCeAqMcuTg=&amp;xsec_source=pc_trdark","https://www.xiaohongshu.com/explore/6925c1a9000000001e03b8a8?xsec_token=TBVx22ZAFho_bBgysCIliGP5d16euiK77zamCeAqMcuTg=&amp;xsec_source=pc_trdark")</f>
        <v>0.0</v>
      </c>
      <c r="D670" t="inlineStr">
        <is>
          <t>鲜水湾</t>
        </is>
      </c>
      <c r="E670" t="inlineStr">
        <is>
          <t>49316638994</t>
        </is>
      </c>
      <c r="F670" t="inlineStr">
        <is>
          <t>2025-11-25 22:48:09</t>
        </is>
      </c>
      <c r="G670" t="inlineStr">
        <is>
          <t>图文</t>
        </is>
      </c>
      <c r="H670" t="inlineStr">
        <is>
          <t>大虾基围虾王牌大虾厄瓜多尔白虾盐冻虾仁海洋大虾送礼顺丰包邮</t>
        </is>
      </c>
      <c r="I670" t="inlineStr">
        <is>
          <t>690aeb7be379430001e686ac</t>
        </is>
      </c>
      <c r="J670" t="inlineStr">
        <is>
          <t/>
        </is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inlineStr">
        <is>
          <t/>
        </is>
      </c>
      <c r="R670" t="inlineStr">
        <is>
          <t/>
        </is>
      </c>
      <c r="S670" t="n">
        <v>0.0</v>
      </c>
      <c r="T670" t="n">
        <v>0.0</v>
      </c>
      <c r="U670" t="n">
        <v>0.0</v>
      </c>
      <c r="V670" t="n">
        <v>0.0</v>
      </c>
      <c r="W670" t="inlineStr">
        <is>
          <t/>
        </is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3.0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7.666666666666667</v>
      </c>
      <c r="AL670" t="inlineStr">
        <is>
          <t/>
        </is>
      </c>
    </row>
    <row r="671">
      <c r="A671" t="inlineStr">
        <is>
          <t>我爸说：海捕大虾你早卖24一斤，早就爆单了❗️</t>
        </is>
      </c>
      <c r="B671" t="inlineStr">
        <is>
          <t>6924018a000000001f00bee4</t>
        </is>
      </c>
      <c r="C671" s="670" t="n">
        <f>HYPERLINK("https://www.xiaohongshu.com/explore/6924018a000000001f00bee4?xsec_token=TB0c3tEqPt7plwTa5OTb5KF2vD7fofgLkVLTt7KAa-wig=&amp;xsec_source=pc_trdark","https://www.xiaohongshu.com/explore/6924018a000000001f00bee4?xsec_token=TB0c3tEqPt7plwTa5OTb5KF2vD7fofgLkVLTt7KAa-wig=&amp;xsec_source=pc_trdark")</f>
        <v>0.0</v>
      </c>
      <c r="D671" t="inlineStr">
        <is>
          <t>鲜水湾</t>
        </is>
      </c>
      <c r="E671" t="inlineStr">
        <is>
          <t>49316638994</t>
        </is>
      </c>
      <c r="F671" t="inlineStr">
        <is>
          <t>2025-11-24 14:56:10</t>
        </is>
      </c>
      <c r="G671" t="inlineStr">
        <is>
          <t>图文</t>
        </is>
      </c>
      <c r="H671" t="inlineStr">
        <is>
          <t>大虾基围虾王牌大虾厄瓜多尔白虾盐冻虾仁海洋大虾送礼顺丰包邮</t>
        </is>
      </c>
      <c r="I671" t="inlineStr">
        <is>
          <t>690aeb7be379430001e686ac</t>
        </is>
      </c>
      <c r="J671" t="inlineStr">
        <is>
          <t/>
        </is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inlineStr">
        <is>
          <t/>
        </is>
      </c>
      <c r="R671" t="inlineStr">
        <is>
          <t/>
        </is>
      </c>
      <c r="S671" t="n">
        <v>0.0</v>
      </c>
      <c r="T671" t="n">
        <v>0.0</v>
      </c>
      <c r="U671" t="n">
        <v>0.0</v>
      </c>
      <c r="V671" t="n">
        <v>0.0</v>
      </c>
      <c r="W671" t="inlineStr">
        <is>
          <t/>
        </is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3.0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22.0</v>
      </c>
      <c r="AL671" t="inlineStr">
        <is>
          <t/>
        </is>
      </c>
    </row>
    <row r="672">
      <c r="A672" t="inlineStr">
        <is>
          <t>告别练后饿到暴食！健身女的蛋白补给已就位</t>
        </is>
      </c>
      <c r="B672" t="inlineStr">
        <is>
          <t>6923ca43000000001e030372</t>
        </is>
      </c>
      <c r="C672" s="671" t="n">
        <f>HYPERLINK("https://www.xiaohongshu.com/explore/6923ca43000000001e030372?xsec_token=TBBxL79LDzc6WqpUNHJD-EhYIDIzUaSiYBZdOzWcv8EHY=&amp;xsec_source=pc_trdark","https://www.xiaohongshu.com/explore/6923ca43000000001e030372?xsec_token=TBBxL79LDzc6WqpUNHJD-EhYIDIzUaSiYBZdOzWcv8EHY=&amp;xsec_source=pc_trdark")</f>
        <v>0.0</v>
      </c>
      <c r="D672" t="inlineStr">
        <is>
          <t>鲜水湾</t>
        </is>
      </c>
      <c r="E672" t="inlineStr">
        <is>
          <t>49316638994</t>
        </is>
      </c>
      <c r="F672" t="inlineStr">
        <is>
          <t>2025-11-24 11:00:19</t>
        </is>
      </c>
      <c r="G672" t="inlineStr">
        <is>
          <t>图文</t>
        </is>
      </c>
      <c r="H672" t="inlineStr">
        <is>
          <t>大虾基围虾王牌大虾厄瓜多尔白虾盐冻虾仁海洋大虾送礼顺丰包邮</t>
        </is>
      </c>
      <c r="I672" t="inlineStr">
        <is>
          <t>690aeb7be379430001e686ac</t>
        </is>
      </c>
      <c r="J672" t="inlineStr">
        <is>
          <t/>
        </is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inlineStr">
        <is>
          <t/>
        </is>
      </c>
      <c r="R672" t="inlineStr">
        <is>
          <t/>
        </is>
      </c>
      <c r="S672" t="n">
        <v>0.0</v>
      </c>
      <c r="T672" t="n">
        <v>0.0</v>
      </c>
      <c r="U672" t="n">
        <v>0.0</v>
      </c>
      <c r="V672" t="n">
        <v>0.0</v>
      </c>
      <c r="W672" t="inlineStr">
        <is>
          <t/>
        </is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3.0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8.0</v>
      </c>
      <c r="AL672" t="inlineStr">
        <is>
          <t/>
        </is>
      </c>
    </row>
    <row r="673">
      <c r="A673" t="inlineStr">
        <is>
          <t>我爸让我通知各位，乳山超大生蚝59.9r5斤</t>
        </is>
      </c>
      <c r="B673" t="inlineStr">
        <is>
          <t>691aeb55000000000503963f</t>
        </is>
      </c>
      <c r="C673" s="672" t="n">
        <f>HYPERLINK("https://www.xiaohongshu.com/explore/691aeb55000000000503963f?xsec_token=TB7_xX17zVvyJQL8hbcdzoIIZGDpO49cFO6D2BJLllgv0=&amp;xsec_source=pc_trdark","https://www.xiaohongshu.com/explore/691aeb55000000000503963f?xsec_token=TB7_xX17zVvyJQL8hbcdzoIIZGDpO49cFO6D2BJLllgv0=&amp;xsec_source=pc_trdark")</f>
        <v>0.0</v>
      </c>
      <c r="D673" t="inlineStr">
        <is>
          <t>婉婉上班吃什么</t>
        </is>
      </c>
      <c r="E673" t="inlineStr">
        <is>
          <t>11434449706</t>
        </is>
      </c>
      <c r="F673" t="inlineStr">
        <is>
          <t>2025-11-17 17:31:01</t>
        </is>
      </c>
      <c r="G673" t="inlineStr">
        <is>
          <t>视频</t>
        </is>
      </c>
      <c r="H673" t="inlineStr">
        <is>
          <t>生蚝乳山生蚝海蛎子顺丰包邮</t>
        </is>
      </c>
      <c r="I673" t="inlineStr">
        <is>
          <t>690c70971b787900010866cc</t>
        </is>
      </c>
      <c r="J673" t="n">
        <v>33.0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inlineStr">
        <is>
          <t/>
        </is>
      </c>
      <c r="R673" t="inlineStr">
        <is>
          <t/>
        </is>
      </c>
      <c r="S673" t="n">
        <v>0.0</v>
      </c>
      <c r="T673" t="n">
        <v>0.0</v>
      </c>
      <c r="U673" t="n">
        <v>0.0</v>
      </c>
      <c r="V673" t="n">
        <v>0.0</v>
      </c>
      <c r="W673" t="inlineStr">
        <is>
          <t/>
        </is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3.0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4.0</v>
      </c>
      <c r="AL673" t="n">
        <v>0.0</v>
      </c>
    </row>
    <row r="674">
      <c r="A674" t="inlineStr">
        <is>
          <t>懂事的姐妹已经给男朋友安排起来了......</t>
        </is>
      </c>
      <c r="B674" t="inlineStr">
        <is>
          <t>6912caf4000000000301ad06</t>
        </is>
      </c>
      <c r="C674" s="673" t="n">
        <f>HYPERLINK("https://www.xiaohongshu.com/explore/6912caf4000000000301ad06?xsec_token=TBnZN0DmKGIQMnPXPN25j7p5Y62lX9J2JSUhOPF9i86vE=&amp;xsec_source=pc_trdark","https://www.xiaohongshu.com/explore/6912caf4000000000301ad06?xsec_token=TBnZN0DmKGIQMnPXPN25j7p5Y62lX9J2JSUhOPF9i86vE=&amp;xsec_source=pc_trdark")</f>
        <v>0.0</v>
      </c>
      <c r="D674" t="inlineStr">
        <is>
          <t>婉婉上班吃什么</t>
        </is>
      </c>
      <c r="E674" t="inlineStr">
        <is>
          <t>11434449706</t>
        </is>
      </c>
      <c r="F674" t="inlineStr">
        <is>
          <t>2025-11-11 13:34:44</t>
        </is>
      </c>
      <c r="G674" t="inlineStr">
        <is>
          <t>视频</t>
        </is>
      </c>
      <c r="H674" t="inlineStr">
        <is>
          <t>生蚝乳山生蚝海蛎子顺丰包邮</t>
        </is>
      </c>
      <c r="I674" t="inlineStr">
        <is>
          <t>690c70971b787900010866cc</t>
        </is>
      </c>
      <c r="J674" t="n">
        <v>24.0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inlineStr">
        <is>
          <t/>
        </is>
      </c>
      <c r="R674" t="inlineStr">
        <is>
          <t/>
        </is>
      </c>
      <c r="S674" t="n">
        <v>0.0</v>
      </c>
      <c r="T674" t="n">
        <v>0.0</v>
      </c>
      <c r="U674" t="n">
        <v>0.0</v>
      </c>
      <c r="V674" t="n">
        <v>0.0</v>
      </c>
      <c r="W674" t="inlineStr">
        <is>
          <t/>
        </is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3.0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7.333333333333333</v>
      </c>
      <c r="AL674" t="n">
        <v>0.0</v>
      </c>
    </row>
    <row r="675">
      <c r="A675" t="inlineStr">
        <is>
          <t>生蚝一箱也是码头价，运费算我的！</t>
        </is>
      </c>
      <c r="B675" t="inlineStr">
        <is>
          <t>690f0fb000000000040010a4</t>
        </is>
      </c>
      <c r="C675" s="674" t="n">
        <f>HYPERLINK("https://www.xiaohongshu.com/explore/690f0fb000000000040010a4?xsec_token=TBl1ZK_PAsBDZJiqFwt7hIYQszxXJoeWc8SEgNEByDut0=&amp;xsec_source=pc_trdark","https://www.xiaohongshu.com/explore/690f0fb000000000040010a4?xsec_token=TBl1ZK_PAsBDZJiqFwt7hIYQszxXJoeWc8SEgNEByDut0=&amp;xsec_source=pc_trdark")</f>
        <v>0.0</v>
      </c>
      <c r="D675" t="inlineStr">
        <is>
          <t>婉婉上班吃什么</t>
        </is>
      </c>
      <c r="E675" t="inlineStr">
        <is>
          <t>11434449706</t>
        </is>
      </c>
      <c r="F675" t="inlineStr">
        <is>
          <t>2025-11-08 17:38:56</t>
        </is>
      </c>
      <c r="G675" t="inlineStr">
        <is>
          <t>视频</t>
        </is>
      </c>
      <c r="H675" t="inlineStr">
        <is>
          <t>生蚝乳山生蚝海蛎子顺丰包邮</t>
        </is>
      </c>
      <c r="I675" t="inlineStr">
        <is>
          <t>690c70971b787900010866cc</t>
        </is>
      </c>
      <c r="J675" t="n">
        <v>26.0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inlineStr">
        <is>
          <t/>
        </is>
      </c>
      <c r="R675" t="inlineStr">
        <is>
          <t/>
        </is>
      </c>
      <c r="S675" t="n">
        <v>0.0</v>
      </c>
      <c r="T675" t="n">
        <v>0.0</v>
      </c>
      <c r="U675" t="n">
        <v>0.0</v>
      </c>
      <c r="V675" t="n">
        <v>0.0</v>
      </c>
      <c r="W675" t="inlineStr">
        <is>
          <t/>
        </is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3.0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9.0</v>
      </c>
      <c r="AL675" t="n">
        <v>0.25</v>
      </c>
    </row>
    <row r="676">
      <c r="A676" t="inlineStr">
        <is>
          <t>我爸让我赶紧宣传一下,50+一箱了！包活包肥</t>
        </is>
      </c>
      <c r="B676" t="inlineStr">
        <is>
          <t>690ea68e0000000003010d38</t>
        </is>
      </c>
      <c r="C676" s="675" t="n">
        <f>HYPERLINK("https://www.xiaohongshu.com/explore/690ea68e0000000003010d38?xsec_token=TBJajQDaP2lymAuuRX7yQPUSIuWDt-m9GrDAvbEcbHo7M=&amp;xsec_source=pc_trdark","https://www.xiaohongshu.com/explore/690ea68e0000000003010d38?xsec_token=TBJajQDaP2lymAuuRX7yQPUSIuWDt-m9GrDAvbEcbHo7M=&amp;xsec_source=pc_trdark")</f>
        <v>0.0</v>
      </c>
      <c r="D676" t="inlineStr">
        <is>
          <t>婉婉上班吃什么</t>
        </is>
      </c>
      <c r="E676" t="inlineStr">
        <is>
          <t>11434449706</t>
        </is>
      </c>
      <c r="F676" t="inlineStr">
        <is>
          <t>2025-11-08 10:10:22</t>
        </is>
      </c>
      <c r="G676" t="inlineStr">
        <is>
          <t>视频</t>
        </is>
      </c>
      <c r="H676" t="inlineStr">
        <is>
          <t>生蚝乳山生蚝海蛎子顺丰包邮</t>
        </is>
      </c>
      <c r="I676" t="inlineStr">
        <is>
          <t>690c70971b787900010866cc</t>
        </is>
      </c>
      <c r="J676" t="n">
        <v>30.0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inlineStr">
        <is>
          <t/>
        </is>
      </c>
      <c r="R676" t="inlineStr">
        <is>
          <t/>
        </is>
      </c>
      <c r="S676" t="n">
        <v>0.0</v>
      </c>
      <c r="T676" t="n">
        <v>0.0</v>
      </c>
      <c r="U676" t="n">
        <v>0.0</v>
      </c>
      <c r="V676" t="n">
        <v>0.0</v>
      </c>
      <c r="W676" t="inlineStr">
        <is>
          <t/>
        </is>
      </c>
      <c r="X676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3.0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14.0</v>
      </c>
      <c r="AL676" t="n">
        <v>0.0</v>
      </c>
    </row>
    <row r="677">
      <c r="A677" t="inlineStr">
        <is>
          <t>同事问我天天吃虾仁 是不是偷偷涨工资了😂</t>
        </is>
      </c>
      <c r="B677" t="inlineStr">
        <is>
          <t>69f193cd000000001a02c374</t>
        </is>
      </c>
      <c r="C677" s="676" t="n">
        <f>HYPERLINK("https://www.xiaohongshu.com/explore/69f193cd000000001a02c374?xsec_token=TBLt8Y96Ok9n09b_UIgIegbtqiZSZIPA735TSsfL-n5i4=&amp;xsec_source=pc_trdark","https://www.xiaohongshu.com/explore/69f193cd000000001a02c374?xsec_token=TBLt8Y96Ok9n09b_UIgIegbtqiZSZIPA735TSsfL-n5i4=&amp;xsec_source=pc_trdark")</f>
        <v>0.0</v>
      </c>
      <c r="D677" t="inlineStr">
        <is>
          <t>菲菲上班吃什么</t>
        </is>
      </c>
      <c r="E677" t="inlineStr">
        <is>
          <t>49936530607</t>
        </is>
      </c>
      <c r="F677" t="inlineStr">
        <is>
          <t>2026-04-29 13:14:53</t>
        </is>
      </c>
      <c r="G677" t="inlineStr">
        <is>
          <t>图文</t>
        </is>
      </c>
      <c r="H677" t="inlineStr">
        <is>
          <t>手剥虾仁 无冰衣无添加 低脂餐一人食 上班带饭 顺丰包邮 5盒装</t>
        </is>
      </c>
      <c r="I677" t="inlineStr">
        <is>
          <t>694baba01d450d00013662f0</t>
        </is>
      </c>
      <c r="J677" t="inlineStr">
        <is>
          <t/>
        </is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inlineStr">
        <is>
          <t/>
        </is>
      </c>
      <c r="R677" t="inlineStr">
        <is>
          <t/>
        </is>
      </c>
      <c r="S677" t="n">
        <v>0.0</v>
      </c>
      <c r="T677" t="n">
        <v>0.0</v>
      </c>
      <c r="U677" t="n">
        <v>0.0</v>
      </c>
      <c r="V677" t="n">
        <v>0.0</v>
      </c>
      <c r="W677" t="inlineStr">
        <is>
          <t/>
        </is>
      </c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2.0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3.0</v>
      </c>
      <c r="AL677" t="inlineStr">
        <is>
          <t/>
        </is>
      </c>
    </row>
    <row r="678">
      <c r="A678" t="inlineStr">
        <is>
          <t>普通人减脂真不贵！69实现一周虾仁自由✨</t>
        </is>
      </c>
      <c r="B678" t="inlineStr">
        <is>
          <t>69ede777000000003501e6b7</t>
        </is>
      </c>
      <c r="C678" s="677" t="n">
        <f>HYPERLINK("https://www.xiaohongshu.com/explore/69ede777000000003501e6b7?xsec_token=TB3T22OHPTz18Ew6RRyYsIrCT04EK4qbyNo898gL9NeqU=&amp;xsec_source=pc_trdark","https://www.xiaohongshu.com/explore/69ede777000000003501e6b7?xsec_token=TB3T22OHPTz18Ew6RRyYsIrCT04EK4qbyNo898gL9NeqU=&amp;xsec_source=pc_trdark")</f>
        <v>0.0</v>
      </c>
      <c r="D678" t="inlineStr">
        <is>
          <t>鲜水湾甄选</t>
        </is>
      </c>
      <c r="E678" t="inlineStr">
        <is>
          <t>27401929161</t>
        </is>
      </c>
      <c r="F678" t="inlineStr">
        <is>
          <t>2026-04-26 18:22:47</t>
        </is>
      </c>
      <c r="G678" t="inlineStr">
        <is>
          <t>图文</t>
        </is>
      </c>
      <c r="H678" t="inlineStr">
        <is>
          <t>手剥虾仁 无冰衣无添加 低脂餐一人食 上班带饭 顺丰包邮 5盒装</t>
        </is>
      </c>
      <c r="I678" t="inlineStr">
        <is>
          <t>694baba01d450d00013662f0</t>
        </is>
      </c>
      <c r="J678" t="inlineStr">
        <is>
          <t/>
        </is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inlineStr">
        <is>
          <t/>
        </is>
      </c>
      <c r="R678" t="inlineStr">
        <is>
          <t/>
        </is>
      </c>
      <c r="S678" t="n">
        <v>0.0</v>
      </c>
      <c r="T678" t="n">
        <v>0.0</v>
      </c>
      <c r="U678" t="n">
        <v>0.0</v>
      </c>
      <c r="V678" t="n">
        <v>0.0</v>
      </c>
      <c r="W678" t="inlineStr">
        <is>
          <t/>
        </is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2.0</v>
      </c>
      <c r="AE678" t="n">
        <v>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n">
        <v>12.5</v>
      </c>
      <c r="AL678" t="inlineStr">
        <is>
          <t/>
        </is>
      </c>
    </row>
    <row r="679">
      <c r="A679" t="inlineStr">
        <is>
          <t>还好被我找到了，不用处理的蛋白质补给</t>
        </is>
      </c>
      <c r="B679" t="inlineStr">
        <is>
          <t>69ca0620000000001a037781</t>
        </is>
      </c>
      <c r="C679" s="678" t="n">
        <f>HYPERLINK("https://www.xiaohongshu.com/explore/69ca0620000000001a037781?xsec_token=TBZMwIQ43aS0K0DsaEHGlBqsH8zufDUsptKb9sv29pnMg=&amp;xsec_source=pc_trdark","https://www.xiaohongshu.com/explore/69ca0620000000001a037781?xsec_token=TBZMwIQ43aS0K0DsaEHGlBqsH8zufDUsptKb9sv29pnMg=&amp;xsec_source=pc_trdark")</f>
        <v>0.0</v>
      </c>
      <c r="D679" t="inlineStr">
        <is>
          <t>菲菲上班吃什么</t>
        </is>
      </c>
      <c r="E679" t="inlineStr">
        <is>
          <t>49936530607</t>
        </is>
      </c>
      <c r="F679" t="inlineStr">
        <is>
          <t>2026-03-30 13:12:00</t>
        </is>
      </c>
      <c r="G679" t="inlineStr">
        <is>
          <t>图文</t>
        </is>
      </c>
      <c r="H679" t="inlineStr">
        <is>
          <t>手剥虾仁 无冰衣无添加 低脂餐一人食 上班带饭 顺丰包邮 5盒装</t>
        </is>
      </c>
      <c r="I679" t="inlineStr">
        <is>
          <t>694baba01d450d00013662f0</t>
        </is>
      </c>
      <c r="J679" t="inlineStr">
        <is>
          <t/>
        </is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inlineStr">
        <is>
          <t/>
        </is>
      </c>
      <c r="R679" t="inlineStr">
        <is>
          <t/>
        </is>
      </c>
      <c r="S679" t="n">
        <v>0.0</v>
      </c>
      <c r="T679" t="n">
        <v>0.0</v>
      </c>
      <c r="U679" t="n">
        <v>0.0</v>
      </c>
      <c r="V679" t="n">
        <v>0.0</v>
      </c>
      <c r="W679" t="inlineStr">
        <is>
          <t/>
        </is>
      </c>
      <c r="X679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2.0</v>
      </c>
      <c r="AE679" t="n">
        <v>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n">
        <v>5.5</v>
      </c>
      <c r="AL679" t="inlineStr">
        <is>
          <t/>
        </is>
      </c>
    </row>
    <row r="680">
      <c r="A680" t="inlineStr">
        <is>
          <t>跟厚皮橙老师学的黄油虾仁巨巨巨好吃😋</t>
        </is>
      </c>
      <c r="B680" t="inlineStr">
        <is>
          <t>69c9da59000000002301da91</t>
        </is>
      </c>
      <c r="C680" s="679" t="n">
        <f>HYPERLINK("https://www.xiaohongshu.com/explore/69c9da59000000002301da91?xsec_token=TBbpP5CiN94LtvLtPXlqbAxfs8rU8fKNKTmH7wFGGsKaQ=&amp;xsec_source=pc_trdark","https://www.xiaohongshu.com/explore/69c9da59000000002301da91?xsec_token=TBbpP5CiN94LtvLtPXlqbAxfs8rU8fKNKTmH7wFGGsKaQ=&amp;xsec_source=pc_trdark")</f>
        <v>0.0</v>
      </c>
      <c r="D680" t="inlineStr">
        <is>
          <t>菲菲上班吃什么</t>
        </is>
      </c>
      <c r="E680" t="inlineStr">
        <is>
          <t>49936530607</t>
        </is>
      </c>
      <c r="F680" t="inlineStr">
        <is>
          <t>2026-03-30 10:05:13</t>
        </is>
      </c>
      <c r="G680" t="inlineStr">
        <is>
          <t>图文</t>
        </is>
      </c>
      <c r="H680" t="inlineStr">
        <is>
          <t>手剥虾仁 无冰衣无添加 低脂餐一人食 上班带饭 顺丰包邮 5盒装</t>
        </is>
      </c>
      <c r="I680" t="inlineStr">
        <is>
          <t>694baba01d450d00013662f0</t>
        </is>
      </c>
      <c r="J680" t="inlineStr">
        <is>
          <t/>
        </is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inlineStr">
        <is>
          <t/>
        </is>
      </c>
      <c r="R680" t="inlineStr">
        <is>
          <t/>
        </is>
      </c>
      <c r="S680" t="n">
        <v>0.0</v>
      </c>
      <c r="T680" t="n">
        <v>0.0</v>
      </c>
      <c r="U680" t="n">
        <v>0.0</v>
      </c>
      <c r="V680" t="n">
        <v>0.0</v>
      </c>
      <c r="W680" t="inlineStr">
        <is>
          <t/>
        </is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2.0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n">
        <v>3.0</v>
      </c>
      <c r="AL680" t="inlineStr">
        <is>
          <t/>
        </is>
      </c>
    </row>
    <row r="681">
      <c r="A681" t="inlineStr">
        <is>
          <t>69💰解决了我一周上班带饭的难题</t>
        </is>
      </c>
      <c r="B681" t="inlineStr">
        <is>
          <t>69c0fde7000000002800b822</t>
        </is>
      </c>
      <c r="C681" s="680" t="n">
        <f>HYPERLINK("https://www.xiaohongshu.com/explore/69c0fde7000000002800b822?xsec_token=TBlSRAgxB_sBYkF02kEEKO57Hes8i0L32sAVpIcm_t19M=&amp;xsec_source=pc_trdark","https://www.xiaohongshu.com/explore/69c0fde7000000002800b822?xsec_token=TBlSRAgxB_sBYkF02kEEKO57Hes8i0L32sAVpIcm_t19M=&amp;xsec_source=pc_trdark")</f>
        <v>0.0</v>
      </c>
      <c r="D681" t="inlineStr">
        <is>
          <t>婉婉上班吃什么</t>
        </is>
      </c>
      <c r="E681" t="inlineStr">
        <is>
          <t>11434449706</t>
        </is>
      </c>
      <c r="F681" t="inlineStr">
        <is>
          <t>2026-03-23 16:46:31</t>
        </is>
      </c>
      <c r="G681" t="inlineStr">
        <is>
          <t>图文</t>
        </is>
      </c>
      <c r="H681" t="inlineStr">
        <is>
          <t>手剥虾仁 无冰衣无添加 低脂餐一人食 上班带饭 顺丰包邮 5盒装</t>
        </is>
      </c>
      <c r="I681" t="inlineStr">
        <is>
          <t>694baba01d450d00013662f0</t>
        </is>
      </c>
      <c r="J681" t="inlineStr">
        <is>
          <t/>
        </is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inlineStr">
        <is>
          <t/>
        </is>
      </c>
      <c r="R681" t="inlineStr">
        <is>
          <t/>
        </is>
      </c>
      <c r="S681" t="n">
        <v>0.0</v>
      </c>
      <c r="T681" t="n">
        <v>0.0</v>
      </c>
      <c r="U681" t="n">
        <v>0.0</v>
      </c>
      <c r="V681" t="n">
        <v>0.0</v>
      </c>
      <c r="W681" t="inlineStr">
        <is>
          <t/>
        </is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2.0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7.5</v>
      </c>
      <c r="AL681" t="inlineStr">
        <is>
          <t/>
        </is>
      </c>
    </row>
    <row r="682">
      <c r="A682" t="inlineStr">
        <is>
          <t>真别小看69块！够我吃一周了</t>
        </is>
      </c>
      <c r="B682" t="inlineStr">
        <is>
          <t>69bd5beb000000001a02e655</t>
        </is>
      </c>
      <c r="C682" s="681" t="n">
        <f>HYPERLINK("https://www.xiaohongshu.com/explore/69bd5beb000000001a02e655?xsec_token=TBRwbx0S6Y78qN5wWC1_PyBNpv5z6iE5zQauNEKYndr70=&amp;xsec_source=pc_trdark","https://www.xiaohongshu.com/explore/69bd5beb000000001a02e655?xsec_token=TBRwbx0S6Y78qN5wWC1_PyBNpv5z6iE5zQauNEKYndr70=&amp;xsec_source=pc_trdark")</f>
        <v>0.0</v>
      </c>
      <c r="D682" t="inlineStr">
        <is>
          <t>菲菲上班吃什么</t>
        </is>
      </c>
      <c r="E682" t="inlineStr">
        <is>
          <t>49936530607</t>
        </is>
      </c>
      <c r="F682" t="inlineStr">
        <is>
          <t>2026-03-20 22:38:35</t>
        </is>
      </c>
      <c r="G682" t="inlineStr">
        <is>
          <t>图文</t>
        </is>
      </c>
      <c r="H682" t="inlineStr">
        <is>
          <t>手剥虾仁 无冰衣无添加 低脂餐一人食 上班带饭 顺丰包邮 5盒装</t>
        </is>
      </c>
      <c r="I682" t="inlineStr">
        <is>
          <t>694baba01d450d00013662f0</t>
        </is>
      </c>
      <c r="J682" t="inlineStr">
        <is>
          <t/>
        </is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inlineStr">
        <is>
          <t/>
        </is>
      </c>
      <c r="R682" t="inlineStr">
        <is>
          <t/>
        </is>
      </c>
      <c r="S682" t="n">
        <v>0.0</v>
      </c>
      <c r="T682" t="n">
        <v>0.0</v>
      </c>
      <c r="U682" t="n">
        <v>0.0</v>
      </c>
      <c r="V682" t="n">
        <v>0.0</v>
      </c>
      <c r="W682" t="inlineStr">
        <is>
          <t/>
        </is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2.0</v>
      </c>
      <c r="AE682" t="n">
        <v>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16.0</v>
      </c>
      <c r="AL682" t="inlineStr">
        <is>
          <t/>
        </is>
      </c>
    </row>
    <row r="683">
      <c r="A683" t="inlineStr">
        <is>
          <t>谁还去超市买虾呀，小红书买的便宜又好吃</t>
        </is>
      </c>
      <c r="B683" t="inlineStr">
        <is>
          <t>69bcd6740000000023004715</t>
        </is>
      </c>
      <c r="C683" s="682" t="n">
        <f>HYPERLINK("https://www.xiaohongshu.com/explore/69bcd6740000000023004715?xsec_token=TBfIJFVzszocpn5U7ogutYTXvwd83yVWY4mdrR6sbSuLc=&amp;xsec_source=pc_trdark","https://www.xiaohongshu.com/explore/69bcd6740000000023004715?xsec_token=TBfIJFVzszocpn5U7ogutYTXvwd83yVWY4mdrR6sbSuLc=&amp;xsec_source=pc_trdark")</f>
        <v>0.0</v>
      </c>
      <c r="D683" t="inlineStr">
        <is>
          <t>鲜水湾</t>
        </is>
      </c>
      <c r="E683" t="inlineStr">
        <is>
          <t>49316638994</t>
        </is>
      </c>
      <c r="F683" t="inlineStr">
        <is>
          <t>2026-03-20 13:09:08</t>
        </is>
      </c>
      <c r="G683" t="inlineStr">
        <is>
          <t>图文</t>
        </is>
      </c>
      <c r="H683" t="inlineStr">
        <is>
          <t>大虾基围虾王牌大虾厄瓜多尔白虾盐冻虾仁海洋大虾送礼顺丰包邮</t>
        </is>
      </c>
      <c r="I683" t="inlineStr">
        <is>
          <t>690aeb7be379430001e686ac</t>
        </is>
      </c>
      <c r="J683" t="inlineStr">
        <is>
          <t/>
        </is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inlineStr">
        <is>
          <t/>
        </is>
      </c>
      <c r="R683" t="inlineStr">
        <is>
          <t/>
        </is>
      </c>
      <c r="S683" t="n">
        <v>0.0</v>
      </c>
      <c r="T683" t="n">
        <v>0.0</v>
      </c>
      <c r="U683" t="n">
        <v>0.0</v>
      </c>
      <c r="V683" t="n">
        <v>0.0</v>
      </c>
      <c r="W683" t="inlineStr">
        <is>
          <t/>
        </is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2.0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2.5</v>
      </c>
      <c r="AL683" t="inlineStr">
        <is>
          <t/>
        </is>
      </c>
    </row>
    <row r="684">
      <c r="A684" t="inlineStr">
        <is>
          <t>小小69元，承包了我一周减脂餐的快乐</t>
        </is>
      </c>
      <c r="B684" t="inlineStr">
        <is>
          <t>69bbb262000000002301d917</t>
        </is>
      </c>
      <c r="C684" s="683" t="n">
        <f>HYPERLINK("https://www.xiaohongshu.com/explore/69bbb262000000002301d917?xsec_token=TBbjiHoA30T3IRnkbtYIm1O-yrKFLvtkBR58U2weum4tQ=&amp;xsec_source=pc_trdark","https://www.xiaohongshu.com/explore/69bbb262000000002301d917?xsec_token=TBbjiHoA30T3IRnkbtYIm1O-yrKFLvtkBR58U2weum4tQ=&amp;xsec_source=pc_trdark")</f>
        <v>0.0</v>
      </c>
      <c r="D684" t="inlineStr">
        <is>
          <t>菲菲上班吃什么</t>
        </is>
      </c>
      <c r="E684" t="inlineStr">
        <is>
          <t>49936530607</t>
        </is>
      </c>
      <c r="F684" t="inlineStr">
        <is>
          <t>2026-03-19 16:22:58</t>
        </is>
      </c>
      <c r="G684" t="inlineStr">
        <is>
          <t>图文</t>
        </is>
      </c>
      <c r="H684" t="inlineStr">
        <is>
          <t>手剥虾仁 无冰衣无添加 低脂餐一人食 上班带饭 顺丰包邮 5盒装</t>
        </is>
      </c>
      <c r="I684" t="inlineStr">
        <is>
          <t>694baba01d450d00013662f0</t>
        </is>
      </c>
      <c r="J684" t="inlineStr">
        <is>
          <t/>
        </is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inlineStr">
        <is>
          <t/>
        </is>
      </c>
      <c r="R684" t="inlineStr">
        <is>
          <t/>
        </is>
      </c>
      <c r="S684" t="n">
        <v>0.0</v>
      </c>
      <c r="T684" t="n">
        <v>0.0</v>
      </c>
      <c r="U684" t="n">
        <v>0.0</v>
      </c>
      <c r="V684" t="n">
        <v>0.0</v>
      </c>
      <c r="W684" t="inlineStr">
        <is>
          <t/>
        </is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2.0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1.5</v>
      </c>
      <c r="AL684" t="inlineStr">
        <is>
          <t/>
        </is>
      </c>
    </row>
    <row r="685">
      <c r="A685" t="inlineStr">
        <is>
          <t>买的时候没人告诉我，69💰吃一周减脂餐</t>
        </is>
      </c>
      <c r="B685" t="inlineStr">
        <is>
          <t>69bbaf6b000000001f00728f</t>
        </is>
      </c>
      <c r="C685" s="684" t="n">
        <f>HYPERLINK("https://www.xiaohongshu.com/explore/69bbaf6b000000001f00728f?xsec_token=TBbjiHoA30T3IRnkbtYIm1OwoGZUAlXdefd9Vw2fNtEPU=&amp;xsec_source=pc_trdark","https://www.xiaohongshu.com/explore/69bbaf6b000000001f00728f?xsec_token=TBbjiHoA30T3IRnkbtYIm1OwoGZUAlXdefd9Vw2fNtEPU=&amp;xsec_source=pc_trdark")</f>
        <v>0.0</v>
      </c>
      <c r="D685" t="inlineStr">
        <is>
          <t>婉婉上班吃什么</t>
        </is>
      </c>
      <c r="E685" t="inlineStr">
        <is>
          <t>11434449706</t>
        </is>
      </c>
      <c r="F685" t="inlineStr">
        <is>
          <t>2026-03-19 16:10:19</t>
        </is>
      </c>
      <c r="G685" t="inlineStr">
        <is>
          <t>图文</t>
        </is>
      </c>
      <c r="H685" t="inlineStr">
        <is>
          <t>手剥虾仁 无冰衣无添加 低脂餐一人食 上班带饭 顺丰包邮 5盒装</t>
        </is>
      </c>
      <c r="I685" t="inlineStr">
        <is>
          <t>694baba01d450d00013662f0</t>
        </is>
      </c>
      <c r="J685" t="inlineStr">
        <is>
          <t/>
        </is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inlineStr">
        <is>
          <t/>
        </is>
      </c>
      <c r="R685" t="inlineStr">
        <is>
          <t/>
        </is>
      </c>
      <c r="S685" t="n">
        <v>0.0</v>
      </c>
      <c r="T685" t="n">
        <v>0.0</v>
      </c>
      <c r="U685" t="n">
        <v>0.0</v>
      </c>
      <c r="V685" t="n">
        <v>0.0</v>
      </c>
      <c r="W685" t="inlineStr">
        <is>
          <t/>
        </is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2.0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14.5</v>
      </c>
      <c r="AL685" t="inlineStr">
        <is>
          <t/>
        </is>
      </c>
    </row>
    <row r="686">
      <c r="A686" t="inlineStr">
        <is>
          <t>和大家讨论后🥹，推出一人食小包装虾仁</t>
        </is>
      </c>
      <c r="B686" t="inlineStr">
        <is>
          <t>69bb985400000000280085d7</t>
        </is>
      </c>
      <c r="C686" s="685" t="n">
        <f>HYPERLINK("https://www.xiaohongshu.com/explore/69bb985400000000280085d7?xsec_token=TBbjiHoA30T3IRnkbtYIm1O9XndBCjbnmoVMLYAwJVTWQ=&amp;xsec_source=pc_trdark","https://www.xiaohongshu.com/explore/69bb985400000000280085d7?xsec_token=TBbjiHoA30T3IRnkbtYIm1O9XndBCjbnmoVMLYAwJVTWQ=&amp;xsec_source=pc_trdark")</f>
        <v>0.0</v>
      </c>
      <c r="D686" t="inlineStr">
        <is>
          <t>鲜水湾</t>
        </is>
      </c>
      <c r="E686" t="inlineStr">
        <is>
          <t>49316638994</t>
        </is>
      </c>
      <c r="F686" t="inlineStr">
        <is>
          <t>2026-03-19 14:31:48</t>
        </is>
      </c>
      <c r="G686" t="inlineStr">
        <is>
          <t>图文</t>
        </is>
      </c>
      <c r="H686" t="inlineStr">
        <is>
          <t>手剥虾仁 无冰衣无添加 低脂餐一人食 上班带饭 顺丰包邮 5盒装</t>
        </is>
      </c>
      <c r="I686" t="inlineStr">
        <is>
          <t>694baba01d450d00013662f0</t>
        </is>
      </c>
      <c r="J686" t="inlineStr">
        <is>
          <t/>
        </is>
      </c>
      <c r="K686" t="n">
        <v>0.0</v>
      </c>
      <c r="L686" t="n">
        <v>0.0</v>
      </c>
      <c r="M686" t="n">
        <v>1.0</v>
      </c>
      <c r="N686" t="n">
        <v>0.5</v>
      </c>
      <c r="O686" t="n">
        <v>1.0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inlineStr">
        <is>
          <t/>
        </is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2.0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n">
        <v>6.0</v>
      </c>
      <c r="AL686" t="inlineStr">
        <is>
          <t/>
        </is>
      </c>
    </row>
    <row r="687">
      <c r="A687" t="inlineStr">
        <is>
          <t>下班后的干净晚餐｜一块三文鱼排就够了🍣</t>
        </is>
      </c>
      <c r="B687" t="inlineStr">
        <is>
          <t>69ba9e7c000000001e00eb36</t>
        </is>
      </c>
      <c r="C687" s="686" t="n">
        <f>HYPERLINK("https://www.xiaohongshu.com/explore/69ba9e7c000000001e00eb36?xsec_token=TBgJVNruMKjnZKfHBYiZtZCTZfn-oUpq2OoYZHjIz_Y8I=&amp;xsec_source=pc_trdark","https://www.xiaohongshu.com/explore/69ba9e7c000000001e00eb36?xsec_token=TBgJVNruMKjnZKfHBYiZtZCTZfn-oUpq2OoYZHjIz_Y8I=&amp;xsec_source=pc_trdark")</f>
        <v>0.0</v>
      </c>
      <c r="D687" t="inlineStr">
        <is>
          <t>鲜水湾</t>
        </is>
      </c>
      <c r="E687" t="inlineStr">
        <is>
          <t>49316638994</t>
        </is>
      </c>
      <c r="F687" t="inlineStr">
        <is>
          <t>2026-03-18 20:45:48</t>
        </is>
      </c>
      <c r="G687" t="inlineStr">
        <is>
          <t>图文</t>
        </is>
      </c>
      <c r="H687" t="inlineStr">
        <is>
          <t>智利三文鱼切块·整条三文鱼·深海鱼一人食健康饮食</t>
        </is>
      </c>
      <c r="I687" t="inlineStr">
        <is>
          <t>691ac562a524ee0001b51d7b</t>
        </is>
      </c>
      <c r="J687" t="inlineStr">
        <is>
          <t/>
        </is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inlineStr">
        <is>
          <t/>
        </is>
      </c>
      <c r="R687" t="inlineStr">
        <is>
          <t/>
        </is>
      </c>
      <c r="S687" t="n">
        <v>0.0</v>
      </c>
      <c r="T687" t="n">
        <v>0.0</v>
      </c>
      <c r="U687" t="n">
        <v>0.0</v>
      </c>
      <c r="V687" t="n">
        <v>0.0</v>
      </c>
      <c r="W687" t="inlineStr">
        <is>
          <t/>
        </is>
      </c>
      <c r="X687" t="n">
        <v>0.0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2.0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54.5</v>
      </c>
      <c r="AL687" t="inlineStr">
        <is>
          <t/>
        </is>
      </c>
    </row>
    <row r="688">
      <c r="A688" t="inlineStr">
        <is>
          <t>姐妹们别乱买了！69元搞定一周轻食餐</t>
        </is>
      </c>
      <c r="B688" t="inlineStr">
        <is>
          <t>69ba54d2000000001e00fadd</t>
        </is>
      </c>
      <c r="C688" s="687" t="n">
        <f>HYPERLINK("https://www.xiaohongshu.com/explore/69ba54d2000000001e00fadd?xsec_token=TBgJVNruMKjnZKfHBYiZtZCRhIFVSuBP68jlu-FJ4WHG8=&amp;xsec_source=pc_trdark","https://www.xiaohongshu.com/explore/69ba54d2000000001e00fadd?xsec_token=TBgJVNruMKjnZKfHBYiZtZCRhIFVSuBP68jlu-FJ4WHG8=&amp;xsec_source=pc_trdark")</f>
        <v>0.0</v>
      </c>
      <c r="D688" t="inlineStr">
        <is>
          <t>婉婉上班吃什么</t>
        </is>
      </c>
      <c r="E688" t="inlineStr">
        <is>
          <t>11434449706</t>
        </is>
      </c>
      <c r="F688" t="inlineStr">
        <is>
          <t>2026-03-18 15:31:30</t>
        </is>
      </c>
      <c r="G688" t="inlineStr">
        <is>
          <t>图文</t>
        </is>
      </c>
      <c r="H688" t="inlineStr">
        <is>
          <t>手剥虾仁 无冰衣无添加 低脂餐一人食 上班带饭 顺丰包邮 5盒装</t>
        </is>
      </c>
      <c r="I688" t="inlineStr">
        <is>
          <t>694baba01d450d00013662f0</t>
        </is>
      </c>
      <c r="J688" t="inlineStr">
        <is>
          <t/>
        </is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inlineStr">
        <is>
          <t/>
        </is>
      </c>
      <c r="R688" t="inlineStr">
        <is>
          <t/>
        </is>
      </c>
      <c r="S688" t="n">
        <v>0.0</v>
      </c>
      <c r="T688" t="n">
        <v>0.0</v>
      </c>
      <c r="U688" t="n">
        <v>0.0</v>
      </c>
      <c r="V688" t="n">
        <v>0.0</v>
      </c>
      <c r="W688" t="inlineStr">
        <is>
          <t/>
        </is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2.0</v>
      </c>
      <c r="AE688" t="n">
        <v>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n">
        <v>7.0</v>
      </c>
      <c r="AL688" t="inlineStr">
        <is>
          <t/>
        </is>
      </c>
    </row>
    <row r="689">
      <c r="A689" t="inlineStr">
        <is>
          <t>现在的年轻人真的低估了60来块的购买力！</t>
        </is>
      </c>
      <c r="B689" t="inlineStr">
        <is>
          <t>69ba0b0c00000000280087fb</t>
        </is>
      </c>
      <c r="C689" s="688" t="n">
        <f>HYPERLINK("https://www.xiaohongshu.com/explore/69ba0b0c00000000280087fb?xsec_token=TBgJVNruMKjnZKfHBYiZtZCdazcfAer2NNC7zPDSEIpog=&amp;xsec_source=pc_trdark","https://www.xiaohongshu.com/explore/69ba0b0c00000000280087fb?xsec_token=TBgJVNruMKjnZKfHBYiZtZCdazcfAer2NNC7zPDSEIpog=&amp;xsec_source=pc_trdark")</f>
        <v>0.0</v>
      </c>
      <c r="D689" t="inlineStr">
        <is>
          <t>鲜水湾</t>
        </is>
      </c>
      <c r="E689" t="inlineStr">
        <is>
          <t>49316638994</t>
        </is>
      </c>
      <c r="F689" t="inlineStr">
        <is>
          <t>2026-03-18 10:16:44</t>
        </is>
      </c>
      <c r="G689" t="inlineStr">
        <is>
          <t>图文</t>
        </is>
      </c>
      <c r="H689" t="inlineStr">
        <is>
          <t>手剥虾仁 无冰衣无添加 低脂餐一人食 上班带饭 顺丰包邮 5盒装</t>
        </is>
      </c>
      <c r="I689" t="inlineStr">
        <is>
          <t>694baba01d450d00013662f0</t>
        </is>
      </c>
      <c r="J689" t="inlineStr">
        <is>
          <t/>
        </is>
      </c>
      <c r="K689" t="n">
        <v>0.0</v>
      </c>
      <c r="L689" t="n">
        <v>0.0</v>
      </c>
      <c r="M689" t="n">
        <v>1.0</v>
      </c>
      <c r="N689" t="n">
        <v>0.5</v>
      </c>
      <c r="O689" t="n">
        <v>1.0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inlineStr">
        <is>
          <t/>
        </is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2.0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39.0</v>
      </c>
      <c r="AL689" t="inlineStr">
        <is>
          <t/>
        </is>
      </c>
    </row>
    <row r="690">
      <c r="A690" t="inlineStr">
        <is>
          <t>泪水打湿减脂餐！这虾仁怎么能这么好吃啊！！</t>
        </is>
      </c>
      <c r="B690" t="inlineStr">
        <is>
          <t>69b912070000000020039d0b</t>
        </is>
      </c>
      <c r="C690" s="689" t="n">
        <f>HYPERLINK("https://www.xiaohongshu.com/explore/69b912070000000020039d0b?xsec_token=TBgv0wN35T_w0yZx7fmvlvfOAzXEHPbOtPNqdMKGrTUMg=&amp;xsec_source=pc_trdark","https://www.xiaohongshu.com/explore/69b912070000000020039d0b?xsec_token=TBgv0wN35T_w0yZx7fmvlvfOAzXEHPbOtPNqdMKGrTUMg=&amp;xsec_source=pc_trdark")</f>
        <v>0.0</v>
      </c>
      <c r="D690" t="inlineStr">
        <is>
          <t>婉婉上班吃什么</t>
        </is>
      </c>
      <c r="E690" t="inlineStr">
        <is>
          <t>11434449706</t>
        </is>
      </c>
      <c r="F690" t="inlineStr">
        <is>
          <t>2026-03-17 16:34:15</t>
        </is>
      </c>
      <c r="G690" t="inlineStr">
        <is>
          <t>图文</t>
        </is>
      </c>
      <c r="H690" t="inlineStr">
        <is>
          <t>手剥虾仁 无冰衣无添加 低脂餐一人食 上班带饭 顺丰包邮 5盒装</t>
        </is>
      </c>
      <c r="I690" t="inlineStr">
        <is>
          <t>694baba01d450d00013662f0</t>
        </is>
      </c>
      <c r="J690" t="inlineStr">
        <is>
          <t/>
        </is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inlineStr">
        <is>
          <t/>
        </is>
      </c>
      <c r="R690" t="inlineStr">
        <is>
          <t/>
        </is>
      </c>
      <c r="S690" t="n">
        <v>0.0</v>
      </c>
      <c r="T690" t="n">
        <v>0.0</v>
      </c>
      <c r="U690" t="n">
        <v>0.0</v>
      </c>
      <c r="V690" t="n">
        <v>0.0</v>
      </c>
      <c r="W690" t="inlineStr">
        <is>
          <t/>
        </is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2.0</v>
      </c>
      <c r="AE690" t="n">
        <v>1.0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4.0</v>
      </c>
      <c r="AL690" t="inlineStr">
        <is>
          <t/>
        </is>
      </c>
    </row>
    <row r="691">
      <c r="A691" t="inlineStr">
        <is>
          <t>和老爸一拍即合，专为早八人定制的小包装虾</t>
        </is>
      </c>
      <c r="B691" t="inlineStr">
        <is>
          <t>69b63365000000001a02e736</t>
        </is>
      </c>
      <c r="C691" s="690" t="n">
        <f>HYPERLINK("https://www.xiaohongshu.com/explore/69b63365000000001a02e736?xsec_token=TBwpaEqA4ODk9qkUKPtwfpqULgPpBdCY88kXH1DvrHHDc=&amp;xsec_source=pc_trdark","https://www.xiaohongshu.com/explore/69b63365000000001a02e736?xsec_token=TBwpaEqA4ODk9qkUKPtwfpqULgPpBdCY88kXH1DvrHHDc=&amp;xsec_source=pc_trdark")</f>
        <v>0.0</v>
      </c>
      <c r="D691" t="inlineStr">
        <is>
          <t>婉婉上班吃什么</t>
        </is>
      </c>
      <c r="E691" t="inlineStr">
        <is>
          <t>11434449706</t>
        </is>
      </c>
      <c r="F691" t="inlineStr">
        <is>
          <t>2026-03-15 12:19:49</t>
        </is>
      </c>
      <c r="G691" t="inlineStr">
        <is>
          <t>图文</t>
        </is>
      </c>
      <c r="H691" t="inlineStr">
        <is>
          <t>手剥虾仁 无冰衣无添加 低脂餐一人食 上班带饭 顺丰包邮 5盒装</t>
        </is>
      </c>
      <c r="I691" t="inlineStr">
        <is>
          <t>694baba01d450d00013662f0</t>
        </is>
      </c>
      <c r="J691" t="inlineStr">
        <is>
          <t/>
        </is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inlineStr">
        <is>
          <t/>
        </is>
      </c>
      <c r="R691" t="inlineStr">
        <is>
          <t/>
        </is>
      </c>
      <c r="S691" t="n">
        <v>0.0</v>
      </c>
      <c r="T691" t="n">
        <v>0.0</v>
      </c>
      <c r="U691" t="n">
        <v>0.0</v>
      </c>
      <c r="V691" t="n">
        <v>0.0</v>
      </c>
      <c r="W691" t="inlineStr">
        <is>
          <t/>
        </is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2.0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5.5</v>
      </c>
      <c r="AL691" t="inlineStr">
        <is>
          <t/>
        </is>
      </c>
    </row>
    <row r="692">
      <c r="A692" t="inlineStr">
        <is>
          <t>我也不想囤啊，可它69到手五包大虾仁</t>
        </is>
      </c>
      <c r="B692" t="inlineStr">
        <is>
          <t>69b512010000000022026e60</t>
        </is>
      </c>
      <c r="C692" s="691" t="n">
        <f>HYPERLINK("https://www.xiaohongshu.com/explore/69b512010000000022026e60?xsec_token=TBYgTJ9EzKmyKny4Vfc-tHE8ET-493uhO09eN2yaB9e-w=&amp;xsec_source=pc_trdark","https://www.xiaohongshu.com/explore/69b512010000000022026e60?xsec_token=TBYgTJ9EzKmyKny4Vfc-tHE8ET-493uhO09eN2yaB9e-w=&amp;xsec_source=pc_trdark")</f>
        <v>0.0</v>
      </c>
      <c r="D692" t="inlineStr">
        <is>
          <t>婉婉上班吃什么</t>
        </is>
      </c>
      <c r="E692" t="inlineStr">
        <is>
          <t>11434449706</t>
        </is>
      </c>
      <c r="F692" t="inlineStr">
        <is>
          <t>2026-03-14 15:45:05</t>
        </is>
      </c>
      <c r="G692" t="inlineStr">
        <is>
          <t>图文</t>
        </is>
      </c>
      <c r="H692" t="inlineStr">
        <is>
          <t>手剥虾仁 无冰衣无添加 低脂餐一人食 上班带饭 顺丰包邮 5盒装</t>
        </is>
      </c>
      <c r="I692" t="inlineStr">
        <is>
          <t>694baba01d450d00013662f0</t>
        </is>
      </c>
      <c r="J692" t="inlineStr">
        <is>
          <t/>
        </is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inlineStr">
        <is>
          <t/>
        </is>
      </c>
      <c r="R692" t="inlineStr">
        <is>
          <t/>
        </is>
      </c>
      <c r="S692" t="n">
        <v>0.0</v>
      </c>
      <c r="T692" t="n">
        <v>0.0</v>
      </c>
      <c r="U692" t="n">
        <v>0.0</v>
      </c>
      <c r="V692" t="n">
        <v>0.0</v>
      </c>
      <c r="W692" t="inlineStr">
        <is>
          <t/>
        </is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2.0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1.0</v>
      </c>
      <c r="AL692" t="inlineStr">
        <is>
          <t/>
        </is>
      </c>
    </row>
    <row r="693">
      <c r="A693" t="inlineStr">
        <is>
          <t>讲真…69一大盒虾，太适合打工人带饭了</t>
        </is>
      </c>
      <c r="B693" t="inlineStr">
        <is>
          <t>69b4bd9b000000001a02f455</t>
        </is>
      </c>
      <c r="C693" s="692" t="n">
        <f>HYPERLINK("https://www.xiaohongshu.com/explore/69b4bd9b000000001a02f455?xsec_token=TB4dy4zP2Sasn_cYXEm_KMIwZX42LhinmM0bSIqGNM7aU=&amp;xsec_source=pc_trdark","https://www.xiaohongshu.com/explore/69b4bd9b000000001a02f455?xsec_token=TB4dy4zP2Sasn_cYXEm_KMIwZX42LhinmM0bSIqGNM7aU=&amp;xsec_source=pc_trdark")</f>
        <v>0.0</v>
      </c>
      <c r="D693" t="inlineStr">
        <is>
          <t>鲜水湾</t>
        </is>
      </c>
      <c r="E693" t="inlineStr">
        <is>
          <t>49316638994</t>
        </is>
      </c>
      <c r="F693" t="inlineStr">
        <is>
          <t>2026-03-14 09:44:59</t>
        </is>
      </c>
      <c r="G693" t="inlineStr">
        <is>
          <t>图文</t>
        </is>
      </c>
      <c r="H693" t="inlineStr">
        <is>
          <t>大虾基围虾王牌大虾厄瓜多尔白虾盐冻虾仁海洋大虾送礼顺丰包邮</t>
        </is>
      </c>
      <c r="I693" t="inlineStr">
        <is>
          <t>690aeb7be379430001e686ac</t>
        </is>
      </c>
      <c r="J693" t="inlineStr">
        <is>
          <t/>
        </is>
      </c>
      <c r="K693" t="n">
        <v>0.0</v>
      </c>
      <c r="L693" t="n">
        <v>0.0</v>
      </c>
      <c r="M693" t="n">
        <v>1.0</v>
      </c>
      <c r="N693" t="n">
        <v>0.5</v>
      </c>
      <c r="O693" t="n">
        <v>1.0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inlineStr">
        <is>
          <t/>
        </is>
      </c>
      <c r="X693" t="n">
        <v>0.0</v>
      </c>
      <c r="Y693" t="n">
        <v>1.0</v>
      </c>
      <c r="Z693" t="n">
        <v>0.0</v>
      </c>
      <c r="AA693" t="n">
        <v>0.0</v>
      </c>
      <c r="AB693" t="n">
        <v>0.0</v>
      </c>
      <c r="AC693" t="n">
        <v>0.0</v>
      </c>
      <c r="AD693" t="n">
        <v>2.0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11.5</v>
      </c>
      <c r="AL693" t="inlineStr">
        <is>
          <t/>
        </is>
      </c>
    </row>
    <row r="694">
      <c r="A694" t="inlineStr">
        <is>
          <t>以为69没多少😂实际够我吃一周了</t>
        </is>
      </c>
      <c r="B694" t="inlineStr">
        <is>
          <t>69b216ac0000000006031681</t>
        </is>
      </c>
      <c r="C694" s="693" t="n">
        <f>HYPERLINK("https://www.xiaohongshu.com/explore/69b216ac0000000006031681?xsec_token=TB020mu_sDtHEgaPvBWpjWuaIhK4qf40PqtKj_pR1GdwA=&amp;xsec_source=pc_trdark","https://www.xiaohongshu.com/explore/69b216ac0000000006031681?xsec_token=TB020mu_sDtHEgaPvBWpjWuaIhK4qf40PqtKj_pR1GdwA=&amp;xsec_source=pc_trdark")</f>
        <v>0.0</v>
      </c>
      <c r="D694" t="inlineStr">
        <is>
          <t>鲜水湾</t>
        </is>
      </c>
      <c r="E694" t="inlineStr">
        <is>
          <t>49316638994</t>
        </is>
      </c>
      <c r="F694" t="inlineStr">
        <is>
          <t>2026-03-12 09:28:12</t>
        </is>
      </c>
      <c r="G694" t="inlineStr">
        <is>
          <t>图文</t>
        </is>
      </c>
      <c r="H694" t="inlineStr">
        <is>
          <t>大虾基围虾王牌大虾厄瓜多尔白虾盐冻虾仁海洋大虾送礼顺丰包邮</t>
        </is>
      </c>
      <c r="I694" t="inlineStr">
        <is>
          <t>690aeb7be379430001e686ac</t>
        </is>
      </c>
      <c r="J694" t="inlineStr">
        <is>
          <t/>
        </is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inlineStr">
        <is>
          <t/>
        </is>
      </c>
      <c r="R694" t="inlineStr">
        <is>
          <t/>
        </is>
      </c>
      <c r="S694" t="n">
        <v>0.0</v>
      </c>
      <c r="T694" t="n">
        <v>0.0</v>
      </c>
      <c r="U694" t="n">
        <v>0.0</v>
      </c>
      <c r="V694" t="n">
        <v>0.0</v>
      </c>
      <c r="W694" t="inlineStr">
        <is>
          <t/>
        </is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2.0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2.5</v>
      </c>
      <c r="AL694" t="inlineStr">
        <is>
          <t/>
        </is>
      </c>
    </row>
    <row r="695">
      <c r="A695" t="inlineStr">
        <is>
          <t>70块吃不了一顿外卖，但承包我一周减脂餐！</t>
        </is>
      </c>
      <c r="B695" t="inlineStr">
        <is>
          <t>69b1265b0000000008033642</t>
        </is>
      </c>
      <c r="C695" s="694" t="n">
        <f>HYPERLINK("https://www.xiaohongshu.com/explore/69b1265b0000000008033642?xsec_token=TBPThwaY7kqe53qUk5J0OyzvHFS__c4R67uXQSMP3jqfI=&amp;xsec_source=pc_trdark","https://www.xiaohongshu.com/explore/69b1265b0000000008033642?xsec_token=TBPThwaY7kqe53qUk5J0OyzvHFS__c4R67uXQSMP3jqfI=&amp;xsec_source=pc_trdark")</f>
        <v>0.0</v>
      </c>
      <c r="D695" t="inlineStr">
        <is>
          <t>鲜水湾</t>
        </is>
      </c>
      <c r="E695" t="inlineStr">
        <is>
          <t>49316638994</t>
        </is>
      </c>
      <c r="F695" t="inlineStr">
        <is>
          <t>2026-03-11 16:22:51</t>
        </is>
      </c>
      <c r="G695" t="inlineStr">
        <is>
          <t>图文</t>
        </is>
      </c>
      <c r="H695" t="inlineStr">
        <is>
          <t>大虾基围虾王牌大虾厄瓜多尔白虾盐冻虾仁海洋大虾送礼顺丰包邮</t>
        </is>
      </c>
      <c r="I695" t="inlineStr">
        <is>
          <t>690aeb7be379430001e686ac</t>
        </is>
      </c>
      <c r="J695" t="inlineStr">
        <is>
          <t/>
        </is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inlineStr">
        <is>
          <t/>
        </is>
      </c>
      <c r="R695" t="inlineStr">
        <is>
          <t/>
        </is>
      </c>
      <c r="S695" t="n">
        <v>0.0</v>
      </c>
      <c r="T695" t="n">
        <v>0.0</v>
      </c>
      <c r="U695" t="n">
        <v>0.0</v>
      </c>
      <c r="V695" t="n">
        <v>0.0</v>
      </c>
      <c r="W695" t="inlineStr">
        <is>
          <t/>
        </is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2.0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5.5</v>
      </c>
      <c r="AL695" t="inlineStr">
        <is>
          <t/>
        </is>
      </c>
    </row>
    <row r="696">
      <c r="A696" t="inlineStr">
        <is>
          <t>老妈说，69一盒试试水，1000单走起...!!</t>
        </is>
      </c>
      <c r="B696" t="inlineStr">
        <is>
          <t>69afc1be000000000503398c</t>
        </is>
      </c>
      <c r="C696" s="695" t="n">
        <f>HYPERLINK("https://www.xiaohongshu.com/explore/69afc1be000000000503398c?xsec_token=TBvA7Hz6ko-xGwfQy35gan6anf3Ydkyzie5X1MyAnE6Xo=&amp;xsec_source=pc_trdark","https://www.xiaohongshu.com/explore/69afc1be000000000503398c?xsec_token=TBvA7Hz6ko-xGwfQy35gan6anf3Ydkyzie5X1MyAnE6Xo=&amp;xsec_source=pc_trdark")</f>
        <v>0.0</v>
      </c>
      <c r="D696" t="inlineStr">
        <is>
          <t>鲜水湾</t>
        </is>
      </c>
      <c r="E696" t="inlineStr">
        <is>
          <t>49316638994</t>
        </is>
      </c>
      <c r="F696" t="inlineStr">
        <is>
          <t>2026-03-10 15:01:18</t>
        </is>
      </c>
      <c r="G696" t="inlineStr">
        <is>
          <t>图文</t>
        </is>
      </c>
      <c r="H696" t="inlineStr">
        <is>
          <t>大虾基围虾王牌大虾厄瓜多尔白虾盐冻虾仁海洋大虾送礼顺丰包邮</t>
        </is>
      </c>
      <c r="I696" t="inlineStr">
        <is>
          <t>690aeb7be379430001e686ac</t>
        </is>
      </c>
      <c r="J696" t="inlineStr">
        <is>
          <t/>
        </is>
      </c>
      <c r="K696" t="n">
        <v>0.0</v>
      </c>
      <c r="L696" t="n">
        <v>0.0</v>
      </c>
      <c r="M696" t="n">
        <v>1.0</v>
      </c>
      <c r="N696" t="n">
        <v>0.5</v>
      </c>
      <c r="O696" t="n">
        <v>1.0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inlineStr">
        <is>
          <t/>
        </is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2.0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5.5</v>
      </c>
      <c r="AL696" t="inlineStr">
        <is>
          <t/>
        </is>
      </c>
    </row>
    <row r="697">
      <c r="A697" t="inlineStr">
        <is>
          <t>试过了，确实比鸡胸肉快！</t>
        </is>
      </c>
      <c r="B697" t="inlineStr">
        <is>
          <t>69afae19000000000b034aa4</t>
        </is>
      </c>
      <c r="C697" s="696" t="n">
        <f>HYPERLINK("https://www.xiaohongshu.com/explore/69afae19000000000b034aa4?xsec_token=TBvA7Hz6ko-xGwfQy35gan6Ujze8RSyc6keKJb4ycYP14=&amp;xsec_source=pc_trdark","https://www.xiaohongshu.com/explore/69afae19000000000b034aa4?xsec_token=TBvA7Hz6ko-xGwfQy35gan6Ujze8RSyc6keKJb4ycYP14=&amp;xsec_source=pc_trdark")</f>
        <v>0.0</v>
      </c>
      <c r="D697" t="inlineStr">
        <is>
          <t>鲜水湾</t>
        </is>
      </c>
      <c r="E697" t="inlineStr">
        <is>
          <t>49316638994</t>
        </is>
      </c>
      <c r="F697" t="inlineStr">
        <is>
          <t>2026-03-10 13:37:29</t>
        </is>
      </c>
      <c r="G697" t="inlineStr">
        <is>
          <t>图文</t>
        </is>
      </c>
      <c r="H697" t="inlineStr">
        <is>
          <t>手剥虾仁 无冰衣无添加 低脂餐一人食 上班带饭 顺丰包邮 5盒装</t>
        </is>
      </c>
      <c r="I697" t="inlineStr">
        <is>
          <t>694baba01d450d00013662f0</t>
        </is>
      </c>
      <c r="J697" t="inlineStr">
        <is>
          <t/>
        </is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inlineStr">
        <is>
          <t/>
        </is>
      </c>
      <c r="R697" t="inlineStr">
        <is>
          <t/>
        </is>
      </c>
      <c r="S697" t="n">
        <v>0.0</v>
      </c>
      <c r="T697" t="n">
        <v>0.0</v>
      </c>
      <c r="U697" t="n">
        <v>0.0</v>
      </c>
      <c r="V697" t="n">
        <v>0.0</v>
      </c>
      <c r="W697" t="inlineStr">
        <is>
          <t/>
        </is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2.0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6.0</v>
      </c>
      <c r="AL697" t="inlineStr">
        <is>
          <t/>
        </is>
      </c>
    </row>
    <row r="698">
      <c r="A698" t="inlineStr">
        <is>
          <t>带饭的尽头…真的是免加热</t>
        </is>
      </c>
      <c r="B698" t="inlineStr">
        <is>
          <t>69a8fada000000001a01e106</t>
        </is>
      </c>
      <c r="C698" s="697" t="n">
        <f>HYPERLINK("https://www.xiaohongshu.com/explore/69a8fada000000001a01e106?xsec_token=TBoPbpeIhQUL4QR6_LMsKnIZN-sC3eEnPvvU7inyQsj3g=&amp;xsec_source=pc_trdark","https://www.xiaohongshu.com/explore/69a8fada000000001a01e106?xsec_token=TBoPbpeIhQUL4QR6_LMsKnIZN-sC3eEnPvvU7inyQsj3g=&amp;xsec_source=pc_trdark")</f>
        <v>0.0</v>
      </c>
      <c r="D698" t="inlineStr">
        <is>
          <t>鲜水湾</t>
        </is>
      </c>
      <c r="E698" t="inlineStr">
        <is>
          <t>49316638994</t>
        </is>
      </c>
      <c r="F698" t="inlineStr">
        <is>
          <t>2026-03-05 11:39:06</t>
        </is>
      </c>
      <c r="G698" t="inlineStr">
        <is>
          <t>图文</t>
        </is>
      </c>
      <c r="H698" t="inlineStr">
        <is>
          <t>大虾基围虾王牌大虾厄瓜多尔白虾盐冻虾仁海洋大虾送礼顺丰包邮</t>
        </is>
      </c>
      <c r="I698" t="inlineStr">
        <is>
          <t>690aeb7be379430001e686ac</t>
        </is>
      </c>
      <c r="J698" t="inlineStr">
        <is>
          <t/>
        </is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inlineStr">
        <is>
          <t/>
        </is>
      </c>
      <c r="R698" t="inlineStr">
        <is>
          <t/>
        </is>
      </c>
      <c r="S698" t="n">
        <v>0.0</v>
      </c>
      <c r="T698" t="n">
        <v>0.0</v>
      </c>
      <c r="U698" t="n">
        <v>0.0</v>
      </c>
      <c r="V698" t="n">
        <v>0.0</v>
      </c>
      <c r="W698" t="inlineStr">
        <is>
          <t/>
        </is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2.0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12.5</v>
      </c>
      <c r="AL698" t="inlineStr">
        <is>
          <t/>
        </is>
      </c>
    </row>
    <row r="699">
      <c r="A699" t="inlineStr">
        <is>
          <t>一盒25r🔥日料店半成品爽吃</t>
        </is>
      </c>
      <c r="B699" t="inlineStr">
        <is>
          <t>69a78f0f00000000220334a8</t>
        </is>
      </c>
      <c r="C699" s="698" t="n">
        <f>HYPERLINK("https://www.xiaohongshu.com/explore/69a78f0f00000000220334a8?xsec_token=TBfaHJOfbObHzNAqAc3bkGMxRuuc5M21heVwl3DOClwEY=&amp;xsec_source=pc_trdark","https://www.xiaohongshu.com/explore/69a78f0f00000000220334a8?xsec_token=TBfaHJOfbObHzNAqAc3bkGMxRuuc5M21heVwl3DOClwEY=&amp;xsec_source=pc_trdark")</f>
        <v>0.0</v>
      </c>
      <c r="D699" t="inlineStr">
        <is>
          <t>鲜水湾甄选</t>
        </is>
      </c>
      <c r="E699" t="inlineStr">
        <is>
          <t>27401929161</t>
        </is>
      </c>
      <c r="F699" t="inlineStr">
        <is>
          <t>2026-03-04 09:46:55</t>
        </is>
      </c>
      <c r="G699" t="inlineStr">
        <is>
          <t>图文</t>
        </is>
      </c>
      <c r="H699" t="inlineStr">
        <is>
          <t>北极甜虾头籽甜虾元宝虾北极熊冰虾孕妈妈宝宝辅食顺丰</t>
        </is>
      </c>
      <c r="I699" t="inlineStr">
        <is>
          <t>6953717eb8f0bb000115158d</t>
        </is>
      </c>
      <c r="J699" t="inlineStr">
        <is>
          <t/>
        </is>
      </c>
      <c r="K699" t="n">
        <v>0.0</v>
      </c>
      <c r="L699" t="n">
        <v>0.0</v>
      </c>
      <c r="M699" t="n">
        <v>1.0</v>
      </c>
      <c r="N699" t="n">
        <v>0.5</v>
      </c>
      <c r="O699" t="n">
        <v>1.0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inlineStr">
        <is>
          <t/>
        </is>
      </c>
      <c r="X699" t="n">
        <v>0.0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2.0</v>
      </c>
      <c r="AE699" t="n">
        <v>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6.0</v>
      </c>
      <c r="AL699" t="inlineStr">
        <is>
          <t/>
        </is>
      </c>
    </row>
    <row r="700">
      <c r="A700" t="inlineStr">
        <is>
          <t>年后控体大法，一般人我不告诉</t>
        </is>
      </c>
      <c r="B700" t="inlineStr">
        <is>
          <t>69a2be17000000002801e15b</t>
        </is>
      </c>
      <c r="C700" s="699" t="n">
        <f>HYPERLINK("https://www.xiaohongshu.com/explore/69a2be17000000002801e15b?xsec_token=TBUws-qSGfQm7WfIK5gxFwZ1Ge2kFHIGG4L62RT6nC3BY=&amp;xsec_source=pc_trdark","https://www.xiaohongshu.com/explore/69a2be17000000002801e15b?xsec_token=TBUws-qSGfQm7WfIK5gxFwZ1Ge2kFHIGG4L62RT6nC3BY=&amp;xsec_source=pc_trdark")</f>
        <v>0.0</v>
      </c>
      <c r="D700" t="inlineStr">
        <is>
          <t>鲜水湾</t>
        </is>
      </c>
      <c r="E700" t="inlineStr">
        <is>
          <t>49316638994</t>
        </is>
      </c>
      <c r="F700" t="inlineStr">
        <is>
          <t>2026-02-28 18:06:15</t>
        </is>
      </c>
      <c r="G700" t="inlineStr">
        <is>
          <t>图文</t>
        </is>
      </c>
      <c r="H700" t="inlineStr">
        <is>
          <t>手剥虾仁 无冰衣无添加 低脂餐一人食 上班带饭 顺丰包邮 5盒装</t>
        </is>
      </c>
      <c r="I700" t="inlineStr">
        <is>
          <t>694baba01d450d00013662f0</t>
        </is>
      </c>
      <c r="J700" t="inlineStr">
        <is>
          <t/>
        </is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inlineStr">
        <is>
          <t/>
        </is>
      </c>
      <c r="R700" t="inlineStr">
        <is>
          <t/>
        </is>
      </c>
      <c r="S700" t="n">
        <v>0.0</v>
      </c>
      <c r="T700" t="n">
        <v>0.0</v>
      </c>
      <c r="U700" t="n">
        <v>0.0</v>
      </c>
      <c r="V700" t="n">
        <v>0.0</v>
      </c>
      <c r="W700" t="inlineStr">
        <is>
          <t/>
        </is>
      </c>
      <c r="X700" t="n">
        <v>0.0</v>
      </c>
      <c r="Y700" t="n">
        <v>0.0</v>
      </c>
      <c r="Z700" t="n">
        <v>1.0</v>
      </c>
      <c r="AA700" t="n">
        <v>0.0</v>
      </c>
      <c r="AB700" t="n">
        <v>0.0</v>
      </c>
      <c r="AC700" t="n">
        <v>0.0</v>
      </c>
      <c r="AD700" t="n">
        <v>2.0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4.0</v>
      </c>
      <c r="AL700" t="inlineStr">
        <is>
          <t/>
        </is>
      </c>
    </row>
    <row r="701">
      <c r="A701" t="inlineStr">
        <is>
          <t>鲜香甜糯，给甜虾脑袋哄成翘嘴了</t>
        </is>
      </c>
      <c r="B701" t="inlineStr">
        <is>
          <t>69a01b0d000000002203acff</t>
        </is>
      </c>
      <c r="C701" s="700" t="n">
        <f>HYPERLINK("https://www.xiaohongshu.com/explore/69a01b0d000000002203acff?xsec_token=TBGIgfrKGy2wDtxaQW-J26GTgrb6njNHpEsyJo_2qYJPQ=&amp;xsec_source=pc_trdark","https://www.xiaohongshu.com/explore/69a01b0d000000002203acff?xsec_token=TBGIgfrKGy2wDtxaQW-J26GTgrb6njNHpEsyJo_2qYJPQ=&amp;xsec_source=pc_trdark")</f>
        <v>0.0</v>
      </c>
      <c r="D701" t="inlineStr">
        <is>
          <t>鲜水湾甄选</t>
        </is>
      </c>
      <c r="E701" t="inlineStr">
        <is>
          <t>27401929161</t>
        </is>
      </c>
      <c r="F701" t="inlineStr">
        <is>
          <t>2026-02-26 18:06:05</t>
        </is>
      </c>
      <c r="G701" t="inlineStr">
        <is>
          <t>图文</t>
        </is>
      </c>
      <c r="H701" t="inlineStr">
        <is>
          <t>北极甜虾头籽甜虾元宝虾北极熊冰虾孕妈妈宝宝辅食顺丰</t>
        </is>
      </c>
      <c r="I701" t="inlineStr">
        <is>
          <t>6953717eb8f0bb000115158d</t>
        </is>
      </c>
      <c r="J701" t="inlineStr">
        <is>
          <t/>
        </is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inlineStr">
        <is>
          <t/>
        </is>
      </c>
      <c r="R701" t="inlineStr">
        <is>
          <t/>
        </is>
      </c>
      <c r="S701" t="n">
        <v>0.0</v>
      </c>
      <c r="T701" t="n">
        <v>0.0</v>
      </c>
      <c r="U701" t="n">
        <v>0.0</v>
      </c>
      <c r="V701" t="n">
        <v>0.0</v>
      </c>
      <c r="W701" t="inlineStr">
        <is>
          <t/>
        </is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2.0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10.0</v>
      </c>
      <c r="AL701" t="inlineStr">
        <is>
          <t/>
        </is>
      </c>
    </row>
    <row r="702">
      <c r="A702" t="inlineStr">
        <is>
          <t>咱家乳山生蚝靠的就是实打实的品质～</t>
        </is>
      </c>
      <c r="B702" t="inlineStr">
        <is>
          <t>69a002e0000000000e00eeba</t>
        </is>
      </c>
      <c r="C702" s="701" t="n">
        <f>HYPERLINK("https://www.xiaohongshu.com/explore/69a002e0000000000e00eeba?xsec_token=TBGIgfrKGy2wDtxaQW-J26GQNrSqY4Qy6JIGQyBKpHvmE=&amp;xsec_source=pc_trdark","https://www.xiaohongshu.com/explore/69a002e0000000000e00eeba?xsec_token=TBGIgfrKGy2wDtxaQW-J26GQNrSqY4Qy6JIGQyBKpHvmE=&amp;xsec_source=pc_trdark")</f>
        <v>0.0</v>
      </c>
      <c r="D702" t="inlineStr">
        <is>
          <t>婉婉上班吃什么</t>
        </is>
      </c>
      <c r="E702" t="inlineStr">
        <is>
          <t>11434449706</t>
        </is>
      </c>
      <c r="F702" t="inlineStr">
        <is>
          <t>2026-02-26 16:22:56</t>
        </is>
      </c>
      <c r="G702" t="inlineStr">
        <is>
          <t>图文</t>
        </is>
      </c>
      <c r="H702" t="inlineStr">
        <is>
          <t>生蚝乳山生蚝海蛎子顺丰包邮</t>
        </is>
      </c>
      <c r="I702" t="inlineStr">
        <is>
          <t>690c70971b787900010866cc</t>
        </is>
      </c>
      <c r="J702" t="inlineStr">
        <is>
          <t/>
        </is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inlineStr">
        <is>
          <t/>
        </is>
      </c>
      <c r="R702" t="inlineStr">
        <is>
          <t/>
        </is>
      </c>
      <c r="S702" t="n">
        <v>0.0</v>
      </c>
      <c r="T702" t="n">
        <v>0.0</v>
      </c>
      <c r="U702" t="n">
        <v>0.0</v>
      </c>
      <c r="V702" t="n">
        <v>0.0</v>
      </c>
      <c r="W702" t="inlineStr">
        <is>
          <t/>
        </is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2.0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n">
        <v>18.0</v>
      </c>
      <c r="AL702" t="inlineStr">
        <is>
          <t/>
        </is>
      </c>
    </row>
    <row r="703">
      <c r="A703" t="inlineStr">
        <is>
          <t>发现一个初春食欲稳定的方法</t>
        </is>
      </c>
      <c r="B703" t="inlineStr">
        <is>
          <t>699ea1ef000000002303af25</t>
        </is>
      </c>
      <c r="C703" s="702" t="n">
        <f>HYPERLINK("https://www.xiaohongshu.com/explore/699ea1ef000000002303af25?xsec_token=TBggKgSP0tIUAtqBAPfP3mLU4eiT8nw79kmm873hOptXc=&amp;xsec_source=pc_trdark","https://www.xiaohongshu.com/explore/699ea1ef000000002303af25?xsec_token=TBggKgSP0tIUAtqBAPfP3mLU4eiT8nw79kmm873hOptXc=&amp;xsec_source=pc_trdark")</f>
        <v>0.0</v>
      </c>
      <c r="D703" t="inlineStr">
        <is>
          <t>鲜水湾甄选</t>
        </is>
      </c>
      <c r="E703" t="inlineStr">
        <is>
          <t>27401929161</t>
        </is>
      </c>
      <c r="F703" t="inlineStr">
        <is>
          <t>2026-02-25 15:17:03</t>
        </is>
      </c>
      <c r="G703" t="inlineStr">
        <is>
          <t>图文</t>
        </is>
      </c>
      <c r="H703" t="inlineStr">
        <is>
          <t>大虾基围虾王牌大虾厄瓜多尔白虾盐冻虾仁海洋大虾送礼顺丰包邮</t>
        </is>
      </c>
      <c r="I703" t="inlineStr">
        <is>
          <t>690aeb7be379430001e686ac</t>
        </is>
      </c>
      <c r="J703" t="inlineStr">
        <is>
          <t/>
        </is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inlineStr">
        <is>
          <t/>
        </is>
      </c>
      <c r="R703" t="inlineStr">
        <is>
          <t/>
        </is>
      </c>
      <c r="S703" t="n">
        <v>0.0</v>
      </c>
      <c r="T703" t="n">
        <v>0.0</v>
      </c>
      <c r="U703" t="n">
        <v>0.0</v>
      </c>
      <c r="V703" t="n">
        <v>0.0</v>
      </c>
      <c r="W703" t="inlineStr">
        <is>
          <t/>
        </is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2.0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3.0</v>
      </c>
      <c r="AL703" t="inlineStr">
        <is>
          <t/>
        </is>
      </c>
    </row>
    <row r="704">
      <c r="A704" t="inlineStr">
        <is>
          <t>初九开始还债了</t>
        </is>
      </c>
      <c r="B704" t="inlineStr">
        <is>
          <t>699e752d000000002203985a</t>
        </is>
      </c>
      <c r="C704" s="703" t="n">
        <f>HYPERLINK("https://www.xiaohongshu.com/explore/699e752d000000002203985a?xsec_token=TBggKgSP0tIUAtqBAPfP3mLeTzu0x9bt84Dw6FwYxe6vk=&amp;xsec_source=pc_trdark","https://www.xiaohongshu.com/explore/699e752d000000002203985a?xsec_token=TBggKgSP0tIUAtqBAPfP3mLeTzu0x9bt84Dw6FwYxe6vk=&amp;xsec_source=pc_trdark")</f>
        <v>0.0</v>
      </c>
      <c r="D704" t="inlineStr">
        <is>
          <t>鲜水湾甄选</t>
        </is>
      </c>
      <c r="E704" t="inlineStr">
        <is>
          <t>27401929161</t>
        </is>
      </c>
      <c r="F704" t="inlineStr">
        <is>
          <t>2026-02-25 12:06:06</t>
        </is>
      </c>
      <c r="G704" t="inlineStr">
        <is>
          <t>图文</t>
        </is>
      </c>
      <c r="H704" t="inlineStr">
        <is>
          <t>智利三文鱼切块·整条三文鱼·深海鱼一人食健康饮食</t>
        </is>
      </c>
      <c r="I704" t="inlineStr">
        <is>
          <t>691ac562a524ee0001b51d7b</t>
        </is>
      </c>
      <c r="J704" t="inlineStr">
        <is>
          <t/>
        </is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inlineStr">
        <is>
          <t/>
        </is>
      </c>
      <c r="R704" t="inlineStr">
        <is>
          <t/>
        </is>
      </c>
      <c r="S704" t="n">
        <v>0.0</v>
      </c>
      <c r="T704" t="n">
        <v>0.0</v>
      </c>
      <c r="U704" t="n">
        <v>0.0</v>
      </c>
      <c r="V704" t="n">
        <v>0.0</v>
      </c>
      <c r="W704" t="inlineStr">
        <is>
          <t/>
        </is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2.0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9.5</v>
      </c>
      <c r="AL704" t="inlineStr">
        <is>
          <t/>
        </is>
      </c>
    </row>
    <row r="705">
      <c r="A705" t="inlineStr">
        <is>
          <t>年前买北极甜虾的！年后都来回购了🤤</t>
        </is>
      </c>
      <c r="B705" t="inlineStr">
        <is>
          <t>699d4f80000000000b0134d4</t>
        </is>
      </c>
      <c r="C705" s="704" t="n">
        <f>HYPERLINK("https://www.xiaohongshu.com/explore/699d4f80000000000b0134d4?xsec_token=TBeFZqWudA4ECFcaumXjqu0Il1B7A1a0D94UGunWJ0iX8=&amp;xsec_source=pc_trdark","https://www.xiaohongshu.com/explore/699d4f80000000000b0134d4?xsec_token=TBeFZqWudA4ECFcaumXjqu0Il1B7A1a0D94UGunWJ0iX8=&amp;xsec_source=pc_trdark")</f>
        <v>0.0</v>
      </c>
      <c r="D705" t="inlineStr">
        <is>
          <t>鲜水湾甄选</t>
        </is>
      </c>
      <c r="E705" t="inlineStr">
        <is>
          <t>27401929161</t>
        </is>
      </c>
      <c r="F705" t="inlineStr">
        <is>
          <t>2026-02-24 15:13:04</t>
        </is>
      </c>
      <c r="G705" t="inlineStr">
        <is>
          <t>图文</t>
        </is>
      </c>
      <c r="H705" t="inlineStr">
        <is>
          <t>北极甜虾头籽甜虾元宝虾北极熊冰虾孕妈妈宝宝辅食顺丰</t>
        </is>
      </c>
      <c r="I705" t="inlineStr">
        <is>
          <t>6953717eb8f0bb000115158d</t>
        </is>
      </c>
      <c r="J705" t="inlineStr">
        <is>
          <t/>
        </is>
      </c>
      <c r="K705" t="n">
        <v>0.0</v>
      </c>
      <c r="L705" t="n">
        <v>0.0</v>
      </c>
      <c r="M705" t="n">
        <v>1.0</v>
      </c>
      <c r="N705" t="n">
        <v>0.5</v>
      </c>
      <c r="O705" t="n">
        <v>1.0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inlineStr">
        <is>
          <t/>
        </is>
      </c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2.0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3.5</v>
      </c>
      <c r="AL705" t="inlineStr">
        <is>
          <t/>
        </is>
      </c>
    </row>
    <row r="706">
      <c r="A706" t="inlineStr">
        <is>
          <t>区区69块，承包了我一周减脂的快乐</t>
        </is>
      </c>
      <c r="B706" t="inlineStr">
        <is>
          <t>69983f10000000001a02347b</t>
        </is>
      </c>
      <c r="C706" s="705" t="n">
        <f>HYPERLINK("https://www.xiaohongshu.com/explore/69983f10000000001a02347b?xsec_token=TBw3dBNyYxHSihInNv0vJoVnDJ8H_ygMIcvJyez0UsWb0=&amp;xsec_source=pc_trdark","https://www.xiaohongshu.com/explore/69983f10000000001a02347b?xsec_token=TBw3dBNyYxHSihInNv0vJoVnDJ8H_ygMIcvJyez0UsWb0=&amp;xsec_source=pc_trdark")</f>
        <v>0.0</v>
      </c>
      <c r="D706" t="inlineStr">
        <is>
          <t>鲜水湾</t>
        </is>
      </c>
      <c r="E706" t="inlineStr">
        <is>
          <t>49316638994</t>
        </is>
      </c>
      <c r="F706" t="inlineStr">
        <is>
          <t>2026-02-20 19:01:36</t>
        </is>
      </c>
      <c r="G706" t="inlineStr">
        <is>
          <t>图文</t>
        </is>
      </c>
      <c r="H706" t="inlineStr">
        <is>
          <t>大虾基围虾王牌大虾厄瓜多尔白虾盐冻虾仁海洋大虾送礼顺丰包邮</t>
        </is>
      </c>
      <c r="I706" t="inlineStr">
        <is>
          <t>690aeb7be379430001e686ac</t>
        </is>
      </c>
      <c r="J706" t="inlineStr">
        <is>
          <t/>
        </is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inlineStr">
        <is>
          <t/>
        </is>
      </c>
      <c r="R706" t="inlineStr">
        <is>
          <t/>
        </is>
      </c>
      <c r="S706" t="n">
        <v>0.0</v>
      </c>
      <c r="T706" t="n">
        <v>0.0</v>
      </c>
      <c r="U706" t="n">
        <v>0.0</v>
      </c>
      <c r="V706" t="n">
        <v>0.0</v>
      </c>
      <c r="W706" t="inlineStr">
        <is>
          <t/>
        </is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2.0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1.0</v>
      </c>
      <c r="AL706" t="inlineStr">
        <is>
          <t/>
        </is>
      </c>
    </row>
    <row r="707">
      <c r="A707" t="inlineStr">
        <is>
          <t>马上过年了，都来囤我家大虾了</t>
        </is>
      </c>
      <c r="B707" t="inlineStr">
        <is>
          <t>69783035000000000e03e32f</t>
        </is>
      </c>
      <c r="C707" s="706" t="n">
        <f>HYPERLINK("https://www.xiaohongshu.com/explore/69783035000000000e03e32f?xsec_token=TB4uixe4FoDg0vEpIlbspmiqO8CmvC1qYIzvuKZenPR1Q=&amp;xsec_source=pc_trdark","https://www.xiaohongshu.com/explore/69783035000000000e03e32f?xsec_token=TB4uixe4FoDg0vEpIlbspmiqO8CmvC1qYIzvuKZenPR1Q=&amp;xsec_source=pc_trdark")</f>
        <v>0.0</v>
      </c>
      <c r="D707" t="inlineStr">
        <is>
          <t>鲜水湾</t>
        </is>
      </c>
      <c r="E707" t="inlineStr">
        <is>
          <t>49316638994</t>
        </is>
      </c>
      <c r="F707" t="inlineStr">
        <is>
          <t>2026-01-27 11:25:41</t>
        </is>
      </c>
      <c r="G707" t="inlineStr">
        <is>
          <t>图文</t>
        </is>
      </c>
      <c r="H707" t="inlineStr">
        <is>
          <t>王牌大虾鲜冻大虾厄瓜多尔白虾盐冻大虾年货过年送礼顺丰包邮</t>
        </is>
      </c>
      <c r="I707" t="inlineStr">
        <is>
          <t>69782738eb0d9a0001cd8a32</t>
        </is>
      </c>
      <c r="J707" t="inlineStr">
        <is>
          <t/>
        </is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inlineStr">
        <is>
          <t/>
        </is>
      </c>
      <c r="R707" t="inlineStr">
        <is>
          <t/>
        </is>
      </c>
      <c r="S707" t="n">
        <v>0.0</v>
      </c>
      <c r="T707" t="n">
        <v>0.0</v>
      </c>
      <c r="U707" t="n">
        <v>0.0</v>
      </c>
      <c r="V707" t="n">
        <v>0.0</v>
      </c>
      <c r="W707" t="inlineStr">
        <is>
          <t/>
        </is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2.0</v>
      </c>
      <c r="AE707" t="n">
        <v>1.0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n">
        <v>17.5</v>
      </c>
      <c r="AL707" t="inlineStr">
        <is>
          <t/>
        </is>
      </c>
    </row>
    <row r="708">
      <c r="A708" t="inlineStr">
        <is>
          <t>和老爸商量好了，49.9一箱先给你们都尝尝</t>
        </is>
      </c>
      <c r="B708" t="inlineStr">
        <is>
          <t>69699aeb000000000e03dd8f</t>
        </is>
      </c>
      <c r="C708" s="707" t="n">
        <f>HYPERLINK("https://www.xiaohongshu.com/explore/69699aeb000000000e03dd8f?xsec_token=TBrfrRU4wM2w5bDKUviah5Tz1joafWrrSlCKGYqUnyWSs=&amp;xsec_source=pc_trdark","https://www.xiaohongshu.com/explore/69699aeb000000000e03dd8f?xsec_token=TBrfrRU4wM2w5bDKUviah5Tz1joafWrrSlCKGYqUnyWSs=&amp;xsec_source=pc_trdark")</f>
        <v>0.0</v>
      </c>
      <c r="D708" t="inlineStr">
        <is>
          <t>婉婉上班吃什么</t>
        </is>
      </c>
      <c r="E708" t="inlineStr">
        <is>
          <t>11434449706</t>
        </is>
      </c>
      <c r="F708" t="inlineStr">
        <is>
          <t>2026-01-16 09:56:59</t>
        </is>
      </c>
      <c r="G708" t="inlineStr">
        <is>
          <t>视频</t>
        </is>
      </c>
      <c r="H708" t="inlineStr">
        <is>
          <t>生蚝乳山生蚝海蛎子顺丰包邮</t>
        </is>
      </c>
      <c r="I708" t="inlineStr">
        <is>
          <t>690c70971b787900010866cc</t>
        </is>
      </c>
      <c r="J708" t="n">
        <v>20.0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inlineStr">
        <is>
          <t/>
        </is>
      </c>
      <c r="R708" t="inlineStr">
        <is>
          <t/>
        </is>
      </c>
      <c r="S708" t="n">
        <v>0.0</v>
      </c>
      <c r="T708" t="n">
        <v>0.0</v>
      </c>
      <c r="U708" t="n">
        <v>0.0</v>
      </c>
      <c r="V708" t="n">
        <v>0.0</v>
      </c>
      <c r="W708" t="inlineStr">
        <is>
          <t/>
        </is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2.0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1.5</v>
      </c>
      <c r="AL708" t="n">
        <v>0.0</v>
      </c>
    </row>
    <row r="709">
      <c r="A709" t="inlineStr">
        <is>
          <t>区区300多，承包了我一个月的减脂餐</t>
        </is>
      </c>
      <c r="B709" t="inlineStr">
        <is>
          <t>694ff17d000000001e032ce6</t>
        </is>
      </c>
      <c r="C709" s="708" t="n">
        <f>HYPERLINK("https://www.xiaohongshu.com/explore/694ff17d000000001e032ce6?xsec_token=TBw7VvNlyMjIEifzsT4Z5tlE0BEdVjw__dTXCvF1jBl8Q=&amp;xsec_source=pc_trdark","https://www.xiaohongshu.com/explore/694ff17d000000001e032ce6?xsec_token=TBw7VvNlyMjIEifzsT4Z5tlE0BEdVjw__dTXCvF1jBl8Q=&amp;xsec_source=pc_trdark")</f>
        <v>0.0</v>
      </c>
      <c r="D709" t="inlineStr">
        <is>
          <t>鲜水湾</t>
        </is>
      </c>
      <c r="E709" t="inlineStr">
        <is>
          <t>49316638994</t>
        </is>
      </c>
      <c r="F709" t="inlineStr">
        <is>
          <t>2025-12-27 22:47:25</t>
        </is>
      </c>
      <c r="G709" t="inlineStr">
        <is>
          <t>图文</t>
        </is>
      </c>
      <c r="H709" t="inlineStr">
        <is>
          <t>智利三文鱼切块·整条三文鱼·深海鱼一人食健康饮食</t>
        </is>
      </c>
      <c r="I709" t="inlineStr">
        <is>
          <t>691ac562a524ee0001b51d7b</t>
        </is>
      </c>
      <c r="J709" t="inlineStr">
        <is>
          <t/>
        </is>
      </c>
      <c r="K709" t="n">
        <v>0.0</v>
      </c>
      <c r="L709" t="n">
        <v>0.0</v>
      </c>
      <c r="M709" t="n">
        <v>1.0</v>
      </c>
      <c r="N709" t="n">
        <v>0.5</v>
      </c>
      <c r="O709" t="n">
        <v>1.0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inlineStr">
        <is>
          <t/>
        </is>
      </c>
      <c r="X709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2.0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n">
        <v>31.0</v>
      </c>
      <c r="AL709" t="inlineStr">
        <is>
          <t/>
        </is>
      </c>
    </row>
    <row r="710">
      <c r="A710" t="inlineStr">
        <is>
          <t>跟爸妈商量后，决定推出整条三文鱼100单免邮</t>
        </is>
      </c>
      <c r="B710" t="inlineStr">
        <is>
          <t>6942ae0f000000001e03583f</t>
        </is>
      </c>
      <c r="C710" s="709" t="n">
        <f>HYPERLINK("https://www.xiaohongshu.com/explore/6942ae0f000000001e03583f?xsec_token=TB0tDM60Z2n8tclFaINyevIS3N7QYleAKe-QjjTaQbIp0=&amp;xsec_source=pc_trdark","https://www.xiaohongshu.com/explore/6942ae0f000000001e03583f?xsec_token=TB0tDM60Z2n8tclFaINyevIS3N7QYleAKe-QjjTaQbIp0=&amp;xsec_source=pc_trdark")</f>
        <v>0.0</v>
      </c>
      <c r="D710" t="inlineStr">
        <is>
          <t>鲜水湾</t>
        </is>
      </c>
      <c r="E710" t="inlineStr">
        <is>
          <t>49316638994</t>
        </is>
      </c>
      <c r="F710" t="inlineStr">
        <is>
          <t>2025-12-17 21:20:15</t>
        </is>
      </c>
      <c r="G710" t="inlineStr">
        <is>
          <t>图文</t>
        </is>
      </c>
      <c r="H710" t="inlineStr">
        <is>
          <t>智利三文鱼切块·整条三文鱼·深海鱼一人食健康饮食</t>
        </is>
      </c>
      <c r="I710" t="inlineStr">
        <is>
          <t>691ac562a524ee0001b51d7b</t>
        </is>
      </c>
      <c r="J710" t="inlineStr">
        <is>
          <t/>
        </is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inlineStr">
        <is>
          <t/>
        </is>
      </c>
      <c r="R710" t="inlineStr">
        <is>
          <t/>
        </is>
      </c>
      <c r="S710" t="n">
        <v>0.0</v>
      </c>
      <c r="T710" t="n">
        <v>0.0</v>
      </c>
      <c r="U710" t="n">
        <v>0.0</v>
      </c>
      <c r="V710" t="n">
        <v>0.0</v>
      </c>
      <c r="W710" t="inlineStr">
        <is>
          <t/>
        </is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2.0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n">
        <v>19.5</v>
      </c>
      <c r="AL710" t="inlineStr">
        <is>
          <t/>
        </is>
      </c>
    </row>
    <row r="711">
      <c r="A711" t="inlineStr">
        <is>
          <t>不要低估40多的购买力，敞开吃吧……</t>
        </is>
      </c>
      <c r="B711" t="inlineStr">
        <is>
          <t>693bcf26000000001e0313a0</t>
        </is>
      </c>
      <c r="C711" s="710" t="n">
        <f>HYPERLINK("https://www.xiaohongshu.com/explore/693bcf26000000001e0313a0?xsec_token=TBehUwc4QxLaaQbLqKc-ieHlcU-HjcnOsH6QsqzwjUCYk=&amp;xsec_source=pc_trdark","https://www.xiaohongshu.com/explore/693bcf26000000001e0313a0?xsec_token=TBehUwc4QxLaaQbLqKc-ieHlcU-HjcnOsH6QsqzwjUCYk=&amp;xsec_source=pc_trdark")</f>
        <v>0.0</v>
      </c>
      <c r="D711" t="inlineStr">
        <is>
          <t>婉婉上班吃什么</t>
        </is>
      </c>
      <c r="E711" t="inlineStr">
        <is>
          <t>11434449706</t>
        </is>
      </c>
      <c r="F711" t="inlineStr">
        <is>
          <t>2025-12-12 16:15:34</t>
        </is>
      </c>
      <c r="G711" t="inlineStr">
        <is>
          <t>视频</t>
        </is>
      </c>
      <c r="H711" t="inlineStr">
        <is>
          <t>生蚝乳山生蚝海蛎子顺丰包邮</t>
        </is>
      </c>
      <c r="I711" t="inlineStr">
        <is>
          <t>690c70971b787900010866cc</t>
        </is>
      </c>
      <c r="J711" t="n">
        <v>25.0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inlineStr">
        <is>
          <t/>
        </is>
      </c>
      <c r="R711" t="inlineStr">
        <is>
          <t/>
        </is>
      </c>
      <c r="S711" t="n">
        <v>0.0</v>
      </c>
      <c r="T711" t="n">
        <v>0.0</v>
      </c>
      <c r="U711" t="n">
        <v>0.0</v>
      </c>
      <c r="V711" t="n">
        <v>0.0</v>
      </c>
      <c r="W711" t="inlineStr">
        <is>
          <t/>
        </is>
      </c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2.0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9.5</v>
      </c>
      <c r="AL711" t="n">
        <v>0.0</v>
      </c>
    </row>
    <row r="712">
      <c r="A712" t="inlineStr">
        <is>
          <t>我妈让我抓紧宣传下，40来块一斤还包邮</t>
        </is>
      </c>
      <c r="B712" t="inlineStr">
        <is>
          <t>693bc2f0000000001e03b9ab</t>
        </is>
      </c>
      <c r="C712" s="711" t="n">
        <f>HYPERLINK("https://www.xiaohongshu.com/explore/693bc2f0000000001e03b9ab?xsec_token=TBehUwc4QxLaaQbLqKc-ieHr6izQXYwFqEiKFOzdPmOkI=&amp;xsec_source=pc_trdark","https://www.xiaohongshu.com/explore/693bc2f0000000001e03b9ab?xsec_token=TBehUwc4QxLaaQbLqKc-ieHr6izQXYwFqEiKFOzdPmOkI=&amp;xsec_source=pc_trdark")</f>
        <v>0.0</v>
      </c>
      <c r="D712" t="inlineStr">
        <is>
          <t>鲜水湾</t>
        </is>
      </c>
      <c r="E712" t="inlineStr">
        <is>
          <t>49316638994</t>
        </is>
      </c>
      <c r="F712" t="inlineStr">
        <is>
          <t>2025-12-12 15:23:28</t>
        </is>
      </c>
      <c r="G712" t="inlineStr">
        <is>
          <t>图文</t>
        </is>
      </c>
      <c r="H712" t="inlineStr">
        <is>
          <t>智利三文鱼切块·整条三文鱼·深海鱼一人食健康饮食</t>
        </is>
      </c>
      <c r="I712" t="inlineStr">
        <is>
          <t>691ac562a524ee0001b51d7b</t>
        </is>
      </c>
      <c r="J712" t="inlineStr">
        <is>
          <t/>
        </is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inlineStr">
        <is>
          <t/>
        </is>
      </c>
      <c r="R712" t="inlineStr">
        <is>
          <t/>
        </is>
      </c>
      <c r="S712" t="n">
        <v>0.0</v>
      </c>
      <c r="T712" t="n">
        <v>0.0</v>
      </c>
      <c r="U712" t="n">
        <v>0.0</v>
      </c>
      <c r="V712" t="n">
        <v>0.0</v>
      </c>
      <c r="W712" t="inlineStr">
        <is>
          <t/>
        </is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2.0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94.0</v>
      </c>
      <c r="AL712" t="inlineStr">
        <is>
          <t/>
        </is>
      </c>
    </row>
    <row r="713">
      <c r="A713" t="inlineStr">
        <is>
          <t>49.9我微微心动，你说顺丰包邮我直接冲</t>
        </is>
      </c>
      <c r="B713" t="inlineStr">
        <is>
          <t>69311c76000000001e036021</t>
        </is>
      </c>
      <c r="C713" s="712" t="n">
        <f>HYPERLINK("https://www.xiaohongshu.com/explore/69311c76000000001e036021?xsec_token=TBE4JBHwTJxKVcqB99kbkXOHJ5namYD_XyUi-aVpw-TJ0=&amp;xsec_source=pc_trdark","https://www.xiaohongshu.com/explore/69311c76000000001e036021?xsec_token=TBE4JBHwTJxKVcqB99kbkXOHJ5namYD_XyUi-aVpw-TJ0=&amp;xsec_source=pc_trdark")</f>
        <v>0.0</v>
      </c>
      <c r="D713" t="inlineStr">
        <is>
          <t>婉婉上班吃什么</t>
        </is>
      </c>
      <c r="E713" t="inlineStr">
        <is>
          <t>11434449706</t>
        </is>
      </c>
      <c r="F713" t="inlineStr">
        <is>
          <t>2025-12-04 13:30:30</t>
        </is>
      </c>
      <c r="G713" t="inlineStr">
        <is>
          <t>视频</t>
        </is>
      </c>
      <c r="H713" t="inlineStr">
        <is>
          <t>生蚝乳山生蚝海蛎子顺丰包邮</t>
        </is>
      </c>
      <c r="I713" t="inlineStr">
        <is>
          <t>690c70971b787900010866cc</t>
        </is>
      </c>
      <c r="J713" t="n">
        <v>37.0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inlineStr">
        <is>
          <t/>
        </is>
      </c>
      <c r="R713" t="inlineStr">
        <is>
          <t/>
        </is>
      </c>
      <c r="S713" t="n">
        <v>0.0</v>
      </c>
      <c r="T713" t="n">
        <v>0.0</v>
      </c>
      <c r="U713" t="n">
        <v>0.0</v>
      </c>
      <c r="V713" t="n">
        <v>0.0</v>
      </c>
      <c r="W713" t="inlineStr">
        <is>
          <t/>
        </is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2.0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0.5</v>
      </c>
      <c r="AL713" t="n">
        <v>0.0</v>
      </c>
    </row>
    <row r="714">
      <c r="A714" t="inlineStr">
        <is>
          <t>我也不想买呀！可是69.9到手3斤大虾</t>
        </is>
      </c>
      <c r="B714" t="inlineStr">
        <is>
          <t>6922b439000000001f00ac21</t>
        </is>
      </c>
      <c r="C714" s="713" t="n">
        <f>HYPERLINK("https://www.xiaohongshu.com/explore/6922b439000000001f00ac21?xsec_token=TBE5pHIrkzq8Q5V7PHhpUNB7O-q2p2v632ElZ9GF1hITk=&amp;xsec_source=pc_trdark","https://www.xiaohongshu.com/explore/6922b439000000001f00ac21?xsec_token=TBE5pHIrkzq8Q5V7PHhpUNB7O-q2p2v632ElZ9GF1hITk=&amp;xsec_source=pc_trdark")</f>
        <v>0.0</v>
      </c>
      <c r="D714" t="inlineStr">
        <is>
          <t>鲜水湾</t>
        </is>
      </c>
      <c r="E714" t="inlineStr">
        <is>
          <t>49316638994</t>
        </is>
      </c>
      <c r="F714" t="inlineStr">
        <is>
          <t>2025-11-23 15:14:01</t>
        </is>
      </c>
      <c r="G714" t="inlineStr">
        <is>
          <t>图文</t>
        </is>
      </c>
      <c r="H714" t="inlineStr">
        <is>
          <t>大虾基围虾王牌大虾厄瓜多尔白虾盐冻虾仁海洋大虾送礼顺丰包邮</t>
        </is>
      </c>
      <c r="I714" t="inlineStr">
        <is>
          <t>690aeb7be379430001e686ac</t>
        </is>
      </c>
      <c r="J714" t="inlineStr">
        <is>
          <t/>
        </is>
      </c>
      <c r="K714" t="n">
        <v>0.0</v>
      </c>
      <c r="L714" t="n">
        <v>0.0</v>
      </c>
      <c r="M714" t="n">
        <v>2.0</v>
      </c>
      <c r="N714" t="n">
        <v>1.0</v>
      </c>
      <c r="O714" t="n">
        <v>2.0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inlineStr">
        <is>
          <t/>
        </is>
      </c>
      <c r="X714" t="n">
        <v>0.0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2.0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14.5</v>
      </c>
      <c r="AL714" t="inlineStr">
        <is>
          <t/>
        </is>
      </c>
    </row>
    <row r="715">
      <c r="A715" t="inlineStr">
        <is>
          <t>不要低估50💰的购买力，敞开吃吧……</t>
        </is>
      </c>
      <c r="B715" t="inlineStr">
        <is>
          <t>69169a18000000000702364f</t>
        </is>
      </c>
      <c r="C715" s="714" t="n">
        <f>HYPERLINK("https://www.xiaohongshu.com/explore/69169a18000000000702364f?xsec_token=TBHZiehrAOyLGw_5sWYDTDSTUCZyiZ3OcqJJtpc6kKFPo=&amp;xsec_source=pc_trdark","https://www.xiaohongshu.com/explore/69169a18000000000702364f?xsec_token=TBHZiehrAOyLGw_5sWYDTDSTUCZyiZ3OcqJJtpc6kKFPo=&amp;xsec_source=pc_trdark")</f>
        <v>0.0</v>
      </c>
      <c r="D715" t="inlineStr">
        <is>
          <t>婉婉上班吃什么</t>
        </is>
      </c>
      <c r="E715" t="inlineStr">
        <is>
          <t>11434449706</t>
        </is>
      </c>
      <c r="F715" t="inlineStr">
        <is>
          <t>2025-11-14 11:55:00</t>
        </is>
      </c>
      <c r="G715" t="inlineStr">
        <is>
          <t>视频</t>
        </is>
      </c>
      <c r="H715" t="inlineStr">
        <is>
          <t>生蚝乳山生蚝海蛎子顺丰包邮</t>
        </is>
      </c>
      <c r="I715" t="inlineStr">
        <is>
          <t>690c70971b787900010866cc</t>
        </is>
      </c>
      <c r="J715" t="n">
        <v>30.0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inlineStr">
        <is>
          <t/>
        </is>
      </c>
      <c r="R715" t="inlineStr">
        <is>
          <t/>
        </is>
      </c>
      <c r="S715" t="n">
        <v>0.0</v>
      </c>
      <c r="T715" t="n">
        <v>0.0</v>
      </c>
      <c r="U715" t="n">
        <v>0.0</v>
      </c>
      <c r="V715" t="n">
        <v>0.0</v>
      </c>
      <c r="W715" t="inlineStr">
        <is>
          <t/>
        </is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2.0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5.0</v>
      </c>
      <c r="AL715" t="n">
        <v>0.0</v>
      </c>
    </row>
    <row r="716">
      <c r="A716" t="inlineStr">
        <is>
          <t>我q。。。谁还没吃过这个乳山生蚝啊</t>
        </is>
      </c>
      <c r="B716" t="inlineStr">
        <is>
          <t>69145aa20000000004014a85</t>
        </is>
      </c>
      <c r="C716" s="715" t="n">
        <f>HYPERLINK("https://www.xiaohongshu.com/explore/69145aa20000000004014a85?xsec_token=TBaXvlcWwd_4ttBIqZOUWAkz5HweXigRbEy4Q2wvSxZeE=&amp;xsec_source=pc_trdark","https://www.xiaohongshu.com/explore/69145aa20000000004014a85?xsec_token=TBaXvlcWwd_4ttBIqZOUWAkz5HweXigRbEy4Q2wvSxZeE=&amp;xsec_source=pc_trdark")</f>
        <v>0.0</v>
      </c>
      <c r="D716" t="inlineStr">
        <is>
          <t>婉婉上班吃什么</t>
        </is>
      </c>
      <c r="E716" t="inlineStr">
        <is>
          <t>11434449706</t>
        </is>
      </c>
      <c r="F716" t="inlineStr">
        <is>
          <t>2025-11-12 18:00:02</t>
        </is>
      </c>
      <c r="G716" t="inlineStr">
        <is>
          <t>视频</t>
        </is>
      </c>
      <c r="H716" t="inlineStr">
        <is>
          <t>生蚝乳山生蚝海蛎子顺丰包邮</t>
        </is>
      </c>
      <c r="I716" t="inlineStr">
        <is>
          <t>690c70971b787900010866cc</t>
        </is>
      </c>
      <c r="J716" t="n">
        <v>22.0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inlineStr">
        <is>
          <t/>
        </is>
      </c>
      <c r="R716" t="inlineStr">
        <is>
          <t/>
        </is>
      </c>
      <c r="S716" t="n">
        <v>0.0</v>
      </c>
      <c r="T716" t="n">
        <v>0.0</v>
      </c>
      <c r="U716" t="n">
        <v>0.0</v>
      </c>
      <c r="V716" t="n">
        <v>0.0</v>
      </c>
      <c r="W716" t="inlineStr">
        <is>
          <t/>
        </is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2.0</v>
      </c>
      <c r="AE716" t="n">
        <v>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11.0</v>
      </c>
      <c r="AL716" t="n">
        <v>0.5</v>
      </c>
    </row>
    <row r="717">
      <c r="A717" t="inlineStr">
        <is>
          <t>每天上班带虾仁被同事背后蛐蛐</t>
        </is>
      </c>
      <c r="B717" t="inlineStr">
        <is>
          <t>69f2cadf000000001f006c57</t>
        </is>
      </c>
      <c r="C717" s="716" t="n">
        <f>HYPERLINK("https://www.xiaohongshu.com/explore/69f2cadf000000001f006c57?xsec_token=TBvWHBo3-qwEN9bVc9g-yUNcXZADTMjFUm0D0u_eetzUA=&amp;xsec_source=pc_trdark","https://www.xiaohongshu.com/explore/69f2cadf000000001f006c57?xsec_token=TBvWHBo3-qwEN9bVc9g-yUNcXZADTMjFUm0D0u_eetzUA=&amp;xsec_source=pc_trdark")</f>
        <v>0.0</v>
      </c>
      <c r="D717" t="inlineStr">
        <is>
          <t>菲菲上班吃什么</t>
        </is>
      </c>
      <c r="E717" t="inlineStr">
        <is>
          <t>49936530607</t>
        </is>
      </c>
      <c r="F717" t="inlineStr">
        <is>
          <t>2026-04-30 11:22:07</t>
        </is>
      </c>
      <c r="G717" t="inlineStr">
        <is>
          <t>图文</t>
        </is>
      </c>
      <c r="H717" t="inlineStr">
        <is>
          <t>手剥虾仁 无冰衣无添加 低脂餐一人食 上班带饭 顺丰包邮 5盒装</t>
        </is>
      </c>
      <c r="I717" t="inlineStr">
        <is>
          <t>694baba01d450d00013662f0</t>
        </is>
      </c>
      <c r="J717" t="inlineStr">
        <is>
          <t/>
        </is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inlineStr">
        <is>
          <t/>
        </is>
      </c>
      <c r="R717" t="inlineStr">
        <is>
          <t/>
        </is>
      </c>
      <c r="S717" t="n">
        <v>0.0</v>
      </c>
      <c r="T717" t="n">
        <v>0.0</v>
      </c>
      <c r="U717" t="n">
        <v>0.0</v>
      </c>
      <c r="V717" t="n">
        <v>0.0</v>
      </c>
      <c r="W717" t="inlineStr">
        <is>
          <t/>
        </is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1.0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5.0</v>
      </c>
      <c r="AL717" t="inlineStr">
        <is>
          <t/>
        </is>
      </c>
    </row>
    <row r="718">
      <c r="A718" t="inlineStr">
        <is>
          <t>真的掉秤！减脂期锁死这虾仁🤩</t>
        </is>
      </c>
      <c r="B718" t="inlineStr">
        <is>
          <t>69f0b0cf00000000350202ff</t>
        </is>
      </c>
      <c r="C718" s="717" t="n">
        <f>HYPERLINK("https://www.xiaohongshu.com/explore/69f0b0cf00000000350202ff?xsec_token=TBvHxiGmj2CedfPdQHdLJBmDkMKG5YMYe430yqi0-evOQ=&amp;xsec_source=pc_trdark","https://www.xiaohongshu.com/explore/69f0b0cf00000000350202ff?xsec_token=TBvHxiGmj2CedfPdQHdLJBmDkMKG5YMYe430yqi0-evOQ=&amp;xsec_source=pc_trdark")</f>
        <v>0.0</v>
      </c>
      <c r="D718" t="inlineStr">
        <is>
          <t>鲜水湾甄选</t>
        </is>
      </c>
      <c r="E718" t="inlineStr">
        <is>
          <t>27401929161</t>
        </is>
      </c>
      <c r="F718" t="inlineStr">
        <is>
          <t>2026-04-28 21:06:23</t>
        </is>
      </c>
      <c r="G718" t="inlineStr">
        <is>
          <t>图文</t>
        </is>
      </c>
      <c r="H718" t="inlineStr">
        <is>
          <t>手剥虾仁 无冰衣无添加 低脂餐一人食 上班带饭 顺丰包邮 5盒装</t>
        </is>
      </c>
      <c r="I718" t="inlineStr">
        <is>
          <t>694baba01d450d00013662f0</t>
        </is>
      </c>
      <c r="J718" t="inlineStr">
        <is>
          <t/>
        </is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inlineStr">
        <is>
          <t/>
        </is>
      </c>
      <c r="R718" t="inlineStr">
        <is>
          <t/>
        </is>
      </c>
      <c r="S718" t="n">
        <v>0.0</v>
      </c>
      <c r="T718" t="n">
        <v>0.0</v>
      </c>
      <c r="U718" t="n">
        <v>0.0</v>
      </c>
      <c r="V718" t="n">
        <v>0.0</v>
      </c>
      <c r="W718" t="inlineStr">
        <is>
          <t/>
        </is>
      </c>
      <c r="X718" t="n">
        <v>0.0</v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1.0</v>
      </c>
      <c r="AE718" t="n">
        <v>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13.0</v>
      </c>
      <c r="AL718" t="inlineStr">
        <is>
          <t/>
        </is>
      </c>
    </row>
    <row r="719">
      <c r="A719" t="inlineStr">
        <is>
          <t>同事问我最近怎么不点外卖了</t>
        </is>
      </c>
      <c r="B719" t="inlineStr">
        <is>
          <t>69ee0daf000000002202698b</t>
        </is>
      </c>
      <c r="C719" s="718" t="n">
        <f>HYPERLINK("https://www.xiaohongshu.com/explore/69ee0daf000000002202698b?xsec_token=TB3JCI8OO3ItJ5gw9_OIE0bH5n_lORmlnJk_91TXgmRjM=&amp;xsec_source=pc_trdark","https://www.xiaohongshu.com/explore/69ee0daf000000002202698b?xsec_token=TB3JCI8OO3ItJ5gw9_OIE0bH5n_lORmlnJk_91TXgmRjM=&amp;xsec_source=pc_trdark")</f>
        <v>0.0</v>
      </c>
      <c r="D719" t="inlineStr">
        <is>
          <t>菲菲上班吃什么</t>
        </is>
      </c>
      <c r="E719" t="inlineStr">
        <is>
          <t>49936530607</t>
        </is>
      </c>
      <c r="F719" t="inlineStr">
        <is>
          <t>2026-04-26 21:05:51</t>
        </is>
      </c>
      <c r="G719" t="inlineStr">
        <is>
          <t>图文</t>
        </is>
      </c>
      <c r="H719" t="inlineStr">
        <is>
          <t>手剥虾仁 无冰衣无添加 低脂餐一人食 上班带饭 顺丰包邮 5盒装</t>
        </is>
      </c>
      <c r="I719" t="inlineStr">
        <is>
          <t>694baba01d450d00013662f0</t>
        </is>
      </c>
      <c r="J719" t="inlineStr">
        <is>
          <t/>
        </is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inlineStr">
        <is>
          <t/>
        </is>
      </c>
      <c r="R719" t="inlineStr">
        <is>
          <t/>
        </is>
      </c>
      <c r="S719" t="n">
        <v>0.0</v>
      </c>
      <c r="T719" t="n">
        <v>0.0</v>
      </c>
      <c r="U719" t="n">
        <v>0.0</v>
      </c>
      <c r="V719" t="n">
        <v>0.0</v>
      </c>
      <c r="W719" t="inlineStr">
        <is>
          <t/>
        </is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1.0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13.0</v>
      </c>
      <c r="AL719" t="inlineStr">
        <is>
          <t/>
        </is>
      </c>
    </row>
    <row r="720">
      <c r="A720" t="inlineStr">
        <is>
          <t>直观展示一下100多块钱的购买力！</t>
        </is>
      </c>
      <c r="B720" t="inlineStr">
        <is>
          <t>69e85a5c000000002301fd4d</t>
        </is>
      </c>
      <c r="C720" s="719" t="n">
        <f>HYPERLINK("https://www.xiaohongshu.com/explore/69e85a5c000000002301fd4d?xsec_token=TBrsJGfbmdICsvnXoyd4QdRlXr1HhrA0klvB2r7NwBn7Y=&amp;xsec_source=pc_trdark","https://www.xiaohongshu.com/explore/69e85a5c000000002301fd4d?xsec_token=TBrsJGfbmdICsvnXoyd4QdRlXr1HhrA0klvB2r7NwBn7Y=&amp;xsec_source=pc_trdark")</f>
        <v>0.0</v>
      </c>
      <c r="D720" t="inlineStr">
        <is>
          <t>菲菲上班吃什么</t>
        </is>
      </c>
      <c r="E720" t="inlineStr">
        <is>
          <t>49936530607</t>
        </is>
      </c>
      <c r="F720" t="inlineStr">
        <is>
          <t>2026-04-22 14:10:00</t>
        </is>
      </c>
      <c r="G720" t="inlineStr">
        <is>
          <t>图文</t>
        </is>
      </c>
      <c r="H720" t="inlineStr">
        <is>
          <t>手剥虾仁 无冰衣无添加 低脂餐一人食 上班带饭 顺丰包邮 5盒装</t>
        </is>
      </c>
      <c r="I720" t="inlineStr">
        <is>
          <t>694baba01d450d00013662f0</t>
        </is>
      </c>
      <c r="J720" t="inlineStr">
        <is>
          <t/>
        </is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inlineStr">
        <is>
          <t/>
        </is>
      </c>
      <c r="R720" t="inlineStr">
        <is>
          <t/>
        </is>
      </c>
      <c r="S720" t="n">
        <v>0.0</v>
      </c>
      <c r="T720" t="n">
        <v>0.0</v>
      </c>
      <c r="U720" t="n">
        <v>0.0</v>
      </c>
      <c r="V720" t="n">
        <v>0.0</v>
      </c>
      <c r="W720" t="inlineStr">
        <is>
          <t/>
        </is>
      </c>
      <c r="X720" t="n">
        <v>0.0</v>
      </c>
      <c r="Y720" t="n">
        <v>0.0</v>
      </c>
      <c r="Z720" t="n">
        <v>0.0</v>
      </c>
      <c r="AA720" t="n">
        <v>0.0</v>
      </c>
      <c r="AB720" t="n">
        <v>0.0</v>
      </c>
      <c r="AC720" t="n">
        <v>0.0</v>
      </c>
      <c r="AD720" t="n">
        <v>1.0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22.0</v>
      </c>
      <c r="AL720" t="inlineStr">
        <is>
          <t/>
        </is>
      </c>
    </row>
    <row r="721">
      <c r="A721" t="inlineStr">
        <is>
          <t>春日减脂花不了多少！69块够吃整整一周～</t>
        </is>
      </c>
      <c r="B721" t="inlineStr">
        <is>
          <t>69c88fcd000000001e00efe1</t>
        </is>
      </c>
      <c r="C721" s="720" t="n">
        <f>HYPERLINK("https://www.xiaohongshu.com/explore/69c88fcd000000001e00efe1?xsec_token=TBSs0bsvi6YGXB042lLCz_JIGVtvM6GJtxdde7PdP0-84=&amp;xsec_source=pc_trdark","https://www.xiaohongshu.com/explore/69c88fcd000000001e00efe1?xsec_token=TBSs0bsvi6YGXB042lLCz_JIGVtvM6GJtxdde7PdP0-84=&amp;xsec_source=pc_trdark")</f>
        <v>0.0</v>
      </c>
      <c r="D721" t="inlineStr">
        <is>
          <t>菲菲上班吃什么</t>
        </is>
      </c>
      <c r="E721" t="inlineStr">
        <is>
          <t>49936530607</t>
        </is>
      </c>
      <c r="F721" t="inlineStr">
        <is>
          <t>2026-03-29 10:34:53</t>
        </is>
      </c>
      <c r="G721" t="inlineStr">
        <is>
          <t>图文</t>
        </is>
      </c>
      <c r="H721" t="inlineStr">
        <is>
          <t>手剥虾仁 无冰衣无添加 低脂餐一人食 上班带饭 顺丰包邮 5盒装</t>
        </is>
      </c>
      <c r="I721" t="inlineStr">
        <is>
          <t>694baba01d450d00013662f0</t>
        </is>
      </c>
      <c r="J721" t="inlineStr">
        <is>
          <t/>
        </is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inlineStr">
        <is>
          <t/>
        </is>
      </c>
      <c r="R721" t="inlineStr">
        <is>
          <t/>
        </is>
      </c>
      <c r="S721" t="n">
        <v>0.0</v>
      </c>
      <c r="T721" t="n">
        <v>0.0</v>
      </c>
      <c r="U721" t="n">
        <v>0.0</v>
      </c>
      <c r="V721" t="n">
        <v>0.0</v>
      </c>
      <c r="W721" t="inlineStr">
        <is>
          <t/>
        </is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1.0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2.0</v>
      </c>
      <c r="AL721" t="inlineStr">
        <is>
          <t/>
        </is>
      </c>
    </row>
    <row r="722">
      <c r="A722" t="inlineStr">
        <is>
          <t>别和⛰️姆的虾仁比，真的不够打！</t>
        </is>
      </c>
      <c r="B722" t="inlineStr">
        <is>
          <t>69c622f000000000220244c2</t>
        </is>
      </c>
      <c r="C722" s="721" t="n">
        <f>HYPERLINK("https://www.xiaohongshu.com/explore/69c622f000000000220244c2?xsec_token=TBR8u6ZWGQ_m04-W6r1rkZPM54ak1lcj086aCLu42wmOE=&amp;xsec_source=pc_trdark","https://www.xiaohongshu.com/explore/69c622f000000000220244c2?xsec_token=TBR8u6ZWGQ_m04-W6r1rkZPM54ak1lcj086aCLu42wmOE=&amp;xsec_source=pc_trdark")</f>
        <v>0.0</v>
      </c>
      <c r="D722" t="inlineStr">
        <is>
          <t>鲜水湾</t>
        </is>
      </c>
      <c r="E722" t="inlineStr">
        <is>
          <t>49316638994</t>
        </is>
      </c>
      <c r="F722" t="inlineStr">
        <is>
          <t>2026-03-27 14:25:52</t>
        </is>
      </c>
      <c r="G722" t="inlineStr">
        <is>
          <t>图文</t>
        </is>
      </c>
      <c r="H722" t="inlineStr">
        <is>
          <t>手剥虾仁 无冰衣无添加 低脂餐一人食 上班带饭 顺丰包邮 5盒装</t>
        </is>
      </c>
      <c r="I722" t="inlineStr">
        <is>
          <t>694baba01d450d00013662f0</t>
        </is>
      </c>
      <c r="J722" t="inlineStr">
        <is>
          <t/>
        </is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inlineStr">
        <is>
          <t/>
        </is>
      </c>
      <c r="R722" t="inlineStr">
        <is>
          <t/>
        </is>
      </c>
      <c r="S722" t="n">
        <v>0.0</v>
      </c>
      <c r="T722" t="n">
        <v>0.0</v>
      </c>
      <c r="U722" t="n">
        <v>0.0</v>
      </c>
      <c r="V722" t="n">
        <v>0.0</v>
      </c>
      <c r="W722" t="inlineStr">
        <is>
          <t/>
        </is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1.0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13.0</v>
      </c>
      <c r="AL722" t="inlineStr">
        <is>
          <t/>
        </is>
      </c>
    </row>
    <row r="723">
      <c r="A723" t="inlineStr">
        <is>
          <t>懒人的控体餐能有多省事…</t>
        </is>
      </c>
      <c r="B723" t="inlineStr">
        <is>
          <t>69c3bfda0000000020039b54</t>
        </is>
      </c>
      <c r="C723" s="722" t="n">
        <f>HYPERLINK("https://www.xiaohongshu.com/explore/69c3bfda0000000020039b54?xsec_token=TBedSEQ7qtT06AlsylOAiUw2SSI_cQHI_53IO1pQYMeZg=&amp;xsec_source=pc_trdark","https://www.xiaohongshu.com/explore/69c3bfda0000000020039b54?xsec_token=TBedSEQ7qtT06AlsylOAiUw2SSI_cQHI_53IO1pQYMeZg=&amp;xsec_source=pc_trdark")</f>
        <v>0.0</v>
      </c>
      <c r="D723" t="inlineStr">
        <is>
          <t>婉婉上班吃什么</t>
        </is>
      </c>
      <c r="E723" t="inlineStr">
        <is>
          <t>11434449706</t>
        </is>
      </c>
      <c r="F723" t="inlineStr">
        <is>
          <t>2026-03-25 18:58:34</t>
        </is>
      </c>
      <c r="G723" t="inlineStr">
        <is>
          <t>图文</t>
        </is>
      </c>
      <c r="H723" t="inlineStr">
        <is>
          <t>手剥虾仁 无冰衣无添加 低脂餐一人食 上班带饭 顺丰包邮 5盒装</t>
        </is>
      </c>
      <c r="I723" t="inlineStr">
        <is>
          <t>694baba01d450d00013662f0</t>
        </is>
      </c>
      <c r="J723" t="inlineStr">
        <is>
          <t/>
        </is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inlineStr">
        <is>
          <t/>
        </is>
      </c>
      <c r="R723" t="inlineStr">
        <is>
          <t/>
        </is>
      </c>
      <c r="S723" t="n">
        <v>0.0</v>
      </c>
      <c r="T723" t="n">
        <v>0.0</v>
      </c>
      <c r="U723" t="n">
        <v>0.0</v>
      </c>
      <c r="V723" t="n">
        <v>0.0</v>
      </c>
      <c r="W723" t="inlineStr">
        <is>
          <t/>
        </is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1.0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1.0</v>
      </c>
      <c r="AL723" t="inlineStr">
        <is>
          <t/>
        </is>
      </c>
    </row>
    <row r="724">
      <c r="A724" t="inlineStr">
        <is>
          <t>说了春日控体真不贵，100来块够我吃半个月了</t>
        </is>
      </c>
      <c r="B724" t="inlineStr">
        <is>
          <t>69c38e9400000000230075f9</t>
        </is>
      </c>
      <c r="C724" s="723" t="n">
        <f>HYPERLINK("https://www.xiaohongshu.com/explore/69c38e9400000000230075f9?xsec_token=TBedSEQ7qtT06AlsylOAiUwwK12Ui_VomDWcsXGv1S-h0=&amp;xsec_source=pc_trdark","https://www.xiaohongshu.com/explore/69c38e9400000000230075f9?xsec_token=TBedSEQ7qtT06AlsylOAiUwwK12Ui_VomDWcsXGv1S-h0=&amp;xsec_source=pc_trdark")</f>
        <v>0.0</v>
      </c>
      <c r="D724" t="inlineStr">
        <is>
          <t>菲菲上班吃什么</t>
        </is>
      </c>
      <c r="E724" t="inlineStr">
        <is>
          <t>49936530607</t>
        </is>
      </c>
      <c r="F724" t="inlineStr">
        <is>
          <t>2026-03-25 15:28:20</t>
        </is>
      </c>
      <c r="G724" t="inlineStr">
        <is>
          <t>图文</t>
        </is>
      </c>
      <c r="H724" t="inlineStr">
        <is>
          <t>手剥虾仁 无冰衣无添加 低脂餐一人食 上班带饭 顺丰包邮 5盒装</t>
        </is>
      </c>
      <c r="I724" t="inlineStr">
        <is>
          <t>694baba01d450d00013662f0</t>
        </is>
      </c>
      <c r="J724" t="inlineStr">
        <is>
          <t/>
        </is>
      </c>
      <c r="K724" t="n">
        <v>0.0</v>
      </c>
      <c r="L724" t="n">
        <v>0.0</v>
      </c>
      <c r="M724" t="n">
        <v>1.0</v>
      </c>
      <c r="N724" t="n">
        <v>1.0</v>
      </c>
      <c r="O724" t="n">
        <v>1.0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inlineStr">
        <is>
          <t/>
        </is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1.0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16.0</v>
      </c>
      <c r="AL724" t="inlineStr">
        <is>
          <t/>
        </is>
      </c>
    </row>
    <row r="725">
      <c r="A725" t="inlineStr">
        <is>
          <t>跟风吃了半个月虾仁。。。</t>
        </is>
      </c>
      <c r="B725" t="inlineStr">
        <is>
          <t>69c0f621000000001a02e3d5</t>
        </is>
      </c>
      <c r="C725" s="724" t="n">
        <f>HYPERLINK("https://www.xiaohongshu.com/explore/69c0f621000000001a02e3d5?xsec_token=TBlSRAgxB_sBYkF02kEEKO53r4Jl7Mwf80Ezp2MXBnxEA=&amp;xsec_source=pc_trdark","https://www.xiaohongshu.com/explore/69c0f621000000001a02e3d5?xsec_token=TBlSRAgxB_sBYkF02kEEKO53r4Jl7Mwf80Ezp2MXBnxEA=&amp;xsec_source=pc_trdark")</f>
        <v>0.0</v>
      </c>
      <c r="D725" t="inlineStr">
        <is>
          <t>菲菲上班吃什么</t>
        </is>
      </c>
      <c r="E725" t="inlineStr">
        <is>
          <t>49936530607</t>
        </is>
      </c>
      <c r="F725" t="inlineStr">
        <is>
          <t>2026-03-23 16:13:21</t>
        </is>
      </c>
      <c r="G725" t="inlineStr">
        <is>
          <t>图文</t>
        </is>
      </c>
      <c r="H725" t="inlineStr">
        <is>
          <t>手剥虾仁 无冰衣无添加 低脂餐一人食 上班带饭 顺丰包邮 5盒装</t>
        </is>
      </c>
      <c r="I725" t="inlineStr">
        <is>
          <t>694baba01d450d00013662f0</t>
        </is>
      </c>
      <c r="J725" t="inlineStr">
        <is>
          <t/>
        </is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inlineStr">
        <is>
          <t/>
        </is>
      </c>
      <c r="R725" t="inlineStr">
        <is>
          <t/>
        </is>
      </c>
      <c r="S725" t="n">
        <v>0.0</v>
      </c>
      <c r="T725" t="n">
        <v>0.0</v>
      </c>
      <c r="U725" t="n">
        <v>0.0</v>
      </c>
      <c r="V725" t="n">
        <v>0.0</v>
      </c>
      <c r="W725" t="inlineStr">
        <is>
          <t/>
        </is>
      </c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1.0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3.0</v>
      </c>
      <c r="AL725" t="inlineStr">
        <is>
          <t/>
        </is>
      </c>
    </row>
    <row r="726">
      <c r="A726" t="inlineStr">
        <is>
          <t>以为69没多少结果够我吃一周了🥹</t>
        </is>
      </c>
      <c r="B726" t="inlineStr">
        <is>
          <t>69c0ae87000000001b023985</t>
        </is>
      </c>
      <c r="C726" s="725" t="n">
        <f>HYPERLINK("https://www.xiaohongshu.com/explore/69c0ae87000000001b023985?xsec_token=TBlSRAgxB_sBYkF02kEEKO5_CPoo93ep79guLpHDPkwBw=&amp;xsec_source=pc_trdark","https://www.xiaohongshu.com/explore/69c0ae87000000001b023985?xsec_token=TBlSRAgxB_sBYkF02kEEKO5_CPoo93ep79guLpHDPkwBw=&amp;xsec_source=pc_trdark")</f>
        <v>0.0</v>
      </c>
      <c r="D726" t="inlineStr">
        <is>
          <t>菲菲上班吃什么</t>
        </is>
      </c>
      <c r="E726" t="inlineStr">
        <is>
          <t>49936530607</t>
        </is>
      </c>
      <c r="F726" t="inlineStr">
        <is>
          <t>2026-03-23 11:07:51</t>
        </is>
      </c>
      <c r="G726" t="inlineStr">
        <is>
          <t>图文</t>
        </is>
      </c>
      <c r="H726" t="inlineStr">
        <is>
          <t>手剥虾仁 无冰衣无添加 低脂餐一人食 上班带饭 顺丰包邮 5盒装</t>
        </is>
      </c>
      <c r="I726" t="inlineStr">
        <is>
          <t>694baba01d450d00013662f0</t>
        </is>
      </c>
      <c r="J726" t="inlineStr">
        <is>
          <t/>
        </is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inlineStr">
        <is>
          <t/>
        </is>
      </c>
      <c r="R726" t="inlineStr">
        <is>
          <t/>
        </is>
      </c>
      <c r="S726" t="n">
        <v>0.0</v>
      </c>
      <c r="T726" t="n">
        <v>0.0</v>
      </c>
      <c r="U726" t="n">
        <v>0.0</v>
      </c>
      <c r="V726" t="n">
        <v>0.0</v>
      </c>
      <c r="W726" t="inlineStr">
        <is>
          <t/>
        </is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1.0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2.0</v>
      </c>
      <c r="AL726" t="inlineStr">
        <is>
          <t/>
        </is>
      </c>
    </row>
    <row r="727">
      <c r="A727" t="inlineStr">
        <is>
          <t>春日减脂真不多，69够吃一周了</t>
        </is>
      </c>
      <c r="B727" t="inlineStr">
        <is>
          <t>69c09361000000002800a916</t>
        </is>
      </c>
      <c r="C727" s="726" t="n">
        <f>HYPERLINK("https://www.xiaohongshu.com/explore/69c09361000000002800a916?xsec_token=TBlSRAgxB_sBYkF02kEEKO5y-ckkdG4CF0rDFP7N6KDno=&amp;xsec_source=pc_trdark","https://www.xiaohongshu.com/explore/69c09361000000002800a916?xsec_token=TBlSRAgxB_sBYkF02kEEKO5y-ckkdG4CF0rDFP7N6KDno=&amp;xsec_source=pc_trdark")</f>
        <v>0.0</v>
      </c>
      <c r="D727" t="inlineStr">
        <is>
          <t>鲜水湾</t>
        </is>
      </c>
      <c r="E727" t="inlineStr">
        <is>
          <t>49316638994</t>
        </is>
      </c>
      <c r="F727" t="inlineStr">
        <is>
          <t>2026-03-23 09:12:01</t>
        </is>
      </c>
      <c r="G727" t="inlineStr">
        <is>
          <t>图文</t>
        </is>
      </c>
      <c r="H727" t="inlineStr">
        <is>
          <t>手剥虾仁 无冰衣无添加 低脂餐一人食 上班带饭 顺丰包邮 5盒装</t>
        </is>
      </c>
      <c r="I727" t="inlineStr">
        <is>
          <t>694baba01d450d00013662f0</t>
        </is>
      </c>
      <c r="J727" t="inlineStr">
        <is>
          <t/>
        </is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inlineStr">
        <is>
          <t/>
        </is>
      </c>
      <c r="R727" t="inlineStr">
        <is>
          <t/>
        </is>
      </c>
      <c r="S727" t="n">
        <v>0.0</v>
      </c>
      <c r="T727" t="n">
        <v>0.0</v>
      </c>
      <c r="U727" t="n">
        <v>0.0</v>
      </c>
      <c r="V727" t="n">
        <v>0.0</v>
      </c>
      <c r="W727" t="inlineStr">
        <is>
          <t/>
        </is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1.0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4.0</v>
      </c>
      <c r="AL727" t="inlineStr">
        <is>
          <t/>
        </is>
      </c>
    </row>
    <row r="728">
      <c r="A728" t="inlineStr">
        <is>
          <t>邪修控体就是快！才吃一周…以为秤坏了！🤣</t>
        </is>
      </c>
      <c r="B728" t="inlineStr">
        <is>
          <t>69bea386000000001b020dcd</t>
        </is>
      </c>
      <c r="C728" s="727" t="n">
        <f>HYPERLINK("https://www.xiaohongshu.com/explore/69bea386000000001b020dcd?xsec_token=TBEV1jCaY14J6usHdX26xRKBpBvGo97uVkDL0kxRa9UFU=&amp;xsec_source=pc_trdark","https://www.xiaohongshu.com/explore/69bea386000000001b020dcd?xsec_token=TBEV1jCaY14J6usHdX26xRKBpBvGo97uVkDL0kxRa9UFU=&amp;xsec_source=pc_trdark")</f>
        <v>0.0</v>
      </c>
      <c r="D728" t="inlineStr">
        <is>
          <t>婉婉上班吃什么</t>
        </is>
      </c>
      <c r="E728" t="inlineStr">
        <is>
          <t>11434449706</t>
        </is>
      </c>
      <c r="F728" t="inlineStr">
        <is>
          <t>2026-03-21 21:56:22</t>
        </is>
      </c>
      <c r="G728" t="inlineStr">
        <is>
          <t>图文</t>
        </is>
      </c>
      <c r="H728" t="inlineStr">
        <is>
          <t>手剥虾仁 无冰衣无添加 低脂餐一人食 上班带饭 顺丰包邮 5盒装</t>
        </is>
      </c>
      <c r="I728" t="inlineStr">
        <is>
          <t>694baba01d450d00013662f0</t>
        </is>
      </c>
      <c r="J728" t="inlineStr">
        <is>
          <t/>
        </is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inlineStr">
        <is>
          <t/>
        </is>
      </c>
      <c r="R728" t="inlineStr">
        <is>
          <t/>
        </is>
      </c>
      <c r="S728" t="n">
        <v>0.0</v>
      </c>
      <c r="T728" t="n">
        <v>0.0</v>
      </c>
      <c r="U728" t="n">
        <v>0.0</v>
      </c>
      <c r="V728" t="n">
        <v>0.0</v>
      </c>
      <c r="W728" t="inlineStr">
        <is>
          <t/>
        </is>
      </c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1.0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9.0</v>
      </c>
      <c r="AL728" t="inlineStr">
        <is>
          <t/>
        </is>
      </c>
    </row>
    <row r="729">
      <c r="A729" t="inlineStr">
        <is>
          <t>凭一己之力带动办公室买了十盒大虾</t>
        </is>
      </c>
      <c r="B729" t="inlineStr">
        <is>
          <t>69bcf368000000001f007237</t>
        </is>
      </c>
      <c r="C729" s="728" t="n">
        <f>HYPERLINK("https://www.xiaohongshu.com/explore/69bcf368000000001f007237?xsec_token=TBfIJFVzszocpn5U7ogutYTb4kLDS1TrbXamekLWs7VLY=&amp;xsec_source=pc_trdark","https://www.xiaohongshu.com/explore/69bcf368000000001f007237?xsec_token=TBfIJFVzszocpn5U7ogutYTb4kLDS1TrbXamekLWs7VLY=&amp;xsec_source=pc_trdark")</f>
        <v>0.0</v>
      </c>
      <c r="D729" t="inlineStr">
        <is>
          <t>婉婉上班吃什么</t>
        </is>
      </c>
      <c r="E729" t="inlineStr">
        <is>
          <t>11434449706</t>
        </is>
      </c>
      <c r="F729" t="inlineStr">
        <is>
          <t>2026-03-20 15:12:40</t>
        </is>
      </c>
      <c r="G729" t="inlineStr">
        <is>
          <t>图文</t>
        </is>
      </c>
      <c r="H729" t="inlineStr">
        <is>
          <t>大虾基围虾王牌大虾厄瓜多尔白虾盐冻虾仁海洋大虾送礼顺丰包邮</t>
        </is>
      </c>
      <c r="I729" t="inlineStr">
        <is>
          <t>690aeb7be379430001e686ac</t>
        </is>
      </c>
      <c r="J729" t="inlineStr">
        <is>
          <t/>
        </is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inlineStr">
        <is>
          <t/>
        </is>
      </c>
      <c r="R729" t="inlineStr">
        <is>
          <t/>
        </is>
      </c>
      <c r="S729" t="n">
        <v>0.0</v>
      </c>
      <c r="T729" t="n">
        <v>0.0</v>
      </c>
      <c r="U729" t="n">
        <v>0.0</v>
      </c>
      <c r="V729" t="n">
        <v>0.0</v>
      </c>
      <c r="W729" t="inlineStr">
        <is>
          <t/>
        </is>
      </c>
      <c r="X729" t="n">
        <v>0.0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1.0</v>
      </c>
      <c r="AE729" t="n">
        <v>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7.0</v>
      </c>
      <c r="AL729" t="inlineStr">
        <is>
          <t/>
        </is>
      </c>
    </row>
    <row r="730">
      <c r="A730" t="inlineStr">
        <is>
          <t>原来吃的干净真的会掉秤</t>
        </is>
      </c>
      <c r="B730" t="inlineStr">
        <is>
          <t>69bbe136000000001a02fda0</t>
        </is>
      </c>
      <c r="C730" s="729" t="n">
        <f>HYPERLINK("https://www.xiaohongshu.com/explore/69bbe136000000001a02fda0?xsec_token=TBbjiHoA30T3IRnkbtYIm1O_JKMd4soDAAfbY5q_9PaqI=&amp;xsec_source=pc_trdark","https://www.xiaohongshu.com/explore/69bbe136000000001a02fda0?xsec_token=TBbjiHoA30T3IRnkbtYIm1O_JKMd4soDAAfbY5q_9PaqI=&amp;xsec_source=pc_trdark")</f>
        <v>0.0</v>
      </c>
      <c r="D730" t="inlineStr">
        <is>
          <t>婉婉上班吃什么</t>
        </is>
      </c>
      <c r="E730" t="inlineStr">
        <is>
          <t>11434449706</t>
        </is>
      </c>
      <c r="F730" t="inlineStr">
        <is>
          <t>2026-03-19 19:42:46</t>
        </is>
      </c>
      <c r="G730" t="inlineStr">
        <is>
          <t>图文</t>
        </is>
      </c>
      <c r="H730" t="inlineStr">
        <is>
          <t>手剥虾仁 无冰衣无添加 低脂餐一人食 上班带饭 顺丰包邮 5盒装</t>
        </is>
      </c>
      <c r="I730" t="inlineStr">
        <is>
          <t>694baba01d450d00013662f0</t>
        </is>
      </c>
      <c r="J730" t="inlineStr">
        <is>
          <t/>
        </is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inlineStr">
        <is>
          <t/>
        </is>
      </c>
      <c r="R730" t="inlineStr">
        <is>
          <t/>
        </is>
      </c>
      <c r="S730" t="n">
        <v>0.0</v>
      </c>
      <c r="T730" t="n">
        <v>0.0</v>
      </c>
      <c r="U730" t="n">
        <v>0.0</v>
      </c>
      <c r="V730" t="n">
        <v>0.0</v>
      </c>
      <c r="W730" t="inlineStr">
        <is>
          <t/>
        </is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1.0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2.0</v>
      </c>
      <c r="AL730" t="inlineStr">
        <is>
          <t/>
        </is>
      </c>
    </row>
    <row r="731">
      <c r="A731" t="inlineStr">
        <is>
          <t>奉劝身材管理期的姐妹不要低估70的购买力…</t>
        </is>
      </c>
      <c r="B731" t="inlineStr">
        <is>
          <t>69bbcbb3000000001f0005d1</t>
        </is>
      </c>
      <c r="C731" s="730" t="n">
        <f>HYPERLINK("https://www.xiaohongshu.com/explore/69bbcbb3000000001f0005d1?xsec_token=TBbjiHoA30T3IRnkbtYIm1O96Hn3_QPwjP4kUgptklzqw=&amp;xsec_source=pc_trdark","https://www.xiaohongshu.com/explore/69bbcbb3000000001f0005d1?xsec_token=TBbjiHoA30T3IRnkbtYIm1O96Hn3_QPwjP4kUgptklzqw=&amp;xsec_source=pc_trdark")</f>
        <v>0.0</v>
      </c>
      <c r="D731" t="inlineStr">
        <is>
          <t>鲜水湾</t>
        </is>
      </c>
      <c r="E731" t="inlineStr">
        <is>
          <t>49316638994</t>
        </is>
      </c>
      <c r="F731" t="inlineStr">
        <is>
          <t>2026-03-19 18:11:00</t>
        </is>
      </c>
      <c r="G731" t="inlineStr">
        <is>
          <t>图文</t>
        </is>
      </c>
      <c r="H731" t="inlineStr">
        <is>
          <t>手剥虾仁 无冰衣无添加 低脂餐一人食 上班带饭 顺丰包邮 5盒装</t>
        </is>
      </c>
      <c r="I731" t="inlineStr">
        <is>
          <t>694baba01d450d00013662f0</t>
        </is>
      </c>
      <c r="J731" t="inlineStr">
        <is>
          <t/>
        </is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inlineStr">
        <is>
          <t/>
        </is>
      </c>
      <c r="R731" t="inlineStr">
        <is>
          <t/>
        </is>
      </c>
      <c r="S731" t="n">
        <v>0.0</v>
      </c>
      <c r="T731" t="n">
        <v>0.0</v>
      </c>
      <c r="U731" t="n">
        <v>0.0</v>
      </c>
      <c r="V731" t="n">
        <v>0.0</v>
      </c>
      <c r="W731" t="inlineStr">
        <is>
          <t/>
        </is>
      </c>
      <c r="X73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1.0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3.0</v>
      </c>
      <c r="AL731" t="inlineStr">
        <is>
          <t/>
        </is>
      </c>
    </row>
    <row r="732">
      <c r="A732" t="inlineStr">
        <is>
          <t>春日减脂，69块够我吃一周了</t>
        </is>
      </c>
      <c r="B732" t="inlineStr">
        <is>
          <t>69bb57b2000000001a0369f3</t>
        </is>
      </c>
      <c r="C732" s="731" t="n">
        <f>HYPERLINK("https://www.xiaohongshu.com/explore/69bb57b2000000001a0369f3?xsec_token=TBbjiHoA30T3IRnkbtYIm1O6t_vJADXNbv8MM3U1tuT9o=&amp;xsec_source=pc_trdark","https://www.xiaohongshu.com/explore/69bb57b2000000001a0369f3?xsec_token=TBbjiHoA30T3IRnkbtYIm1O6t_vJADXNbv8MM3U1tuT9o=&amp;xsec_source=pc_trdark")</f>
        <v>0.0</v>
      </c>
      <c r="D732" t="inlineStr">
        <is>
          <t>菲菲上班吃什么</t>
        </is>
      </c>
      <c r="E732" t="inlineStr">
        <is>
          <t>49936530607</t>
        </is>
      </c>
      <c r="F732" t="inlineStr">
        <is>
          <t>2026-03-19 09:56:02</t>
        </is>
      </c>
      <c r="G732" t="inlineStr">
        <is>
          <t>图文</t>
        </is>
      </c>
      <c r="H732" t="inlineStr">
        <is>
          <t>手剥虾仁 无冰衣无添加 低脂餐一人食 上班带饭 顺丰包邮 5盒装</t>
        </is>
      </c>
      <c r="I732" t="inlineStr">
        <is>
          <t>694baba01d450d00013662f0</t>
        </is>
      </c>
      <c r="J732" t="inlineStr">
        <is>
          <t/>
        </is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inlineStr">
        <is>
          <t/>
        </is>
      </c>
      <c r="R732" t="inlineStr">
        <is>
          <t/>
        </is>
      </c>
      <c r="S732" t="n">
        <v>0.0</v>
      </c>
      <c r="T732" t="n">
        <v>0.0</v>
      </c>
      <c r="U732" t="n">
        <v>0.0</v>
      </c>
      <c r="V732" t="n">
        <v>0.0</v>
      </c>
      <c r="W732" t="inlineStr">
        <is>
          <t/>
        </is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1.0</v>
      </c>
      <c r="AE732" t="n">
        <v>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0.0</v>
      </c>
      <c r="AL732" t="inlineStr">
        <is>
          <t/>
        </is>
      </c>
    </row>
    <row r="733">
      <c r="A733" t="inlineStr">
        <is>
          <t>和老爸商量后，为减脂姐妹推出的专属小包</t>
        </is>
      </c>
      <c r="B733" t="inlineStr">
        <is>
          <t>69bab98f000000001e00ed7f</t>
        </is>
      </c>
      <c r="C733" s="732" t="n">
        <f>HYPERLINK("https://www.xiaohongshu.com/explore/69bab98f000000001e00ed7f?xsec_token=TBgJVNruMKjnZKfHBYiZtZCfVT2O1BN2ZUonsdjPGghDw=&amp;xsec_source=pc_trdark","https://www.xiaohongshu.com/explore/69bab98f000000001e00ed7f?xsec_token=TBgJVNruMKjnZKfHBYiZtZCfVT2O1BN2ZUonsdjPGghDw=&amp;xsec_source=pc_trdark")</f>
        <v>0.0</v>
      </c>
      <c r="D733" t="inlineStr">
        <is>
          <t>婉婉上班吃什么</t>
        </is>
      </c>
      <c r="E733" t="inlineStr">
        <is>
          <t>11434449706</t>
        </is>
      </c>
      <c r="F733" t="inlineStr">
        <is>
          <t>2026-03-18 22:41:19</t>
        </is>
      </c>
      <c r="G733" t="inlineStr">
        <is>
          <t>图文</t>
        </is>
      </c>
      <c r="H733" t="inlineStr">
        <is>
          <t>手剥虾仁 无冰衣无添加 低脂餐一人食 上班带饭 顺丰包邮 5盒装</t>
        </is>
      </c>
      <c r="I733" t="inlineStr">
        <is>
          <t>694baba01d450d00013662f0</t>
        </is>
      </c>
      <c r="J733" t="inlineStr">
        <is>
          <t/>
        </is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inlineStr">
        <is>
          <t/>
        </is>
      </c>
      <c r="R733" t="inlineStr">
        <is>
          <t/>
        </is>
      </c>
      <c r="S733" t="n">
        <v>0.0</v>
      </c>
      <c r="T733" t="n">
        <v>0.0</v>
      </c>
      <c r="U733" t="n">
        <v>0.0</v>
      </c>
      <c r="V733" t="n">
        <v>0.0</v>
      </c>
      <c r="W733" t="inlineStr">
        <is>
          <t/>
        </is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1.0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3.0</v>
      </c>
      <c r="AL733" t="inlineStr">
        <is>
          <t/>
        </is>
      </c>
    </row>
    <row r="734">
      <c r="A734" t="inlineStr">
        <is>
          <t>区区69块，结果够我吃一周的了</t>
        </is>
      </c>
      <c r="B734" t="inlineStr">
        <is>
          <t>69ba0fb1000000001f005381</t>
        </is>
      </c>
      <c r="C734" s="733" t="n">
        <f>HYPERLINK("https://www.xiaohongshu.com/explore/69ba0fb1000000001f005381?xsec_token=TBgJVNruMKjnZKfHBYiZtZCZeV6hh32MT_5euYEDW_-1E=&amp;xsec_source=pc_trdark","https://www.xiaohongshu.com/explore/69ba0fb1000000001f005381?xsec_token=TBgJVNruMKjnZKfHBYiZtZCZeV6hh32MT_5euYEDW_-1E=&amp;xsec_source=pc_trdark")</f>
        <v>0.0</v>
      </c>
      <c r="D734" t="inlineStr">
        <is>
          <t>婉婉上班吃什么</t>
        </is>
      </c>
      <c r="E734" t="inlineStr">
        <is>
          <t>11434449706</t>
        </is>
      </c>
      <c r="F734" t="inlineStr">
        <is>
          <t>2026-03-18 10:36:33</t>
        </is>
      </c>
      <c r="G734" t="inlineStr">
        <is>
          <t>图文</t>
        </is>
      </c>
      <c r="H734" t="inlineStr">
        <is>
          <t>手剥虾仁 无冰衣无添加 低脂餐一人食 上班带饭 顺丰包邮 5盒装</t>
        </is>
      </c>
      <c r="I734" t="inlineStr">
        <is>
          <t>694baba01d450d00013662f0</t>
        </is>
      </c>
      <c r="J734" t="inlineStr">
        <is>
          <t/>
        </is>
      </c>
      <c r="K734" t="n">
        <v>0.0</v>
      </c>
      <c r="L734" t="n">
        <v>0.0</v>
      </c>
      <c r="M734" t="n">
        <v>1.0</v>
      </c>
      <c r="N734" t="n">
        <v>1.0</v>
      </c>
      <c r="O734" t="n">
        <v>1.0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inlineStr">
        <is>
          <t/>
        </is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1.0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11.0</v>
      </c>
      <c r="AL734" t="inlineStr">
        <is>
          <t/>
        </is>
      </c>
    </row>
    <row r="735">
      <c r="A735" t="inlineStr">
        <is>
          <t>凭一己之力带动办公室买了十多份虾仁</t>
        </is>
      </c>
      <c r="B735" t="inlineStr">
        <is>
          <t>69b9472a0000000022025bf2</t>
        </is>
      </c>
      <c r="C735" s="734" t="n">
        <f>HYPERLINK("https://www.xiaohongshu.com/explore/69b9472a0000000022025bf2?xsec_token=TBgv0wN35T_w0yZx7fmvlvfJ95GX-t98GW-KsHLUAYymo=&amp;xsec_source=pc_trdark","https://www.xiaohongshu.com/explore/69b9472a0000000022025bf2?xsec_token=TBgv0wN35T_w0yZx7fmvlvfJ95GX-t98GW-KsHLUAYymo=&amp;xsec_source=pc_trdark")</f>
        <v>0.0</v>
      </c>
      <c r="D735" t="inlineStr">
        <is>
          <t>婉婉上班吃什么</t>
        </is>
      </c>
      <c r="E735" t="inlineStr">
        <is>
          <t>11434449706</t>
        </is>
      </c>
      <c r="F735" t="inlineStr">
        <is>
          <t>2026-03-17 20:20:58</t>
        </is>
      </c>
      <c r="G735" t="inlineStr">
        <is>
          <t>图文</t>
        </is>
      </c>
      <c r="H735" t="inlineStr">
        <is>
          <t>手剥虾仁 无冰衣无添加 低脂餐一人食 上班带饭 顺丰包邮 5盒装</t>
        </is>
      </c>
      <c r="I735" t="inlineStr">
        <is>
          <t>694baba01d450d00013662f0</t>
        </is>
      </c>
      <c r="J735" t="inlineStr">
        <is>
          <t/>
        </is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inlineStr">
        <is>
          <t/>
        </is>
      </c>
      <c r="R735" t="inlineStr">
        <is>
          <t/>
        </is>
      </c>
      <c r="S735" t="n">
        <v>0.0</v>
      </c>
      <c r="T735" t="n">
        <v>0.0</v>
      </c>
      <c r="U735" t="n">
        <v>0.0</v>
      </c>
      <c r="V735" t="n">
        <v>0.0</v>
      </c>
      <c r="W735" t="inlineStr">
        <is>
          <t/>
        </is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1.0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10.0</v>
      </c>
      <c r="AL735" t="inlineStr">
        <is>
          <t/>
        </is>
      </c>
    </row>
    <row r="736">
      <c r="A736" t="inlineStr">
        <is>
          <t>和老爸商量后，推出专为独居人做的小包装☺️</t>
        </is>
      </c>
      <c r="B736" t="inlineStr">
        <is>
          <t>69b9219800000000230168d4</t>
        </is>
      </c>
      <c r="C736" s="735" t="n">
        <f>HYPERLINK("https://www.xiaohongshu.com/explore/69b9219800000000230168d4?xsec_token=TBgv0wN35T_w0yZx7fmvlvfFtmFlrH1OoZBVlPBnU5iRE=&amp;xsec_source=pc_trdark","https://www.xiaohongshu.com/explore/69b9219800000000230168d4?xsec_token=TBgv0wN35T_w0yZx7fmvlvfFtmFlrH1OoZBVlPBnU5iRE=&amp;xsec_source=pc_trdark")</f>
        <v>0.0</v>
      </c>
      <c r="D736" t="inlineStr">
        <is>
          <t>鲜水湾</t>
        </is>
      </c>
      <c r="E736" t="inlineStr">
        <is>
          <t>49316638994</t>
        </is>
      </c>
      <c r="F736" t="inlineStr">
        <is>
          <t>2026-03-17 17:40:40</t>
        </is>
      </c>
      <c r="G736" t="inlineStr">
        <is>
          <t>图文</t>
        </is>
      </c>
      <c r="H736" t="inlineStr">
        <is>
          <t>手剥虾仁 无冰衣无添加 低脂餐一人食 上班带饭 顺丰包邮 5盒装</t>
        </is>
      </c>
      <c r="I736" t="inlineStr">
        <is>
          <t>694baba01d450d00013662f0</t>
        </is>
      </c>
      <c r="J736" t="inlineStr">
        <is>
          <t/>
        </is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inlineStr">
        <is>
          <t/>
        </is>
      </c>
      <c r="R736" t="inlineStr">
        <is>
          <t/>
        </is>
      </c>
      <c r="S736" t="n">
        <v>0.0</v>
      </c>
      <c r="T736" t="n">
        <v>0.0</v>
      </c>
      <c r="U736" t="n">
        <v>0.0</v>
      </c>
      <c r="V736" t="n">
        <v>0.0</v>
      </c>
      <c r="W736" t="inlineStr">
        <is>
          <t/>
        </is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1.0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1.0</v>
      </c>
      <c r="AL736" t="inlineStr">
        <is>
          <t/>
        </is>
      </c>
    </row>
    <row r="737">
      <c r="A737" t="inlineStr">
        <is>
          <t>奉劝大家不要低估70的购买力！</t>
        </is>
      </c>
      <c r="B737" t="inlineStr">
        <is>
          <t>69b8be17000000002003a549</t>
        </is>
      </c>
      <c r="C737" s="736" t="n">
        <f>HYPERLINK("https://www.xiaohongshu.com/explore/69b8be17000000002003a549?xsec_token=TBfbAEHpo8FSFeopDu7XYUigQQge3nW8Tc0O9adbvO_Vg=&amp;xsec_source=pc_trdark","https://www.xiaohongshu.com/explore/69b8be17000000002003a549?xsec_token=TBfbAEHpo8FSFeopDu7XYUigQQge3nW8Tc0O9adbvO_Vg=&amp;xsec_source=pc_trdark")</f>
        <v>0.0</v>
      </c>
      <c r="D737" t="inlineStr">
        <is>
          <t>婉婉上班吃什么</t>
        </is>
      </c>
      <c r="E737" t="inlineStr">
        <is>
          <t>11434449706</t>
        </is>
      </c>
      <c r="F737" t="inlineStr">
        <is>
          <t>2026-03-17 10:36:07</t>
        </is>
      </c>
      <c r="G737" t="inlineStr">
        <is>
          <t>图文</t>
        </is>
      </c>
      <c r="H737" t="inlineStr">
        <is>
          <t>手剥虾仁 无冰衣无添加 低脂餐一人食 上班带饭 顺丰包邮 5盒装</t>
        </is>
      </c>
      <c r="I737" t="inlineStr">
        <is>
          <t>694baba01d450d00013662f0</t>
        </is>
      </c>
      <c r="J737" t="inlineStr">
        <is>
          <t/>
        </is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inlineStr">
        <is>
          <t/>
        </is>
      </c>
      <c r="R737" t="inlineStr">
        <is>
          <t/>
        </is>
      </c>
      <c r="S737" t="n">
        <v>0.0</v>
      </c>
      <c r="T737" t="n">
        <v>0.0</v>
      </c>
      <c r="U737" t="n">
        <v>0.0</v>
      </c>
      <c r="V737" t="n">
        <v>0.0</v>
      </c>
      <c r="W737" t="inlineStr">
        <is>
          <t/>
        </is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1.0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7.0</v>
      </c>
      <c r="AL737" t="inlineStr">
        <is>
          <t/>
        </is>
      </c>
    </row>
    <row r="738">
      <c r="A738" t="inlineStr">
        <is>
          <t>69元搞定一周蛋白质！无添加宝藏虾仁🍤</t>
        </is>
      </c>
      <c r="B738" t="inlineStr">
        <is>
          <t>69b8b0f9000000002301c5b5</t>
        </is>
      </c>
      <c r="C738" s="737" t="n">
        <f>HYPERLINK("https://www.xiaohongshu.com/explore/69b8b0f9000000002301c5b5?xsec_token=TBfbAEHpo8FSFeopDu7XYUiijSbwDMTO4igQ0S5Mgizao=&amp;xsec_source=pc_trdark","https://www.xiaohongshu.com/explore/69b8b0f9000000002301c5b5?xsec_token=TBfbAEHpo8FSFeopDu7XYUiijSbwDMTO4igQ0S5Mgizao=&amp;xsec_source=pc_trdark")</f>
        <v>0.0</v>
      </c>
      <c r="D738" t="inlineStr">
        <is>
          <t>鲜水湾</t>
        </is>
      </c>
      <c r="E738" t="inlineStr">
        <is>
          <t>49316638994</t>
        </is>
      </c>
      <c r="F738" t="inlineStr">
        <is>
          <t>2026-03-17 09:40:09</t>
        </is>
      </c>
      <c r="G738" t="inlineStr">
        <is>
          <t>图文</t>
        </is>
      </c>
      <c r="H738" t="inlineStr">
        <is>
          <t>手剥虾仁 无冰衣无添加 低脂餐一人食 上班带饭 顺丰包邮 5盒装</t>
        </is>
      </c>
      <c r="I738" t="inlineStr">
        <is>
          <t>694baba01d450d00013662f0</t>
        </is>
      </c>
      <c r="J738" t="inlineStr">
        <is>
          <t/>
        </is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inlineStr">
        <is>
          <t/>
        </is>
      </c>
      <c r="R738" t="inlineStr">
        <is>
          <t/>
        </is>
      </c>
      <c r="S738" t="n">
        <v>0.0</v>
      </c>
      <c r="T738" t="n">
        <v>0.0</v>
      </c>
      <c r="U738" t="n">
        <v>0.0</v>
      </c>
      <c r="V738" t="n">
        <v>0.0</v>
      </c>
      <c r="W738" t="inlineStr">
        <is>
          <t/>
        </is>
      </c>
      <c r="X738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1.0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2.0</v>
      </c>
      <c r="AL738" t="inlineStr">
        <is>
          <t/>
        </is>
      </c>
    </row>
    <row r="739">
      <c r="A739" t="inlineStr">
        <is>
          <t>宝子们放心！就算火了我们也绝不涨价！</t>
        </is>
      </c>
      <c r="B739" t="inlineStr">
        <is>
          <t>69b6cd9c0000000022027952</t>
        </is>
      </c>
      <c r="C739" s="738" t="n">
        <f>HYPERLINK("https://www.xiaohongshu.com/explore/69b6cd9c0000000022027952?xsec_token=TBwpaEqA4ODk9qkUKPtwfpqXrgjczAKe7Vt8D7vT24Hq8=&amp;xsec_source=pc_trdark","https://www.xiaohongshu.com/explore/69b6cd9c0000000022027952?xsec_token=TBwpaEqA4ODk9qkUKPtwfpqXrgjczAKe7Vt8D7vT24Hq8=&amp;xsec_source=pc_trdark")</f>
        <v>0.0</v>
      </c>
      <c r="D739" t="inlineStr">
        <is>
          <t>鲜水湾</t>
        </is>
      </c>
      <c r="E739" t="inlineStr">
        <is>
          <t>49316638994</t>
        </is>
      </c>
      <c r="F739" t="inlineStr">
        <is>
          <t>2026-03-15 23:17:48</t>
        </is>
      </c>
      <c r="G739" t="inlineStr">
        <is>
          <t>图文</t>
        </is>
      </c>
      <c r="H739" t="inlineStr">
        <is>
          <t>手剥虾仁 无冰衣无添加 低脂餐一人食 上班带饭 顺丰包邮 5盒装</t>
        </is>
      </c>
      <c r="I739" t="inlineStr">
        <is>
          <t>694baba01d450d00013662f0</t>
        </is>
      </c>
      <c r="J739" t="inlineStr">
        <is>
          <t/>
        </is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inlineStr">
        <is>
          <t/>
        </is>
      </c>
      <c r="R739" t="inlineStr">
        <is>
          <t/>
        </is>
      </c>
      <c r="S739" t="n">
        <v>0.0</v>
      </c>
      <c r="T739" t="n">
        <v>0.0</v>
      </c>
      <c r="U739" t="n">
        <v>0.0</v>
      </c>
      <c r="V739" t="n">
        <v>0.0</v>
      </c>
      <c r="W739" t="inlineStr">
        <is>
          <t/>
        </is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1.0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4.0</v>
      </c>
      <c r="AL739" t="inlineStr">
        <is>
          <t/>
        </is>
      </c>
    </row>
    <row r="740">
      <c r="A740" t="inlineStr">
        <is>
          <t>69五袋我微微心动，你说顺丰包邮我直接冲</t>
        </is>
      </c>
      <c r="B740" t="inlineStr">
        <is>
          <t>69b583f3000000001f00071f</t>
        </is>
      </c>
      <c r="C740" s="739" t="n">
        <f>HYPERLINK("https://www.xiaohongshu.com/explore/69b583f3000000001f00071f?xsec_token=TBYgTJ9EzKmyKny4Vfc-tHE_vjjVjJOwd0sAJ7JQwEL_U=&amp;xsec_source=pc_trdark","https://www.xiaohongshu.com/explore/69b583f3000000001f00071f?xsec_token=TBYgTJ9EzKmyKny4Vfc-tHE_vjjVjJOwd0sAJ7JQwEL_U=&amp;xsec_source=pc_trdark")</f>
        <v>0.0</v>
      </c>
      <c r="D740" t="inlineStr">
        <is>
          <t>婉婉上班吃什么</t>
        </is>
      </c>
      <c r="E740" t="inlineStr">
        <is>
          <t>11434449706</t>
        </is>
      </c>
      <c r="F740" t="inlineStr">
        <is>
          <t>2026-03-14 23:51:15</t>
        </is>
      </c>
      <c r="G740" t="inlineStr">
        <is>
          <t>图文</t>
        </is>
      </c>
      <c r="H740" t="inlineStr">
        <is>
          <t>手剥虾仁 无冰衣无添加 低脂餐一人食 上班带饭 顺丰包邮 5盒装</t>
        </is>
      </c>
      <c r="I740" t="inlineStr">
        <is>
          <t>694baba01d450d00013662f0</t>
        </is>
      </c>
      <c r="J740" t="inlineStr">
        <is>
          <t/>
        </is>
      </c>
      <c r="K740" t="n">
        <v>0.0</v>
      </c>
      <c r="L740" t="n">
        <v>0.0</v>
      </c>
      <c r="M740" t="n">
        <v>1.0</v>
      </c>
      <c r="N740" t="n">
        <v>1.0</v>
      </c>
      <c r="O740" t="n">
        <v>1.0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inlineStr">
        <is>
          <t/>
        </is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1.0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50.0</v>
      </c>
      <c r="AL740" t="inlineStr">
        <is>
          <t/>
        </is>
      </c>
    </row>
    <row r="741">
      <c r="A741" t="inlineStr">
        <is>
          <t>年后减脂真花不了多少钱，69够吃一周了</t>
        </is>
      </c>
      <c r="B741" t="inlineStr">
        <is>
          <t>69b55914000000001a0370f6</t>
        </is>
      </c>
      <c r="C741" s="740" t="n">
        <f>HYPERLINK("https://www.xiaohongshu.com/explore/69b55914000000001a0370f6?xsec_token=TBYgTJ9EzKmyKny4Vfc-tHE1D-4FPN_Ls21dAeDDr4uNA=&amp;xsec_source=pc_trdark","https://www.xiaohongshu.com/explore/69b55914000000001a0370f6?xsec_token=TBYgTJ9EzKmyKny4Vfc-tHE1D-4FPN_Ls21dAeDDr4uNA=&amp;xsec_source=pc_trdark")</f>
        <v>0.0</v>
      </c>
      <c r="D741" t="inlineStr">
        <is>
          <t>婉婉上班吃什么</t>
        </is>
      </c>
      <c r="E741" t="inlineStr">
        <is>
          <t>11434449706</t>
        </is>
      </c>
      <c r="F741" t="inlineStr">
        <is>
          <t>2026-03-14 20:48:20</t>
        </is>
      </c>
      <c r="G741" t="inlineStr">
        <is>
          <t>图文</t>
        </is>
      </c>
      <c r="H741" t="inlineStr">
        <is>
          <t>手剥虾仁 无冰衣无添加 低脂餐一人食 上班带饭 顺丰包邮 5盒装</t>
        </is>
      </c>
      <c r="I741" t="inlineStr">
        <is>
          <t>694baba01d450d00013662f0</t>
        </is>
      </c>
      <c r="J741" t="inlineStr">
        <is>
          <t/>
        </is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inlineStr">
        <is>
          <t/>
        </is>
      </c>
      <c r="R741" t="inlineStr">
        <is>
          <t/>
        </is>
      </c>
      <c r="S741" t="n">
        <v>0.0</v>
      </c>
      <c r="T741" t="n">
        <v>0.0</v>
      </c>
      <c r="U741" t="n">
        <v>0.0</v>
      </c>
      <c r="V741" t="n">
        <v>0.0</v>
      </c>
      <c r="W741" t="inlineStr">
        <is>
          <t/>
        </is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1.0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4.0</v>
      </c>
      <c r="AL741" t="inlineStr">
        <is>
          <t/>
        </is>
      </c>
    </row>
    <row r="742">
      <c r="A742" t="inlineStr">
        <is>
          <t>老妈说：你就给一人食的单独定制！总会出单的</t>
        </is>
      </c>
      <c r="B742" t="inlineStr">
        <is>
          <t>69b4f850000000001a02c65d</t>
        </is>
      </c>
      <c r="C742" s="741" t="n">
        <f>HYPERLINK("https://www.xiaohongshu.com/explore/69b4f850000000001a02c65d?xsec_token=TB4dy4zP2Sasn_cYXEm_KMI27tF5EN7Zuj1qVRb7-Lryk=&amp;xsec_source=pc_trdark","https://www.xiaohongshu.com/explore/69b4f850000000001a02c65d?xsec_token=TB4dy4zP2Sasn_cYXEm_KMI27tF5EN7Zuj1qVRb7-Lryk=&amp;xsec_source=pc_trdark")</f>
        <v>0.0</v>
      </c>
      <c r="D742" t="inlineStr">
        <is>
          <t>鲜水湾</t>
        </is>
      </c>
      <c r="E742" t="inlineStr">
        <is>
          <t>49316638994</t>
        </is>
      </c>
      <c r="F742" t="inlineStr">
        <is>
          <t>2026-03-14 13:55:28</t>
        </is>
      </c>
      <c r="G742" t="inlineStr">
        <is>
          <t>图文</t>
        </is>
      </c>
      <c r="H742" t="inlineStr">
        <is>
          <t>手剥虾仁 无冰衣无添加 低脂餐一人食 上班带饭 顺丰包邮 5盒装</t>
        </is>
      </c>
      <c r="I742" t="inlineStr">
        <is>
          <t>694baba01d450d00013662f0</t>
        </is>
      </c>
      <c r="J742" t="inlineStr">
        <is>
          <t/>
        </is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inlineStr">
        <is>
          <t/>
        </is>
      </c>
      <c r="R742" t="inlineStr">
        <is>
          <t/>
        </is>
      </c>
      <c r="S742" t="n">
        <v>0.0</v>
      </c>
      <c r="T742" t="n">
        <v>0.0</v>
      </c>
      <c r="U742" t="n">
        <v>0.0</v>
      </c>
      <c r="V742" t="n">
        <v>0.0</v>
      </c>
      <c r="W742" t="inlineStr">
        <is>
          <t/>
        </is>
      </c>
      <c r="X742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1.0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4.0</v>
      </c>
      <c r="AL742" t="inlineStr">
        <is>
          <t/>
        </is>
      </c>
    </row>
    <row r="743">
      <c r="A743" t="inlineStr">
        <is>
          <t>每天变着花样做饭 哄自己开心😋</t>
        </is>
      </c>
      <c r="B743" t="inlineStr">
        <is>
          <t>69b25c1f000000000601dab8</t>
        </is>
      </c>
      <c r="C743" s="742" t="n">
        <f>HYPERLINK("https://www.xiaohongshu.com/explore/69b25c1f000000000601dab8?xsec_token=TB020mu_sDtHEgaPvBWpjWucJXc5QxJUBxwxyv-22Zj7M=&amp;xsec_source=pc_trdark","https://www.xiaohongshu.com/explore/69b25c1f000000000601dab8?xsec_token=TB020mu_sDtHEgaPvBWpjWucJXc5QxJUBxwxyv-22Zj7M=&amp;xsec_source=pc_trdark")</f>
        <v>0.0</v>
      </c>
      <c r="D743" t="inlineStr">
        <is>
          <t>鲜水湾</t>
        </is>
      </c>
      <c r="E743" t="inlineStr">
        <is>
          <t>49316638994</t>
        </is>
      </c>
      <c r="F743" t="inlineStr">
        <is>
          <t>2026-03-12 14:24:31</t>
        </is>
      </c>
      <c r="G743" t="inlineStr">
        <is>
          <t>图文</t>
        </is>
      </c>
      <c r="H743" t="inlineStr">
        <is>
          <t>智利三文鱼切块·整条三文鱼·深海鱼一人食健康饮食</t>
        </is>
      </c>
      <c r="I743" t="inlineStr">
        <is>
          <t>691ac562a524ee0001b51d7b</t>
        </is>
      </c>
      <c r="J743" t="inlineStr">
        <is>
          <t/>
        </is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inlineStr">
        <is>
          <t/>
        </is>
      </c>
      <c r="R743" t="inlineStr">
        <is>
          <t/>
        </is>
      </c>
      <c r="S743" t="n">
        <v>0.0</v>
      </c>
      <c r="T743" t="n">
        <v>0.0</v>
      </c>
      <c r="U743" t="n">
        <v>0.0</v>
      </c>
      <c r="V743" t="n">
        <v>0.0</v>
      </c>
      <c r="W743" t="inlineStr">
        <is>
          <t/>
        </is>
      </c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1.0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1.0</v>
      </c>
      <c r="AL743" t="inlineStr">
        <is>
          <t/>
        </is>
      </c>
    </row>
    <row r="744">
      <c r="A744" t="inlineStr">
        <is>
          <t>年后减脂真不多，区区69块够我吃一周的了</t>
        </is>
      </c>
      <c r="B744" t="inlineStr">
        <is>
          <t>69b2539b000000000b034e10</t>
        </is>
      </c>
      <c r="C744" s="743" t="n">
        <f>HYPERLINK("https://www.xiaohongshu.com/explore/69b2539b000000000b034e10?xsec_token=TB020mu_sDtHEgaPvBWpjWuRWl5BVIXyVQdSK6eV9PNeU=&amp;xsec_source=pc_trdark","https://www.xiaohongshu.com/explore/69b2539b000000000b034e10?xsec_token=TB020mu_sDtHEgaPvBWpjWuRWl5BVIXyVQdSK6eV9PNeU=&amp;xsec_source=pc_trdark")</f>
        <v>0.0</v>
      </c>
      <c r="D744" t="inlineStr">
        <is>
          <t>婉婉上班吃什么</t>
        </is>
      </c>
      <c r="E744" t="inlineStr">
        <is>
          <t>11434449706</t>
        </is>
      </c>
      <c r="F744" t="inlineStr">
        <is>
          <t>2026-03-12 13:48:11</t>
        </is>
      </c>
      <c r="G744" t="inlineStr">
        <is>
          <t>图文</t>
        </is>
      </c>
      <c r="H744" t="inlineStr">
        <is>
          <t>大虾基围虾王牌大虾厄瓜多尔白虾盐冻虾仁海洋大虾送礼顺丰包邮</t>
        </is>
      </c>
      <c r="I744" t="inlineStr">
        <is>
          <t>690aeb7be379430001e686ac</t>
        </is>
      </c>
      <c r="J744" t="inlineStr">
        <is>
          <t/>
        </is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inlineStr">
        <is>
          <t/>
        </is>
      </c>
      <c r="R744" t="inlineStr">
        <is>
          <t/>
        </is>
      </c>
      <c r="S744" t="n">
        <v>0.0</v>
      </c>
      <c r="T744" t="n">
        <v>0.0</v>
      </c>
      <c r="U744" t="n">
        <v>0.0</v>
      </c>
      <c r="V744" t="n">
        <v>0.0</v>
      </c>
      <c r="W744" t="inlineStr">
        <is>
          <t/>
        </is>
      </c>
      <c r="X744" t="n">
        <v>0.0</v>
      </c>
      <c r="Y744" t="n">
        <v>0.0</v>
      </c>
      <c r="Z744" t="n">
        <v>1.0</v>
      </c>
      <c r="AA744" t="n">
        <v>0.0</v>
      </c>
      <c r="AB744" t="n">
        <v>0.0</v>
      </c>
      <c r="AC744" t="n">
        <v>0.0</v>
      </c>
      <c r="AD744" t="n">
        <v>1.0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21.0</v>
      </c>
      <c r="AL744" t="inlineStr">
        <is>
          <t/>
        </is>
      </c>
    </row>
    <row r="745">
      <c r="A745" t="inlineStr">
        <is>
          <t>补营养吃三文鱼才是最夯的😌</t>
        </is>
      </c>
      <c r="B745" t="inlineStr">
        <is>
          <t>69b24cb60000000004001084</t>
        </is>
      </c>
      <c r="C745" s="744" t="n">
        <f>HYPERLINK("https://www.xiaohongshu.com/explore/69b24cb60000000004001084?xsec_token=TB020mu_sDtHEgaPvBWpjWud1D2ZaM5RopL_C-nSOpMAg=&amp;xsec_source=pc_trdark","https://www.xiaohongshu.com/explore/69b24cb60000000004001084?xsec_token=TB020mu_sDtHEgaPvBWpjWud1D2ZaM5RopL_C-nSOpMAg=&amp;xsec_source=pc_trdark")</f>
        <v>0.0</v>
      </c>
      <c r="D745" t="inlineStr">
        <is>
          <t>鲜水湾</t>
        </is>
      </c>
      <c r="E745" t="inlineStr">
        <is>
          <t>49316638994</t>
        </is>
      </c>
      <c r="F745" t="inlineStr">
        <is>
          <t>2026-03-12 13:18:46</t>
        </is>
      </c>
      <c r="G745" t="inlineStr">
        <is>
          <t>图文</t>
        </is>
      </c>
      <c r="H745" t="inlineStr">
        <is>
          <t>智利三文鱼切块·整条三文鱼·深海鱼一人食健康饮食</t>
        </is>
      </c>
      <c r="I745" t="inlineStr">
        <is>
          <t>691ac562a524ee0001b51d7b</t>
        </is>
      </c>
      <c r="J745" t="inlineStr">
        <is>
          <t/>
        </is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inlineStr">
        <is>
          <t/>
        </is>
      </c>
      <c r="R745" t="inlineStr">
        <is>
          <t/>
        </is>
      </c>
      <c r="S745" t="n">
        <v>0.0</v>
      </c>
      <c r="T745" t="n">
        <v>0.0</v>
      </c>
      <c r="U745" t="n">
        <v>0.0</v>
      </c>
      <c r="V745" t="n">
        <v>0.0</v>
      </c>
      <c r="W745" t="inlineStr">
        <is>
          <t/>
        </is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1.0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2.0</v>
      </c>
      <c r="AL745" t="inlineStr">
        <is>
          <t/>
        </is>
      </c>
    </row>
    <row r="746">
      <c r="A746" t="inlineStr">
        <is>
          <t>控卡期夜宵自由！吃肉还不胖的秘密🤫</t>
        </is>
      </c>
      <c r="B746" t="inlineStr">
        <is>
          <t>69b0fa6e00000000050325e0</t>
        </is>
      </c>
      <c r="C746" s="745" t="n">
        <f>HYPERLINK("https://www.xiaohongshu.com/explore/69b0fa6e00000000050325e0?xsec_token=TB1fCSoBGZhUEvn2zrb_Bw2igXq0S3TOjnZ4uAmKQZZwE=&amp;xsec_source=pc_trdark","https://www.xiaohongshu.com/explore/69b0fa6e00000000050325e0?xsec_token=TB1fCSoBGZhUEvn2zrb_Bw2igXq0S3TOjnZ4uAmKQZZwE=&amp;xsec_source=pc_trdark")</f>
        <v>0.0</v>
      </c>
      <c r="D746" t="inlineStr">
        <is>
          <t>鲜水湾</t>
        </is>
      </c>
      <c r="E746" t="inlineStr">
        <is>
          <t>49316638994</t>
        </is>
      </c>
      <c r="F746" t="inlineStr">
        <is>
          <t>2026-03-11 13:15:26</t>
        </is>
      </c>
      <c r="G746" t="inlineStr">
        <is>
          <t>图文</t>
        </is>
      </c>
      <c r="H746" t="inlineStr">
        <is>
          <t>手剥虾仁 无冰衣无添加 低脂餐一人食 上班带饭 顺丰包邮 5盒装</t>
        </is>
      </c>
      <c r="I746" t="inlineStr">
        <is>
          <t>694baba01d450d00013662f0</t>
        </is>
      </c>
      <c r="J746" t="inlineStr">
        <is>
          <t/>
        </is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inlineStr">
        <is>
          <t/>
        </is>
      </c>
      <c r="R746" t="inlineStr">
        <is>
          <t/>
        </is>
      </c>
      <c r="S746" t="n">
        <v>0.0</v>
      </c>
      <c r="T746" t="n">
        <v>0.0</v>
      </c>
      <c r="U746" t="n">
        <v>0.0</v>
      </c>
      <c r="V746" t="n">
        <v>0.0</v>
      </c>
      <c r="W746" t="inlineStr">
        <is>
          <t/>
        </is>
      </c>
      <c r="X746" t="n">
        <v>0.0</v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1.0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3.0</v>
      </c>
      <c r="AL746" t="inlineStr">
        <is>
          <t/>
        </is>
      </c>
    </row>
    <row r="747">
      <c r="A747" t="inlineStr">
        <is>
          <t>立马回购6箱！家附近超市再也看不上了🦐</t>
        </is>
      </c>
      <c r="B747" t="inlineStr">
        <is>
          <t>69b0cd40000000000600cca2</t>
        </is>
      </c>
      <c r="C747" s="746" t="n">
        <f>HYPERLINK("https://www.xiaohongshu.com/explore/69b0cd40000000000600cca2?xsec_token=TB1fCSoBGZhUEvn2zrb_Bw2qrfKZZmmwBrZCPmnS4u67A=&amp;xsec_source=pc_trdark","https://www.xiaohongshu.com/explore/69b0cd40000000000600cca2?xsec_token=TB1fCSoBGZhUEvn2zrb_Bw2qrfKZZmmwBrZCPmnS4u67A=&amp;xsec_source=pc_trdark")</f>
        <v>0.0</v>
      </c>
      <c r="D747" t="inlineStr">
        <is>
          <t>婉婉上班吃什么</t>
        </is>
      </c>
      <c r="E747" t="inlineStr">
        <is>
          <t>11434449706</t>
        </is>
      </c>
      <c r="F747" t="inlineStr">
        <is>
          <t>2026-03-11 10:02:40</t>
        </is>
      </c>
      <c r="G747" t="inlineStr">
        <is>
          <t>图文</t>
        </is>
      </c>
      <c r="H747" t="inlineStr">
        <is>
          <t>大虾基围虾王牌大虾厄瓜多尔白虾盐冻虾仁海洋大虾送礼顺丰包邮</t>
        </is>
      </c>
      <c r="I747" t="inlineStr">
        <is>
          <t>690aeb7be379430001e686ac</t>
        </is>
      </c>
      <c r="J747" t="inlineStr">
        <is>
          <t/>
        </is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inlineStr">
        <is>
          <t/>
        </is>
      </c>
      <c r="R747" t="inlineStr">
        <is>
          <t/>
        </is>
      </c>
      <c r="S747" t="n">
        <v>0.0</v>
      </c>
      <c r="T747" t="n">
        <v>0.0</v>
      </c>
      <c r="U747" t="n">
        <v>0.0</v>
      </c>
      <c r="V747" t="n">
        <v>0.0</v>
      </c>
      <c r="W747" t="inlineStr">
        <is>
          <t/>
        </is>
      </c>
      <c r="X747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0.0</v>
      </c>
      <c r="AD747" t="n">
        <v>1.0</v>
      </c>
      <c r="AE747" t="n">
        <v>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n">
        <v>1.0</v>
      </c>
      <c r="AL747" t="inlineStr">
        <is>
          <t/>
        </is>
      </c>
    </row>
    <row r="748">
      <c r="A748" t="inlineStr">
        <is>
          <t>吃 3 箱大虾，就可以丢掉一条裤子了</t>
        </is>
      </c>
      <c r="B748" t="inlineStr">
        <is>
          <t>69afdc5a000000000800fd98</t>
        </is>
      </c>
      <c r="C748" s="747" t="n">
        <f>HYPERLINK("https://www.xiaohongshu.com/explore/69afdc5a000000000800fd98?xsec_token=TBvA7Hz6ko-xGwfQy35gan6dmSY5P1zpH8VpfvibHkhTE=&amp;xsec_source=pc_trdark","https://www.xiaohongshu.com/explore/69afdc5a000000000800fd98?xsec_token=TBvA7Hz6ko-xGwfQy35gan6dmSY5P1zpH8VpfvibHkhTE=&amp;xsec_source=pc_trdark")</f>
        <v>0.0</v>
      </c>
      <c r="D748" t="inlineStr">
        <is>
          <t>婉婉上班吃什么</t>
        </is>
      </c>
      <c r="E748" t="inlineStr">
        <is>
          <t>11434449706</t>
        </is>
      </c>
      <c r="F748" t="inlineStr">
        <is>
          <t>2026-03-10 16:54:50</t>
        </is>
      </c>
      <c r="G748" t="inlineStr">
        <is>
          <t>图文</t>
        </is>
      </c>
      <c r="H748" t="inlineStr">
        <is>
          <t>大虾基围虾王牌大虾厄瓜多尔白虾盐冻虾仁海洋大虾送礼顺丰包邮</t>
        </is>
      </c>
      <c r="I748" t="inlineStr">
        <is>
          <t>690aeb7be379430001e686ac</t>
        </is>
      </c>
      <c r="J748" t="inlineStr">
        <is>
          <t/>
        </is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inlineStr">
        <is>
          <t/>
        </is>
      </c>
      <c r="R748" t="inlineStr">
        <is>
          <t/>
        </is>
      </c>
      <c r="S748" t="n">
        <v>0.0</v>
      </c>
      <c r="T748" t="n">
        <v>0.0</v>
      </c>
      <c r="U748" t="n">
        <v>0.0</v>
      </c>
      <c r="V748" t="n">
        <v>0.0</v>
      </c>
      <c r="W748" t="inlineStr">
        <is>
          <t/>
        </is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1.0</v>
      </c>
      <c r="AE748" t="n">
        <v>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n">
        <v>1.0</v>
      </c>
      <c r="AL748" t="inlineStr">
        <is>
          <t/>
        </is>
      </c>
    </row>
    <row r="749">
      <c r="A749" t="inlineStr">
        <is>
          <t>控体期和老公就这么吃，低卡美味全占了</t>
        </is>
      </c>
      <c r="B749" t="inlineStr">
        <is>
          <t>69af83f4000000000d009cb2</t>
        </is>
      </c>
      <c r="C749" s="748" t="n">
        <f>HYPERLINK("https://www.xiaohongshu.com/explore/69af83f4000000000d009cb2?xsec_token=TBvA7Hz6ko-xGwfQy35gan6RaAoOnrWpneYfWSgNLBEMw=&amp;xsec_source=pc_trdark","https://www.xiaohongshu.com/explore/69af83f4000000000d009cb2?xsec_token=TBvA7Hz6ko-xGwfQy35gan6RaAoOnrWpneYfWSgNLBEMw=&amp;xsec_source=pc_trdark")</f>
        <v>0.0</v>
      </c>
      <c r="D749" t="inlineStr">
        <is>
          <t>婉婉上班吃什么</t>
        </is>
      </c>
      <c r="E749" t="inlineStr">
        <is>
          <t>11434449706</t>
        </is>
      </c>
      <c r="F749" t="inlineStr">
        <is>
          <t>2026-03-10 10:37:40</t>
        </is>
      </c>
      <c r="G749" t="inlineStr">
        <is>
          <t>图文</t>
        </is>
      </c>
      <c r="H749" t="inlineStr">
        <is>
          <t>大虾基围虾王牌大虾厄瓜多尔白虾盐冻虾仁海洋大虾送礼顺丰包邮</t>
        </is>
      </c>
      <c r="I749" t="inlineStr">
        <is>
          <t>690aeb7be379430001e686ac</t>
        </is>
      </c>
      <c r="J749" t="inlineStr">
        <is>
          <t/>
        </is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inlineStr">
        <is>
          <t/>
        </is>
      </c>
      <c r="R749" t="inlineStr">
        <is>
          <t/>
        </is>
      </c>
      <c r="S749" t="n">
        <v>0.0</v>
      </c>
      <c r="T749" t="n">
        <v>0.0</v>
      </c>
      <c r="U749" t="n">
        <v>0.0</v>
      </c>
      <c r="V749" t="n">
        <v>0.0</v>
      </c>
      <c r="W749" t="inlineStr">
        <is>
          <t/>
        </is>
      </c>
      <c r="X749" t="n">
        <v>0.0</v>
      </c>
      <c r="Y749" t="n">
        <v>0.0</v>
      </c>
      <c r="Z749" t="n">
        <v>0.0</v>
      </c>
      <c r="AA749" t="n">
        <v>0.0</v>
      </c>
      <c r="AB749" t="n">
        <v>0.0</v>
      </c>
      <c r="AC749" t="n">
        <v>0.0</v>
      </c>
      <c r="AD749" t="n">
        <v>1.0</v>
      </c>
      <c r="AE749" t="n">
        <v>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n">
        <v>6.0</v>
      </c>
      <c r="AL749" t="inlineStr">
        <is>
          <t/>
        </is>
      </c>
    </row>
    <row r="750">
      <c r="A750" t="inlineStr">
        <is>
          <t>明兰，你是陪我吃饭最多的人</t>
        </is>
      </c>
      <c r="B750" t="inlineStr">
        <is>
          <t>69ae92ee000000001a02fa72</t>
        </is>
      </c>
      <c r="C750" s="749" t="n">
        <f>HYPERLINK("https://www.xiaohongshu.com/explore/69ae92ee000000001a02fa72?xsec_token=TBy3i3TfmyKE7XGojG_cT9hfOFSalmIzIX_YSfV9qW7s0=&amp;xsec_source=pc_trdark","https://www.xiaohongshu.com/explore/69ae92ee000000001a02fa72?xsec_token=TBy3i3TfmyKE7XGojG_cT9hfOFSalmIzIX_YSfV9qW7s0=&amp;xsec_source=pc_trdark")</f>
        <v>0.0</v>
      </c>
      <c r="D750" t="inlineStr">
        <is>
          <t>婉婉上班吃什么</t>
        </is>
      </c>
      <c r="E750" t="inlineStr">
        <is>
          <t>11434449706</t>
        </is>
      </c>
      <c r="F750" t="inlineStr">
        <is>
          <t>2026-03-09 17:29:19</t>
        </is>
      </c>
      <c r="G750" t="inlineStr">
        <is>
          <t>图文</t>
        </is>
      </c>
      <c r="H750" t="inlineStr">
        <is>
          <t>大虾基围虾王牌大虾厄瓜多尔白虾盐冻虾仁海洋大虾送礼顺丰包邮</t>
        </is>
      </c>
      <c r="I750" t="inlineStr">
        <is>
          <t>690aeb7be379430001e686ac</t>
        </is>
      </c>
      <c r="J750" t="inlineStr">
        <is>
          <t/>
        </is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inlineStr">
        <is>
          <t/>
        </is>
      </c>
      <c r="R750" t="inlineStr">
        <is>
          <t/>
        </is>
      </c>
      <c r="S750" t="n">
        <v>0.0</v>
      </c>
      <c r="T750" t="n">
        <v>0.0</v>
      </c>
      <c r="U750" t="n">
        <v>0.0</v>
      </c>
      <c r="V750" t="n">
        <v>0.0</v>
      </c>
      <c r="W750" t="inlineStr">
        <is>
          <t/>
        </is>
      </c>
      <c r="X750" t="n">
        <v>0.0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1.0</v>
      </c>
      <c r="AE750" t="n">
        <v>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n">
        <v>1.0</v>
      </c>
      <c r="AL750" t="inlineStr">
        <is>
          <t/>
        </is>
      </c>
    </row>
    <row r="751">
      <c r="A751" t="inlineStr">
        <is>
          <t>每天带一包大虾上班，同事说我很有钱</t>
        </is>
      </c>
      <c r="B751" t="inlineStr">
        <is>
          <t>69ad8b83000000002800b0fe</t>
        </is>
      </c>
      <c r="C751" s="750" t="n">
        <f>HYPERLINK("https://www.xiaohongshu.com/explore/69ad8b83000000002800b0fe?xsec_token=TBsauhpT2AwjD8NBV7WI8gZEER3ruVJK7qEhQ5wTYffjA=&amp;xsec_source=pc_trdark","https://www.xiaohongshu.com/explore/69ad8b83000000002800b0fe?xsec_token=TBsauhpT2AwjD8NBV7WI8gZEER3ruVJK7qEhQ5wTYffjA=&amp;xsec_source=pc_trdark")</f>
        <v>0.0</v>
      </c>
      <c r="D751" t="inlineStr">
        <is>
          <t>鲜水湾</t>
        </is>
      </c>
      <c r="E751" t="inlineStr">
        <is>
          <t>49316638994</t>
        </is>
      </c>
      <c r="F751" t="inlineStr">
        <is>
          <t>2026-03-08 22:45:23</t>
        </is>
      </c>
      <c r="G751" t="inlineStr">
        <is>
          <t>图文</t>
        </is>
      </c>
      <c r="H751" t="inlineStr">
        <is>
          <t>大虾基围虾王牌大虾厄瓜多尔白虾盐冻虾仁海洋大虾送礼顺丰包邮</t>
        </is>
      </c>
      <c r="I751" t="inlineStr">
        <is>
          <t>690aeb7be379430001e686ac</t>
        </is>
      </c>
      <c r="J751" t="inlineStr">
        <is>
          <t/>
        </is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inlineStr">
        <is>
          <t/>
        </is>
      </c>
      <c r="R751" t="inlineStr">
        <is>
          <t/>
        </is>
      </c>
      <c r="S751" t="n">
        <v>0.0</v>
      </c>
      <c r="T751" t="n">
        <v>0.0</v>
      </c>
      <c r="U751" t="n">
        <v>0.0</v>
      </c>
      <c r="V751" t="n">
        <v>0.0</v>
      </c>
      <c r="W751" t="inlineStr">
        <is>
          <t/>
        </is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1.0</v>
      </c>
      <c r="AE751" t="n">
        <v>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n">
        <v>1.0</v>
      </c>
      <c r="AL751" t="inlineStr">
        <is>
          <t/>
        </is>
      </c>
    </row>
    <row r="752">
      <c r="A752" t="inlineStr">
        <is>
          <t>奉劝控体人不要低估了60来块钱的购买力……</t>
        </is>
      </c>
      <c r="B752" t="inlineStr">
        <is>
          <t>69ad7d71000000001a03025f</t>
        </is>
      </c>
      <c r="C752" s="751" t="n">
        <f>HYPERLINK("https://www.xiaohongshu.com/explore/69ad7d71000000001a03025f?xsec_token=TBsauhpT2AwjD8NBV7WI8gZKBMHIqgu_3WmtwpIdUTbSI=&amp;xsec_source=pc_trdark","https://www.xiaohongshu.com/explore/69ad7d71000000001a03025f?xsec_token=TBsauhpT2AwjD8NBV7WI8gZKBMHIqgu_3WmtwpIdUTbSI=&amp;xsec_source=pc_trdark")</f>
        <v>0.0</v>
      </c>
      <c r="D752" t="inlineStr">
        <is>
          <t>鲜水湾</t>
        </is>
      </c>
      <c r="E752" t="inlineStr">
        <is>
          <t>49316638994</t>
        </is>
      </c>
      <c r="F752" t="inlineStr">
        <is>
          <t>2026-03-08 21:45:21</t>
        </is>
      </c>
      <c r="G752" t="inlineStr">
        <is>
          <t>图文</t>
        </is>
      </c>
      <c r="H752" t="inlineStr">
        <is>
          <t>大虾基围虾王牌大虾厄瓜多尔白虾盐冻虾仁海洋大虾送礼顺丰包邮</t>
        </is>
      </c>
      <c r="I752" t="inlineStr">
        <is>
          <t>690aeb7be379430001e686ac</t>
        </is>
      </c>
      <c r="J752" t="inlineStr">
        <is>
          <t/>
        </is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inlineStr">
        <is>
          <t/>
        </is>
      </c>
      <c r="R752" t="inlineStr">
        <is>
          <t/>
        </is>
      </c>
      <c r="S752" t="n">
        <v>0.0</v>
      </c>
      <c r="T752" t="n">
        <v>0.0</v>
      </c>
      <c r="U752" t="n">
        <v>0.0</v>
      </c>
      <c r="V752" t="n">
        <v>0.0</v>
      </c>
      <c r="W752" t="inlineStr">
        <is>
          <t/>
        </is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1.0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3.0</v>
      </c>
      <c r="AL752" t="inlineStr">
        <is>
          <t/>
        </is>
      </c>
    </row>
    <row r="753">
      <c r="A753" t="inlineStr">
        <is>
          <t>控体谁还吃鸡胸肉啊，别2G网速了！！</t>
        </is>
      </c>
      <c r="B753" t="inlineStr">
        <is>
          <t>69abdb6b000000000e00dc9a</t>
        </is>
      </c>
      <c r="C753" s="752" t="n">
        <f>HYPERLINK("https://www.xiaohongshu.com/explore/69abdb6b000000000e00dc9a?xsec_token=TBjk1R4L6FFMBESMYKkkhLfEzUTu0e48-1yw_UQTojMe8=&amp;xsec_source=pc_trdark","https://www.xiaohongshu.com/explore/69abdb6b000000000e00dc9a?xsec_token=TBjk1R4L6FFMBESMYKkkhLfEzUTu0e48-1yw_UQTojMe8=&amp;xsec_source=pc_trdark")</f>
        <v>0.0</v>
      </c>
      <c r="D753" t="inlineStr">
        <is>
          <t>婉婉上班吃什么</t>
        </is>
      </c>
      <c r="E753" t="inlineStr">
        <is>
          <t>11434449706</t>
        </is>
      </c>
      <c r="F753" t="inlineStr">
        <is>
          <t>2026-03-07 16:01:47</t>
        </is>
      </c>
      <c r="G753" t="inlineStr">
        <is>
          <t>图文</t>
        </is>
      </c>
      <c r="H753" t="inlineStr">
        <is>
          <t>大虾基围虾王牌大虾厄瓜多尔白虾盐冻虾仁海洋大虾送礼顺丰包邮</t>
        </is>
      </c>
      <c r="I753" t="inlineStr">
        <is>
          <t>690aeb7be379430001e686ac</t>
        </is>
      </c>
      <c r="J753" t="inlineStr">
        <is>
          <t/>
        </is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inlineStr">
        <is>
          <t/>
        </is>
      </c>
      <c r="R753" t="inlineStr">
        <is>
          <t/>
        </is>
      </c>
      <c r="S753" t="n">
        <v>0.0</v>
      </c>
      <c r="T753" t="n">
        <v>0.0</v>
      </c>
      <c r="U753" t="n">
        <v>0.0</v>
      </c>
      <c r="V753" t="n">
        <v>0.0</v>
      </c>
      <c r="W753" t="inlineStr">
        <is>
          <t/>
        </is>
      </c>
      <c r="X753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1.0</v>
      </c>
      <c r="AE753" t="n">
        <v>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5.0</v>
      </c>
      <c r="AL753" t="inlineStr">
        <is>
          <t/>
        </is>
      </c>
    </row>
    <row r="754">
      <c r="A754" t="inlineStr">
        <is>
          <t>控体坠🐮搭配，一个月掉78斤</t>
        </is>
      </c>
      <c r="B754" t="inlineStr">
        <is>
          <t>69abb78e000000001a02c24b</t>
        </is>
      </c>
      <c r="C754" s="753" t="n">
        <f>HYPERLINK("https://www.xiaohongshu.com/explore/69abb78e000000001a02c24b?xsec_token=TBjk1R4L6FFMBESMYKkkhLfEs5m3KVOuDoaWmbjqtEyQs=&amp;xsec_source=pc_trdark","https://www.xiaohongshu.com/explore/69abb78e000000001a02c24b?xsec_token=TBjk1R4L6FFMBESMYKkkhLfEs5m3KVOuDoaWmbjqtEyQs=&amp;xsec_source=pc_trdark")</f>
        <v>0.0</v>
      </c>
      <c r="D754" t="inlineStr">
        <is>
          <t>婉婉上班吃什么</t>
        </is>
      </c>
      <c r="E754" t="inlineStr">
        <is>
          <t>11434449706</t>
        </is>
      </c>
      <c r="F754" t="inlineStr">
        <is>
          <t>2026-03-07 13:28:46</t>
        </is>
      </c>
      <c r="G754" t="inlineStr">
        <is>
          <t>图文</t>
        </is>
      </c>
      <c r="H754" t="inlineStr">
        <is>
          <t>手剥虾仁 无冰衣无添加 低脂餐一人食 上班带饭 顺丰包邮 5盒装</t>
        </is>
      </c>
      <c r="I754" t="inlineStr">
        <is>
          <t>694baba01d450d00013662f0</t>
        </is>
      </c>
      <c r="J754" t="inlineStr">
        <is>
          <t/>
        </is>
      </c>
      <c r="K754" t="n">
        <v>0.0</v>
      </c>
      <c r="L754" t="n">
        <v>0.0</v>
      </c>
      <c r="M754" t="n">
        <v>1.0</v>
      </c>
      <c r="N754" t="n">
        <v>1.0</v>
      </c>
      <c r="O754" t="n">
        <v>1.0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inlineStr">
        <is>
          <t/>
        </is>
      </c>
      <c r="X754" t="n">
        <v>0.0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1.0</v>
      </c>
      <c r="AE754" t="n">
        <v>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n">
        <v>4.0</v>
      </c>
      <c r="AL754" t="inlineStr">
        <is>
          <t/>
        </is>
      </c>
    </row>
    <row r="755">
      <c r="A755" t="inlineStr">
        <is>
          <t>我也不想买阿，可69r能吃一周减脂餐了</t>
        </is>
      </c>
      <c r="B755" t="inlineStr">
        <is>
          <t>69aab1d9000000000e00c75a</t>
        </is>
      </c>
      <c r="C755" s="754" t="n">
        <f>HYPERLINK("https://www.xiaohongshu.com/explore/69aab1d9000000000e00c75a?xsec_token=TB8xU8BGf5cxJmpLtWj3taca0aQty6KXT8F8rt0JF2wko=&amp;xsec_source=pc_trdark","https://www.xiaohongshu.com/explore/69aab1d9000000000e00c75a?xsec_token=TB8xU8BGf5cxJmpLtWj3taca0aQty6KXT8F8rt0JF2wko=&amp;xsec_source=pc_trdark")</f>
        <v>0.0</v>
      </c>
      <c r="D755" t="inlineStr">
        <is>
          <t>鲜水湾</t>
        </is>
      </c>
      <c r="E755" t="inlineStr">
        <is>
          <t>49316638994</t>
        </is>
      </c>
      <c r="F755" t="inlineStr">
        <is>
          <t>2026-03-06 18:52:09</t>
        </is>
      </c>
      <c r="G755" t="inlineStr">
        <is>
          <t>图文</t>
        </is>
      </c>
      <c r="H755" t="inlineStr">
        <is>
          <t>大虾基围虾王牌大虾厄瓜多尔白虾盐冻虾仁海洋大虾送礼顺丰包邮</t>
        </is>
      </c>
      <c r="I755" t="inlineStr">
        <is>
          <t>690aeb7be379430001e686ac</t>
        </is>
      </c>
      <c r="J755" t="inlineStr">
        <is>
          <t/>
        </is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inlineStr">
        <is>
          <t/>
        </is>
      </c>
      <c r="R755" t="inlineStr">
        <is>
          <t/>
        </is>
      </c>
      <c r="S755" t="n">
        <v>0.0</v>
      </c>
      <c r="T755" t="n">
        <v>0.0</v>
      </c>
      <c r="U755" t="n">
        <v>0.0</v>
      </c>
      <c r="V755" t="n">
        <v>0.0</v>
      </c>
      <c r="W755" t="inlineStr">
        <is>
          <t/>
        </is>
      </c>
      <c r="X755" t="n">
        <v>0.0</v>
      </c>
      <c r="Y755" t="n">
        <v>0.0</v>
      </c>
      <c r="Z755" t="n">
        <v>2.0</v>
      </c>
      <c r="AA755" t="n">
        <v>0.0</v>
      </c>
      <c r="AB755" t="n">
        <v>0.0</v>
      </c>
      <c r="AC755" t="n">
        <v>0.0</v>
      </c>
      <c r="AD755" t="n">
        <v>1.0</v>
      </c>
      <c r="AE755" t="n">
        <v>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n">
        <v>11.0</v>
      </c>
      <c r="AL755" t="inlineStr">
        <is>
          <t/>
        </is>
      </c>
    </row>
    <row r="756">
      <c r="A756" t="inlineStr">
        <is>
          <t>和老爸商量后，加急定制独居人小包装</t>
        </is>
      </c>
      <c r="B756" t="inlineStr">
        <is>
          <t>69a9695d000000000e03e9cb</t>
        </is>
      </c>
      <c r="C756" s="755" t="n">
        <f>HYPERLINK("https://www.xiaohongshu.com/explore/69a9695d000000000e03e9cb?xsec_token=TBX1UPru9xmrqAy_hfS76TmjIg8YL5wkg2FFHNxiTC0Yg=&amp;xsec_source=pc_trdark","https://www.xiaohongshu.com/explore/69a9695d000000000e03e9cb?xsec_token=TBX1UPru9xmrqAy_hfS76TmjIg8YL5wkg2FFHNxiTC0Yg=&amp;xsec_source=pc_trdark")</f>
        <v>0.0</v>
      </c>
      <c r="D756" t="inlineStr">
        <is>
          <t>鲜水湾</t>
        </is>
      </c>
      <c r="E756" t="inlineStr">
        <is>
          <t>49316638994</t>
        </is>
      </c>
      <c r="F756" t="inlineStr">
        <is>
          <t>2026-03-05 19:30:37</t>
        </is>
      </c>
      <c r="G756" t="inlineStr">
        <is>
          <t>图文</t>
        </is>
      </c>
      <c r="H756" t="inlineStr">
        <is>
          <t>手剥虾仁 无冰衣无添加 低脂餐一人食 上班带饭 顺丰包邮 5盒装</t>
        </is>
      </c>
      <c r="I756" t="inlineStr">
        <is>
          <t>694baba01d450d00013662f0</t>
        </is>
      </c>
      <c r="J756" t="inlineStr">
        <is>
          <t/>
        </is>
      </c>
      <c r="K756" t="n">
        <v>0.0</v>
      </c>
      <c r="L756" t="n">
        <v>0.0</v>
      </c>
      <c r="M756" t="n">
        <v>1.0</v>
      </c>
      <c r="N756" t="n">
        <v>1.0</v>
      </c>
      <c r="O756" t="n">
        <v>1.0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inlineStr">
        <is>
          <t/>
        </is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1.0</v>
      </c>
      <c r="AE756" t="n">
        <v>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n">
        <v>9.0</v>
      </c>
      <c r="AL756" t="inlineStr">
        <is>
          <t/>
        </is>
      </c>
    </row>
    <row r="757">
      <c r="A757" t="inlineStr">
        <is>
          <t>别再节食了！打工人这样吃，反而瘦得快</t>
        </is>
      </c>
      <c r="B757" t="inlineStr">
        <is>
          <t>69a91ce00000000028023ab3</t>
        </is>
      </c>
      <c r="C757" s="756" t="n">
        <f>HYPERLINK("https://www.xiaohongshu.com/explore/69a91ce00000000028023ab3?xsec_token=TBX1UPru9xmrqAy_hfS76TmnQV2vtn3hOozsdXNiQBY2U=&amp;xsec_source=pc_trdark","https://www.xiaohongshu.com/explore/69a91ce00000000028023ab3?xsec_token=TBX1UPru9xmrqAy_hfS76TmnQV2vtn3hOozsdXNiQBY2U=&amp;xsec_source=pc_trdark")</f>
        <v>0.0</v>
      </c>
      <c r="D757" t="inlineStr">
        <is>
          <t>鲜水湾</t>
        </is>
      </c>
      <c r="E757" t="inlineStr">
        <is>
          <t>49316638994</t>
        </is>
      </c>
      <c r="F757" t="inlineStr">
        <is>
          <t>2026-03-05 14:04:16</t>
        </is>
      </c>
      <c r="G757" t="inlineStr">
        <is>
          <t>图文</t>
        </is>
      </c>
      <c r="H757" t="inlineStr">
        <is>
          <t>大虾基围虾王牌大虾厄瓜多尔白虾盐冻虾仁海洋大虾送礼顺丰包邮</t>
        </is>
      </c>
      <c r="I757" t="inlineStr">
        <is>
          <t>690aeb7be379430001e686ac</t>
        </is>
      </c>
      <c r="J757" t="inlineStr">
        <is>
          <t/>
        </is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inlineStr">
        <is>
          <t/>
        </is>
      </c>
      <c r="R757" t="inlineStr">
        <is>
          <t/>
        </is>
      </c>
      <c r="S757" t="n">
        <v>0.0</v>
      </c>
      <c r="T757" t="n">
        <v>0.0</v>
      </c>
      <c r="U757" t="n">
        <v>0.0</v>
      </c>
      <c r="V757" t="n">
        <v>0.0</v>
      </c>
      <c r="W757" t="inlineStr">
        <is>
          <t/>
        </is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1.0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7.0</v>
      </c>
      <c r="AL757" t="inlineStr">
        <is>
          <t/>
        </is>
      </c>
    </row>
    <row r="758">
      <c r="A758" t="inlineStr">
        <is>
          <t>每天带一盒虾仁上班，同事说我很有钱</t>
        </is>
      </c>
      <c r="B758" t="inlineStr">
        <is>
          <t>69a7ec23000000000e00df59</t>
        </is>
      </c>
      <c r="C758" s="757" t="n">
        <f>HYPERLINK("https://www.xiaohongshu.com/explore/69a7ec23000000000e00df59?xsec_token=TBfaHJOfbObHzNAqAc3bkGM8GaTNmLE8VCEgovFydZlgw=&amp;xsec_source=pc_trdark","https://www.xiaohongshu.com/explore/69a7ec23000000000e00df59?xsec_token=TBfaHJOfbObHzNAqAc3bkGM8GaTNmLE8VCEgovFydZlgw=&amp;xsec_source=pc_trdark")</f>
        <v>0.0</v>
      </c>
      <c r="D758" t="inlineStr">
        <is>
          <t>鲜水湾</t>
        </is>
      </c>
      <c r="E758" t="inlineStr">
        <is>
          <t>49316638994</t>
        </is>
      </c>
      <c r="F758" t="inlineStr">
        <is>
          <t>2026-03-04 16:24:03</t>
        </is>
      </c>
      <c r="G758" t="inlineStr">
        <is>
          <t>图文</t>
        </is>
      </c>
      <c r="H758" t="inlineStr">
        <is>
          <t>大虾基围虾王牌大虾厄瓜多尔白虾盐冻虾仁海洋大虾送礼顺丰包邮</t>
        </is>
      </c>
      <c r="I758" t="inlineStr">
        <is>
          <t>690aeb7be379430001e686ac</t>
        </is>
      </c>
      <c r="J758" t="inlineStr">
        <is>
          <t/>
        </is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inlineStr">
        <is>
          <t/>
        </is>
      </c>
      <c r="R758" t="inlineStr">
        <is>
          <t/>
        </is>
      </c>
      <c r="S758" t="n">
        <v>0.0</v>
      </c>
      <c r="T758" t="n">
        <v>0.0</v>
      </c>
      <c r="U758" t="n">
        <v>0.0</v>
      </c>
      <c r="V758" t="n">
        <v>0.0</v>
      </c>
      <c r="W758" t="inlineStr">
        <is>
          <t/>
        </is>
      </c>
      <c r="X758" t="n">
        <v>0.0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1.0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2.0</v>
      </c>
      <c r="AL758" t="inlineStr">
        <is>
          <t/>
        </is>
      </c>
    </row>
    <row r="759">
      <c r="A759" t="inlineStr">
        <is>
          <t>为啥很少有人减脂主食吃虾呀</t>
        </is>
      </c>
      <c r="B759" t="inlineStr">
        <is>
          <t>69a79f18000000001a01c308</t>
        </is>
      </c>
      <c r="C759" s="758" t="n">
        <f>HYPERLINK("https://www.xiaohongshu.com/explore/69a79f18000000001a01c308?xsec_token=TBfaHJOfbObHzNAqAc3bkGM5wmdlu1k2lW06obbGvDPZ0=&amp;xsec_source=pc_trdark","https://www.xiaohongshu.com/explore/69a79f18000000001a01c308?xsec_token=TBfaHJOfbObHzNAqAc3bkGM5wmdlu1k2lW06obbGvDPZ0=&amp;xsec_source=pc_trdark")</f>
        <v>0.0</v>
      </c>
      <c r="D759" t="inlineStr">
        <is>
          <t>鲜水湾</t>
        </is>
      </c>
      <c r="E759" t="inlineStr">
        <is>
          <t>49316638994</t>
        </is>
      </c>
      <c r="F759" t="inlineStr">
        <is>
          <t>2026-03-04 10:55:20</t>
        </is>
      </c>
      <c r="G759" t="inlineStr">
        <is>
          <t>图文</t>
        </is>
      </c>
      <c r="H759" t="inlineStr">
        <is>
          <t>大虾基围虾王牌大虾厄瓜多尔白虾盐冻虾仁海洋大虾送礼顺丰包邮</t>
        </is>
      </c>
      <c r="I759" t="inlineStr">
        <is>
          <t>690aeb7be379430001e686ac</t>
        </is>
      </c>
      <c r="J759" t="inlineStr">
        <is>
          <t/>
        </is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inlineStr">
        <is>
          <t/>
        </is>
      </c>
      <c r="R759" t="inlineStr">
        <is>
          <t/>
        </is>
      </c>
      <c r="S759" t="n">
        <v>0.0</v>
      </c>
      <c r="T759" t="n">
        <v>0.0</v>
      </c>
      <c r="U759" t="n">
        <v>0.0</v>
      </c>
      <c r="V759" t="n">
        <v>0.0</v>
      </c>
      <c r="W759" t="inlineStr">
        <is>
          <t/>
        </is>
      </c>
      <c r="X759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1.0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n">
        <v>5.0</v>
      </c>
      <c r="AL759" t="inlineStr">
        <is>
          <t/>
        </is>
      </c>
    </row>
    <row r="760">
      <c r="A760" t="inlineStr">
        <is>
          <t>60来块够我吃一周的减脂餐的了</t>
        </is>
      </c>
      <c r="B760" t="inlineStr">
        <is>
          <t>69a69f6c000000001a027b60</t>
        </is>
      </c>
      <c r="C760" s="759" t="n">
        <f>HYPERLINK("https://www.xiaohongshu.com/explore/69a69f6c000000001a027b60?xsec_token=TBDC5ayGxbZoC8jUhTnn-Nf_T0qnggcL4GJo9lfGl9hv4=&amp;xsec_source=pc_trdark","https://www.xiaohongshu.com/explore/69a69f6c000000001a027b60?xsec_token=TBDC5ayGxbZoC8jUhTnn-Nf_T0qnggcL4GJo9lfGl9hv4=&amp;xsec_source=pc_trdark")</f>
        <v>0.0</v>
      </c>
      <c r="D760" t="inlineStr">
        <is>
          <t>鲜水湾</t>
        </is>
      </c>
      <c r="E760" t="inlineStr">
        <is>
          <t>49316638994</t>
        </is>
      </c>
      <c r="F760" t="inlineStr">
        <is>
          <t>2026-03-03 16:44:28</t>
        </is>
      </c>
      <c r="G760" t="inlineStr">
        <is>
          <t>图文</t>
        </is>
      </c>
      <c r="H760" t="inlineStr">
        <is>
          <t>大虾基围虾王牌大虾厄瓜多尔白虾盐冻虾仁海洋大虾送礼顺丰包邮</t>
        </is>
      </c>
      <c r="I760" t="inlineStr">
        <is>
          <t>690aeb7be379430001e686ac</t>
        </is>
      </c>
      <c r="J760" t="inlineStr">
        <is>
          <t/>
        </is>
      </c>
      <c r="K760" t="n">
        <v>0.0</v>
      </c>
      <c r="L760" t="n">
        <v>0.0</v>
      </c>
      <c r="M760" t="n">
        <v>1.0</v>
      </c>
      <c r="N760" t="n">
        <v>1.0</v>
      </c>
      <c r="O760" t="n">
        <v>1.0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inlineStr">
        <is>
          <t/>
        </is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1.0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n">
        <v>24.0</v>
      </c>
      <c r="AL760" t="inlineStr">
        <is>
          <t/>
        </is>
      </c>
    </row>
    <row r="761">
      <c r="A761" t="inlineStr">
        <is>
          <t>年后减脂真花不了几个钱，98够吃一周了</t>
        </is>
      </c>
      <c r="B761" t="inlineStr">
        <is>
          <t>69a50939000000000d009d8a</t>
        </is>
      </c>
      <c r="C761" s="760" t="n">
        <f>HYPERLINK("https://www.xiaohongshu.com/explore/69a50939000000000d009d8a?xsec_token=TBYlw7GbYDMDbP_5WWJv6Kp7mEVeZNQ4uyp_1MnQ0_B58=&amp;xsec_source=pc_trdark","https://www.xiaohongshu.com/explore/69a50939000000000d009d8a?xsec_token=TBYlw7GbYDMDbP_5WWJv6Kp7mEVeZNQ4uyp_1MnQ0_B58=&amp;xsec_source=pc_trdark")</f>
        <v>0.0</v>
      </c>
      <c r="D761" t="inlineStr">
        <is>
          <t>鲜水湾</t>
        </is>
      </c>
      <c r="E761" t="inlineStr">
        <is>
          <t>49316638994</t>
        </is>
      </c>
      <c r="F761" t="inlineStr">
        <is>
          <t>2026-03-02 11:51:21</t>
        </is>
      </c>
      <c r="G761" t="inlineStr">
        <is>
          <t>图文</t>
        </is>
      </c>
      <c r="H761" t="inlineStr">
        <is>
          <t>手剥虾仁 无冰衣无添加 低脂餐一人食 上班带饭 顺丰包邮 5盒装</t>
        </is>
      </c>
      <c r="I761" t="inlineStr">
        <is>
          <t>694baba01d450d00013662f0</t>
        </is>
      </c>
      <c r="J761" t="inlineStr">
        <is>
          <t/>
        </is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inlineStr">
        <is>
          <t/>
        </is>
      </c>
      <c r="R761" t="inlineStr">
        <is>
          <t/>
        </is>
      </c>
      <c r="S761" t="n">
        <v>0.0</v>
      </c>
      <c r="T761" t="n">
        <v>0.0</v>
      </c>
      <c r="U761" t="n">
        <v>0.0</v>
      </c>
      <c r="V761" t="n">
        <v>0.0</v>
      </c>
      <c r="W761" t="inlineStr">
        <is>
          <t/>
        </is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1.0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7.0</v>
      </c>
      <c r="AL761" t="inlineStr">
        <is>
          <t/>
        </is>
      </c>
    </row>
    <row r="762">
      <c r="A762" t="inlineStr">
        <is>
          <t>大学生闭眼入！感受一下60块的购买力</t>
        </is>
      </c>
      <c r="B762" t="inlineStr">
        <is>
          <t>69a2a0c60000000026033610</t>
        </is>
      </c>
      <c r="C762" s="761" t="n">
        <f>HYPERLINK("https://www.xiaohongshu.com/explore/69a2a0c60000000026033610?xsec_token=TBUws-qSGfQm7WfIK5gxFwZ_p1fpXI9YdGl6qrssTlDZg=&amp;xsec_source=pc_trdark","https://www.xiaohongshu.com/explore/69a2a0c60000000026033610?xsec_token=TBUws-qSGfQm7WfIK5gxFwZ_p1fpXI9YdGl6qrssTlDZg=&amp;xsec_source=pc_trdark")</f>
        <v>0.0</v>
      </c>
      <c r="D762" t="inlineStr">
        <is>
          <t>鲜水湾甄选</t>
        </is>
      </c>
      <c r="E762" t="inlineStr">
        <is>
          <t>27401929161</t>
        </is>
      </c>
      <c r="F762" t="inlineStr">
        <is>
          <t>2026-02-28 16:01:10</t>
        </is>
      </c>
      <c r="G762" t="inlineStr">
        <is>
          <t>图文</t>
        </is>
      </c>
      <c r="H762" t="inlineStr">
        <is>
          <t>北极甜虾头籽甜虾元宝虾北极熊冰虾孕妈妈宝宝辅食顺丰</t>
        </is>
      </c>
      <c r="I762" t="inlineStr">
        <is>
          <t>6953717eb8f0bb000115158d</t>
        </is>
      </c>
      <c r="J762" t="inlineStr">
        <is>
          <t/>
        </is>
      </c>
      <c r="K762" t="n">
        <v>0.0</v>
      </c>
      <c r="L762" t="n">
        <v>0.0</v>
      </c>
      <c r="M762" t="n">
        <v>1.0</v>
      </c>
      <c r="N762" t="n">
        <v>1.0</v>
      </c>
      <c r="O762" t="n">
        <v>1.0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inlineStr">
        <is>
          <t/>
        </is>
      </c>
      <c r="X762" t="n">
        <v>0.0</v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1.0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n">
        <v>13.0</v>
      </c>
      <c r="AL762" t="inlineStr">
        <is>
          <t/>
        </is>
      </c>
    </row>
    <row r="763">
      <c r="A763" t="inlineStr">
        <is>
          <t>这么来上一碗真是惬意🥹</t>
        </is>
      </c>
      <c r="B763" t="inlineStr">
        <is>
          <t>69a29461000000002303bafd</t>
        </is>
      </c>
      <c r="C763" s="762" t="n">
        <f>HYPERLINK("https://www.xiaohongshu.com/explore/69a29461000000002303bafd?xsec_token=TBUws-qSGfQm7WfIK5gxFwZ8sejI1ODrburauKiQhKO1g=&amp;xsec_source=pc_trdark","https://www.xiaohongshu.com/explore/69a29461000000002303bafd?xsec_token=TBUws-qSGfQm7WfIK5gxFwZ8sejI1ODrburauKiQhKO1g=&amp;xsec_source=pc_trdark")</f>
        <v>0.0</v>
      </c>
      <c r="D763" t="inlineStr">
        <is>
          <t>鲜水湾甄选</t>
        </is>
      </c>
      <c r="E763" t="inlineStr">
        <is>
          <t>27401929161</t>
        </is>
      </c>
      <c r="F763" t="inlineStr">
        <is>
          <t>2026-02-28 15:08:17</t>
        </is>
      </c>
      <c r="G763" t="inlineStr">
        <is>
          <t>图文</t>
        </is>
      </c>
      <c r="H763" t="inlineStr">
        <is>
          <t>北极甜虾头籽甜虾元宝虾北极熊冰虾孕妈妈宝宝辅食顺丰</t>
        </is>
      </c>
      <c r="I763" t="inlineStr">
        <is>
          <t>6953717eb8f0bb000115158d</t>
        </is>
      </c>
      <c r="J763" t="inlineStr">
        <is>
          <t/>
        </is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inlineStr">
        <is>
          <t/>
        </is>
      </c>
      <c r="R763" t="inlineStr">
        <is>
          <t/>
        </is>
      </c>
      <c r="S763" t="n">
        <v>0.0</v>
      </c>
      <c r="T763" t="n">
        <v>0.0</v>
      </c>
      <c r="U763" t="n">
        <v>0.0</v>
      </c>
      <c r="V763" t="n">
        <v>0.0</v>
      </c>
      <c r="W763" t="inlineStr">
        <is>
          <t/>
        </is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1.0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n">
        <v>1.0</v>
      </c>
      <c r="AL763" t="inlineStr">
        <is>
          <t/>
        </is>
      </c>
    </row>
    <row r="764">
      <c r="A764" t="inlineStr">
        <is>
          <t>爸妈总说我天天吃虾仁太奢侈</t>
        </is>
      </c>
      <c r="B764" t="inlineStr">
        <is>
          <t>69a1874b000000001a02fb68</t>
        </is>
      </c>
      <c r="C764" s="763" t="n">
        <f>HYPERLINK("https://www.xiaohongshu.com/explore/69a1874b000000001a02fb68?xsec_token=TBk7Tu9foWGIsieMmGc2tlwnc7IeAhOdINS519yk2z4JA=&amp;xsec_source=pc_trdark","https://www.xiaohongshu.com/explore/69a1874b000000001a02fb68?xsec_token=TBk7Tu9foWGIsieMmGc2tlwnc7IeAhOdINS519yk2z4JA=&amp;xsec_source=pc_trdark")</f>
        <v>0.0</v>
      </c>
      <c r="D764" t="inlineStr">
        <is>
          <t>鲜水湾</t>
        </is>
      </c>
      <c r="E764" t="inlineStr">
        <is>
          <t>49316638994</t>
        </is>
      </c>
      <c r="F764" t="inlineStr">
        <is>
          <t>2026-02-27 20:00:11</t>
        </is>
      </c>
      <c r="G764" t="inlineStr">
        <is>
          <t>图文</t>
        </is>
      </c>
      <c r="H764" t="inlineStr">
        <is>
          <t>手剥虾仁 无冰衣无添加 低脂餐一人食 上班带饭 顺丰包邮 5盒装</t>
        </is>
      </c>
      <c r="I764" t="inlineStr">
        <is>
          <t>694baba01d450d00013662f0</t>
        </is>
      </c>
      <c r="J764" t="inlineStr">
        <is>
          <t/>
        </is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inlineStr">
        <is>
          <t/>
        </is>
      </c>
      <c r="R764" t="inlineStr">
        <is>
          <t/>
        </is>
      </c>
      <c r="S764" t="n">
        <v>0.0</v>
      </c>
      <c r="T764" t="n">
        <v>0.0</v>
      </c>
      <c r="U764" t="n">
        <v>0.0</v>
      </c>
      <c r="V764" t="n">
        <v>0.0</v>
      </c>
      <c r="W764" t="inlineStr">
        <is>
          <t/>
        </is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1.0</v>
      </c>
      <c r="AE764" t="n">
        <v>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n">
        <v>43.0</v>
      </c>
      <c r="AL764" t="inlineStr">
        <is>
          <t/>
        </is>
      </c>
    </row>
    <row r="765">
      <c r="A765" t="inlineStr">
        <is>
          <t>过完年发现，原来大家都有干净饮食的习惯</t>
        </is>
      </c>
      <c r="B765" t="inlineStr">
        <is>
          <t>69a160d6000000002801f58c</t>
        </is>
      </c>
      <c r="C765" s="764" t="n">
        <f>HYPERLINK("https://www.xiaohongshu.com/explore/69a160d6000000002801f58c?xsec_token=TBk7Tu9foWGIsieMmGc2tlwn3IVM8DCpwZscGUlDTO2Mk=&amp;xsec_source=pc_trdark","https://www.xiaohongshu.com/explore/69a160d6000000002801f58c?xsec_token=TBk7Tu9foWGIsieMmGc2tlwn3IVM8DCpwZscGUlDTO2Mk=&amp;xsec_source=pc_trdark")</f>
        <v>0.0</v>
      </c>
      <c r="D765" t="inlineStr">
        <is>
          <t>鲜水湾</t>
        </is>
      </c>
      <c r="E765" t="inlineStr">
        <is>
          <t>49316638994</t>
        </is>
      </c>
      <c r="F765" t="inlineStr">
        <is>
          <t>2026-02-27 17:16:06</t>
        </is>
      </c>
      <c r="G765" t="inlineStr">
        <is>
          <t>图文</t>
        </is>
      </c>
      <c r="H765" t="inlineStr">
        <is>
          <t>手剥虾仁 无冰衣无添加 低脂餐一人食 上班带饭 顺丰包邮 5盒装</t>
        </is>
      </c>
      <c r="I765" t="inlineStr">
        <is>
          <t>694baba01d450d00013662f0</t>
        </is>
      </c>
      <c r="J765" t="inlineStr">
        <is>
          <t/>
        </is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inlineStr">
        <is>
          <t/>
        </is>
      </c>
      <c r="R765" t="inlineStr">
        <is>
          <t/>
        </is>
      </c>
      <c r="S765" t="n">
        <v>0.0</v>
      </c>
      <c r="T765" t="n">
        <v>0.0</v>
      </c>
      <c r="U765" t="n">
        <v>0.0</v>
      </c>
      <c r="V765" t="n">
        <v>0.0</v>
      </c>
      <c r="W765" t="inlineStr">
        <is>
          <t/>
        </is>
      </c>
      <c r="X765" t="n">
        <v>0.0</v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1.0</v>
      </c>
      <c r="AE765" t="n">
        <v>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n">
        <v>5.0</v>
      </c>
      <c r="AL765" t="inlineStr">
        <is>
          <t/>
        </is>
      </c>
    </row>
    <row r="766">
      <c r="A766" t="inlineStr">
        <is>
          <t>甜虾脑袋表示这一碗很满足！</t>
        </is>
      </c>
      <c r="B766" t="inlineStr">
        <is>
          <t>69a145ef000000002602fa15</t>
        </is>
      </c>
      <c r="C766" s="765" t="n">
        <f>HYPERLINK("https://www.xiaohongshu.com/explore/69a145ef000000002602fa15?xsec_token=TBk7Tu9foWGIsieMmGc2tlwht6OnSE4kkOsOYjo1eAMaE=&amp;xsec_source=pc_trdark","https://www.xiaohongshu.com/explore/69a145ef000000002602fa15?xsec_token=TBk7Tu9foWGIsieMmGc2tlwht6OnSE4kkOsOYjo1eAMaE=&amp;xsec_source=pc_trdark")</f>
        <v>0.0</v>
      </c>
      <c r="D766" t="inlineStr">
        <is>
          <t>鲜水湾甄选</t>
        </is>
      </c>
      <c r="E766" t="inlineStr">
        <is>
          <t>27401929161</t>
        </is>
      </c>
      <c r="F766" t="inlineStr">
        <is>
          <t>2026-02-27 15:21:19</t>
        </is>
      </c>
      <c r="G766" t="inlineStr">
        <is>
          <t>图文</t>
        </is>
      </c>
      <c r="H766" t="inlineStr">
        <is>
          <t>北极甜虾头籽甜虾元宝虾北极熊冰虾孕妈妈宝宝辅食顺丰</t>
        </is>
      </c>
      <c r="I766" t="inlineStr">
        <is>
          <t>6953717eb8f0bb000115158d</t>
        </is>
      </c>
      <c r="J766" t="inlineStr">
        <is>
          <t/>
        </is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inlineStr">
        <is>
          <t/>
        </is>
      </c>
      <c r="R766" t="inlineStr">
        <is>
          <t/>
        </is>
      </c>
      <c r="S766" t="n">
        <v>0.0</v>
      </c>
      <c r="T766" t="n">
        <v>0.0</v>
      </c>
      <c r="U766" t="n">
        <v>0.0</v>
      </c>
      <c r="V766" t="n">
        <v>0.0</v>
      </c>
      <c r="W766" t="inlineStr">
        <is>
          <t/>
        </is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1.0</v>
      </c>
      <c r="AE766" t="n">
        <v>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n">
        <v>4.0</v>
      </c>
      <c r="AL766" t="inlineStr">
        <is>
          <t/>
        </is>
      </c>
    </row>
    <row r="767">
      <c r="A767" t="inlineStr">
        <is>
          <t>年后，打工人带饭！</t>
        </is>
      </c>
      <c r="B767" t="inlineStr">
        <is>
          <t>69a0ffd8000000001a032e1b</t>
        </is>
      </c>
      <c r="C767" s="766" t="n">
        <f>HYPERLINK("https://www.xiaohongshu.com/explore/69a0ffd8000000001a032e1b?xsec_token=TBGIgfrKGy2wDtxaQW-J26Ge221lUHCIC8B3V6DnDx7fE=&amp;xsec_source=pc_trdark","https://www.xiaohongshu.com/explore/69a0ffd8000000001a032e1b?xsec_token=TBGIgfrKGy2wDtxaQW-J26Ge221lUHCIC8B3V6DnDx7fE=&amp;xsec_source=pc_trdark")</f>
        <v>0.0</v>
      </c>
      <c r="D767" t="inlineStr">
        <is>
          <t>鲜水湾</t>
        </is>
      </c>
      <c r="E767" t="inlineStr">
        <is>
          <t>49316638994</t>
        </is>
      </c>
      <c r="F767" t="inlineStr">
        <is>
          <t>2026-02-27 10:22:16</t>
        </is>
      </c>
      <c r="G767" t="inlineStr">
        <is>
          <t>图文</t>
        </is>
      </c>
      <c r="H767" t="inlineStr">
        <is>
          <t>智利三文鱼切块·整条三文鱼·深海鱼一人食健康饮食</t>
        </is>
      </c>
      <c r="I767" t="inlineStr">
        <is>
          <t>691ac562a524ee0001b51d7b</t>
        </is>
      </c>
      <c r="J767" t="inlineStr">
        <is>
          <t/>
        </is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inlineStr">
        <is>
          <t/>
        </is>
      </c>
      <c r="R767" t="inlineStr">
        <is>
          <t/>
        </is>
      </c>
      <c r="S767" t="n">
        <v>0.0</v>
      </c>
      <c r="T767" t="n">
        <v>0.0</v>
      </c>
      <c r="U767" t="n">
        <v>0.0</v>
      </c>
      <c r="V767" t="n">
        <v>0.0</v>
      </c>
      <c r="W767" t="inlineStr">
        <is>
          <t/>
        </is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1.0</v>
      </c>
      <c r="AE767" t="n">
        <v>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n">
        <v>1.0</v>
      </c>
      <c r="AL767" t="inlineStr">
        <is>
          <t/>
        </is>
      </c>
    </row>
    <row r="768">
      <c r="A768" t="inlineStr">
        <is>
          <t>甜虾脑袋表示这一口很满足！</t>
        </is>
      </c>
      <c r="B768" t="inlineStr">
        <is>
          <t>699ff98e000000002202f0d8</t>
        </is>
      </c>
      <c r="C768" s="767" t="n">
        <f>HYPERLINK("https://www.xiaohongshu.com/explore/699ff98e000000002202f0d8?xsec_token=TBmPrNsEp7sytnt8BzCMtNTaMkhYIiAdPNLY8aLbg_sXE=&amp;xsec_source=pc_trdark","https://www.xiaohongshu.com/explore/699ff98e000000002202f0d8?xsec_token=TBmPrNsEp7sytnt8BzCMtNTaMkhYIiAdPNLY8aLbg_sXE=&amp;xsec_source=pc_trdark")</f>
        <v>0.0</v>
      </c>
      <c r="D768" t="inlineStr">
        <is>
          <t>鲜水湾甄选</t>
        </is>
      </c>
      <c r="E768" t="inlineStr">
        <is>
          <t>27401929161</t>
        </is>
      </c>
      <c r="F768" t="inlineStr">
        <is>
          <t>2026-02-26 15:43:10</t>
        </is>
      </c>
      <c r="G768" t="inlineStr">
        <is>
          <t>图文</t>
        </is>
      </c>
      <c r="H768" t="inlineStr">
        <is>
          <t>北极甜虾头籽甜虾元宝虾北极熊冰虾孕妈妈宝宝辅食顺丰</t>
        </is>
      </c>
      <c r="I768" t="inlineStr">
        <is>
          <t>6953717eb8f0bb000115158d</t>
        </is>
      </c>
      <c r="J768" t="inlineStr">
        <is>
          <t/>
        </is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inlineStr">
        <is>
          <t/>
        </is>
      </c>
      <c r="R768" t="inlineStr">
        <is>
          <t/>
        </is>
      </c>
      <c r="S768" t="n">
        <v>0.0</v>
      </c>
      <c r="T768" t="n">
        <v>0.0</v>
      </c>
      <c r="U768" t="n">
        <v>0.0</v>
      </c>
      <c r="V768" t="n">
        <v>0.0</v>
      </c>
      <c r="W768" t="inlineStr">
        <is>
          <t/>
        </is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1.0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6.0</v>
      </c>
      <c r="AL768" t="inlineStr">
        <is>
          <t/>
        </is>
      </c>
    </row>
    <row r="769">
      <c r="A769" t="inlineStr">
        <is>
          <t>爱你老己！在家实现甜虾自由啦！🦐</t>
        </is>
      </c>
      <c r="B769" t="inlineStr">
        <is>
          <t>699fea210000000022023cfc</t>
        </is>
      </c>
      <c r="C769" s="768" t="n">
        <f>HYPERLINK("https://www.xiaohongshu.com/explore/699fea210000000022023cfc?xsec_token=TBmPrNsEp7sytnt8BzCMtNTbV_A83oXoinluU54mgQEos=&amp;xsec_source=pc_trdark","https://www.xiaohongshu.com/explore/699fea210000000022023cfc?xsec_token=TBmPrNsEp7sytnt8BzCMtNTbV_A83oXoinluU54mgQEos=&amp;xsec_source=pc_trdark")</f>
        <v>0.0</v>
      </c>
      <c r="D769" t="inlineStr">
        <is>
          <t>鲜水湾甄选</t>
        </is>
      </c>
      <c r="E769" t="inlineStr">
        <is>
          <t>27401929161</t>
        </is>
      </c>
      <c r="F769" t="inlineStr">
        <is>
          <t>2026-02-26 14:37:21</t>
        </is>
      </c>
      <c r="G769" t="inlineStr">
        <is>
          <t>图文</t>
        </is>
      </c>
      <c r="H769" t="inlineStr">
        <is>
          <t>北极甜虾头籽甜虾元宝虾北极熊冰虾孕妈妈宝宝辅食顺丰</t>
        </is>
      </c>
      <c r="I769" t="inlineStr">
        <is>
          <t>6953717eb8f0bb000115158d</t>
        </is>
      </c>
      <c r="J769" t="inlineStr">
        <is>
          <t/>
        </is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inlineStr">
        <is>
          <t/>
        </is>
      </c>
      <c r="R769" t="inlineStr">
        <is>
          <t/>
        </is>
      </c>
      <c r="S769" t="n">
        <v>0.0</v>
      </c>
      <c r="T769" t="n">
        <v>0.0</v>
      </c>
      <c r="U769" t="n">
        <v>0.0</v>
      </c>
      <c r="V769" t="n">
        <v>0.0</v>
      </c>
      <c r="W769" t="inlineStr">
        <is>
          <t/>
        </is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1.0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6.0</v>
      </c>
      <c r="AL769" t="inlineStr">
        <is>
          <t/>
        </is>
      </c>
    </row>
    <row r="770">
      <c r="A770" t="inlineStr">
        <is>
          <t>高质量减脂餐，承包了我一年！</t>
        </is>
      </c>
      <c r="B770" t="inlineStr">
        <is>
          <t>699fe58b000000002801d856</t>
        </is>
      </c>
      <c r="C770" s="769" t="n">
        <f>HYPERLINK("https://www.xiaohongshu.com/explore/699fe58b000000002801d856?xsec_token=TBmPrNsEp7sytnt8BzCMtNTdu4DBCApZldWnsq-RwyRo8=&amp;xsec_source=pc_trdark","https://www.xiaohongshu.com/explore/699fe58b000000002801d856?xsec_token=TBmPrNsEp7sytnt8BzCMtNTdu4DBCApZldWnsq-RwyRo8=&amp;xsec_source=pc_trdark")</f>
        <v>0.0</v>
      </c>
      <c r="D770" t="inlineStr">
        <is>
          <t>鲜水湾</t>
        </is>
      </c>
      <c r="E770" t="inlineStr">
        <is>
          <t>49316638994</t>
        </is>
      </c>
      <c r="F770" t="inlineStr">
        <is>
          <t>2026-02-26 14:17:47</t>
        </is>
      </c>
      <c r="G770" t="inlineStr">
        <is>
          <t>图文</t>
        </is>
      </c>
      <c r="H770" t="inlineStr">
        <is>
          <t>智利三文鱼切块·整条三文鱼·深海鱼一人食健康饮食</t>
        </is>
      </c>
      <c r="I770" t="inlineStr">
        <is>
          <t>691ac562a524ee0001b51d7b</t>
        </is>
      </c>
      <c r="J770" t="inlineStr">
        <is>
          <t/>
        </is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inlineStr">
        <is>
          <t/>
        </is>
      </c>
      <c r="R770" t="inlineStr">
        <is>
          <t/>
        </is>
      </c>
      <c r="S770" t="n">
        <v>0.0</v>
      </c>
      <c r="T770" t="n">
        <v>0.0</v>
      </c>
      <c r="U770" t="n">
        <v>0.0</v>
      </c>
      <c r="V770" t="n">
        <v>0.0</v>
      </c>
      <c r="W770" t="inlineStr">
        <is>
          <t/>
        </is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1.0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2.0</v>
      </c>
      <c r="AL770" t="inlineStr">
        <is>
          <t/>
        </is>
      </c>
    </row>
    <row r="771">
      <c r="A771" t="inlineStr">
        <is>
          <t>控体期提前结束！大功臣是海捕大虾！🎉</t>
        </is>
      </c>
      <c r="B771" t="inlineStr">
        <is>
          <t>699fb39f0000000028020ca2</t>
        </is>
      </c>
      <c r="C771" s="770" t="n">
        <f>HYPERLINK("https://www.xiaohongshu.com/explore/699fb39f0000000028020ca2?xsec_token=TBmPrNsEp7sytnt8BzCMtNTSep4pxexPclThTgCS17reI=&amp;xsec_source=pc_trdark","https://www.xiaohongshu.com/explore/699fb39f0000000028020ca2?xsec_token=TBmPrNsEp7sytnt8BzCMtNTSep4pxexPclThTgCS17reI=&amp;xsec_source=pc_trdark")</f>
        <v>0.0</v>
      </c>
      <c r="D771" t="inlineStr">
        <is>
          <t>鲜水湾</t>
        </is>
      </c>
      <c r="E771" t="inlineStr">
        <is>
          <t>49316638994</t>
        </is>
      </c>
      <c r="F771" t="inlineStr">
        <is>
          <t>2026-02-26 10:44:47</t>
        </is>
      </c>
      <c r="G771" t="inlineStr">
        <is>
          <t>图文</t>
        </is>
      </c>
      <c r="H771" t="inlineStr">
        <is>
          <t>大虾基围虾王牌大虾厄瓜多尔白虾盐冻虾仁海洋大虾送礼顺丰包邮</t>
        </is>
      </c>
      <c r="I771" t="inlineStr">
        <is>
          <t>690aeb7be379430001e686ac</t>
        </is>
      </c>
      <c r="J771" t="inlineStr">
        <is>
          <t/>
        </is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inlineStr">
        <is>
          <t/>
        </is>
      </c>
      <c r="R771" t="inlineStr">
        <is>
          <t/>
        </is>
      </c>
      <c r="S771" t="n">
        <v>0.0</v>
      </c>
      <c r="T771" t="n">
        <v>0.0</v>
      </c>
      <c r="U771" t="n">
        <v>0.0</v>
      </c>
      <c r="V771" t="n">
        <v>0.0</v>
      </c>
      <c r="W771" t="inlineStr">
        <is>
          <t/>
        </is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1.0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inlineStr">
        <is>
          <t/>
        </is>
      </c>
    </row>
    <row r="772">
      <c r="A772" t="inlineStr">
        <is>
          <t>立马回购6箱，家附近超市的再也看不上了</t>
        </is>
      </c>
      <c r="B772" t="inlineStr">
        <is>
          <t>698b3b1d000000000a03221b</t>
        </is>
      </c>
      <c r="C772" s="771" t="n">
        <f>HYPERLINK("https://www.xiaohongshu.com/explore/698b3b1d000000000a03221b?xsec_token=TBaxNaL0i9x3ULjrtJNOAFMYrarouGMHyN9XZ3dvMrzZQ=&amp;xsec_source=pc_trdark","https://www.xiaohongshu.com/explore/698b3b1d000000000a03221b?xsec_token=TBaxNaL0i9x3ULjrtJNOAFMYrarouGMHyN9XZ3dvMrzZQ=&amp;xsec_source=pc_trdark")</f>
        <v>0.0</v>
      </c>
      <c r="D772" t="inlineStr">
        <is>
          <t>鲜水湾甄选</t>
        </is>
      </c>
      <c r="E772" t="inlineStr">
        <is>
          <t>27401929161</t>
        </is>
      </c>
      <c r="F772" t="inlineStr">
        <is>
          <t>2026-02-10 22:05:17</t>
        </is>
      </c>
      <c r="G772" t="inlineStr">
        <is>
          <t>图文</t>
        </is>
      </c>
      <c r="H772" t="inlineStr">
        <is>
          <t>大虾基围虾王牌大虾厄瓜多尔白虾盐冻虾仁海洋大虾送礼顺丰包邮</t>
        </is>
      </c>
      <c r="I772" t="inlineStr">
        <is>
          <t>690aeb7be379430001e686ac</t>
        </is>
      </c>
      <c r="J772" t="inlineStr">
        <is>
          <t/>
        </is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inlineStr">
        <is>
          <t/>
        </is>
      </c>
      <c r="R772" t="inlineStr">
        <is>
          <t/>
        </is>
      </c>
      <c r="S772" t="n">
        <v>0.0</v>
      </c>
      <c r="T772" t="n">
        <v>0.0</v>
      </c>
      <c r="U772" t="n">
        <v>0.0</v>
      </c>
      <c r="V772" t="n">
        <v>0.0</v>
      </c>
      <c r="W772" t="inlineStr">
        <is>
          <t/>
        </is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1.0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2.0</v>
      </c>
      <c r="AL772" t="inlineStr">
        <is>
          <t/>
        </is>
      </c>
    </row>
    <row r="773">
      <c r="A773" t="inlineStr">
        <is>
          <t>马上过年了来一箱生蚝全家一起吃</t>
        </is>
      </c>
      <c r="B773" t="inlineStr">
        <is>
          <t>69896f05000000002800accd</t>
        </is>
      </c>
      <c r="C773" s="772" t="n">
        <f>HYPERLINK("https://www.xiaohongshu.com/explore/69896f05000000002800accd?xsec_token=TBeAeWMkLJ9etYlFDlK3pguayI_bIPdxe0qcX9AP1RpLY=&amp;xsec_source=pc_trdark","https://www.xiaohongshu.com/explore/69896f05000000002800accd?xsec_token=TBeAeWMkLJ9etYlFDlK3pguayI_bIPdxe0qcX9AP1RpLY=&amp;xsec_source=pc_trdark")</f>
        <v>0.0</v>
      </c>
      <c r="D773" t="inlineStr">
        <is>
          <t>婉婉上班吃什么</t>
        </is>
      </c>
      <c r="E773" t="inlineStr">
        <is>
          <t>11434449706</t>
        </is>
      </c>
      <c r="F773" t="inlineStr">
        <is>
          <t>2026-02-09 13:22:13</t>
        </is>
      </c>
      <c r="G773" t="inlineStr">
        <is>
          <t>视频</t>
        </is>
      </c>
      <c r="H773" t="inlineStr">
        <is>
          <t>生蚝乳山生蚝海蛎子顺丰包邮</t>
        </is>
      </c>
      <c r="I773" t="inlineStr">
        <is>
          <t>690c70971b787900010866cc</t>
        </is>
      </c>
      <c r="J773" t="n">
        <v>12.0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inlineStr">
        <is>
          <t/>
        </is>
      </c>
      <c r="R773" t="inlineStr">
        <is>
          <t/>
        </is>
      </c>
      <c r="S773" t="n">
        <v>0.0</v>
      </c>
      <c r="T773" t="n">
        <v>0.0</v>
      </c>
      <c r="U773" t="n">
        <v>0.0</v>
      </c>
      <c r="V773" t="n">
        <v>0.0</v>
      </c>
      <c r="W773" t="inlineStr">
        <is>
          <t/>
        </is>
      </c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1.0</v>
      </c>
      <c r="AE773" t="n">
        <v>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n">
        <v>12.0</v>
      </c>
      <c r="AL773" t="n">
        <v>0.5</v>
      </c>
    </row>
    <row r="774">
      <c r="A774" t="inlineStr">
        <is>
          <t>刚刚300块，承包了我一个月的减脂餐</t>
        </is>
      </c>
      <c r="B774" t="inlineStr">
        <is>
          <t>6986e48e000000001a0353d7</t>
        </is>
      </c>
      <c r="C774" s="773" t="n">
        <f>HYPERLINK("https://www.xiaohongshu.com/explore/6986e48e000000001a0353d7?xsec_token=TB-LsRJw2UEyjZbU1RZqmjvhWTsaNSbTkIwPYsJhZg3xc=&amp;xsec_source=pc_trdark","https://www.xiaohongshu.com/explore/6986e48e000000001a0353d7?xsec_token=TB-LsRJw2UEyjZbU1RZqmjvhWTsaNSbTkIwPYsJhZg3xc=&amp;xsec_source=pc_trdark")</f>
        <v>0.0</v>
      </c>
      <c r="D774" t="inlineStr">
        <is>
          <t>鲜水湾</t>
        </is>
      </c>
      <c r="E774" t="inlineStr">
        <is>
          <t>49316638994</t>
        </is>
      </c>
      <c r="F774" t="inlineStr">
        <is>
          <t>2026-02-07 15:06:54</t>
        </is>
      </c>
      <c r="G774" t="inlineStr">
        <is>
          <t>图文</t>
        </is>
      </c>
      <c r="H774" t="inlineStr">
        <is>
          <t>智利三文鱼切块·整条三文鱼·深海鱼一人食健康饮食</t>
        </is>
      </c>
      <c r="I774" t="inlineStr">
        <is>
          <t>691ac562a524ee0001b51d7b</t>
        </is>
      </c>
      <c r="J774" t="inlineStr">
        <is>
          <t/>
        </is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inlineStr">
        <is>
          <t/>
        </is>
      </c>
      <c r="R774" t="inlineStr">
        <is>
          <t/>
        </is>
      </c>
      <c r="S774" t="n">
        <v>0.0</v>
      </c>
      <c r="T774" t="n">
        <v>0.0</v>
      </c>
      <c r="U774" t="n">
        <v>0.0</v>
      </c>
      <c r="V774" t="n">
        <v>0.0</v>
      </c>
      <c r="W774" t="inlineStr">
        <is>
          <t/>
        </is>
      </c>
      <c r="X774" t="n">
        <v>0.0</v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1.0</v>
      </c>
      <c r="AE774" t="n">
        <v>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n">
        <v>4.0</v>
      </c>
      <c r="AL774" t="inlineStr">
        <is>
          <t/>
        </is>
      </c>
    </row>
    <row r="775">
      <c r="A775" t="inlineStr">
        <is>
          <t>区区300块！承包管理期一个月晚餐🍣</t>
        </is>
      </c>
      <c r="B775" t="inlineStr">
        <is>
          <t>698404a5000000001a02515f</t>
        </is>
      </c>
      <c r="C775" s="774" t="n">
        <f>HYPERLINK("https://www.xiaohongshu.com/explore/698404a5000000001a02515f?xsec_token=TBn0ftdrPlwv37Gn1tDFpAI-44n--kANrJmbPcJicRDLM=&amp;xsec_source=pc_trdark","https://www.xiaohongshu.com/explore/698404a5000000001a02515f?xsec_token=TBn0ftdrPlwv37Gn1tDFpAI-44n--kANrJmbPcJicRDLM=&amp;xsec_source=pc_trdark")</f>
        <v>0.0</v>
      </c>
      <c r="D775" t="inlineStr">
        <is>
          <t>鲜水湾</t>
        </is>
      </c>
      <c r="E775" t="inlineStr">
        <is>
          <t>49316638994</t>
        </is>
      </c>
      <c r="F775" t="inlineStr">
        <is>
          <t>2026-02-05 10:47:01</t>
        </is>
      </c>
      <c r="G775" t="inlineStr">
        <is>
          <t>图文</t>
        </is>
      </c>
      <c r="H775" t="inlineStr">
        <is>
          <t>智利三文鱼切块·整条三文鱼·深海鱼一人食健康饮食</t>
        </is>
      </c>
      <c r="I775" t="inlineStr">
        <is>
          <t>691ac562a524ee0001b51d7b</t>
        </is>
      </c>
      <c r="J775" t="inlineStr">
        <is>
          <t/>
        </is>
      </c>
      <c r="K775" t="n">
        <v>0.0</v>
      </c>
      <c r="L775" t="n">
        <v>0.0</v>
      </c>
      <c r="M775" t="n">
        <v>1.0</v>
      </c>
      <c r="N775" t="n">
        <v>1.0</v>
      </c>
      <c r="O775" t="n">
        <v>1.0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inlineStr">
        <is>
          <t/>
        </is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1.0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12.0</v>
      </c>
      <c r="AL775" t="inlineStr">
        <is>
          <t/>
        </is>
      </c>
    </row>
    <row r="776">
      <c r="A776" t="inlineStr">
        <is>
          <t>和爸妈商量后，决定69三斤大虾，试试就500单</t>
        </is>
      </c>
      <c r="B776" t="inlineStr">
        <is>
          <t>69805c08000000001a032143</t>
        </is>
      </c>
      <c r="C776" s="775" t="n">
        <f>HYPERLINK("https://www.xiaohongshu.com/explore/69805c08000000001a032143?xsec_token=TBZp4EcwSVhJKyeKQt7CpumdRVIdyVLOrXzt3H_27kwfc=&amp;xsec_source=pc_trdark","https://www.xiaohongshu.com/explore/69805c08000000001a032143?xsec_token=TBZp4EcwSVhJKyeKQt7CpumdRVIdyVLOrXzt3H_27kwfc=&amp;xsec_source=pc_trdark")</f>
        <v>0.0</v>
      </c>
      <c r="D776" t="inlineStr">
        <is>
          <t>鲜水湾</t>
        </is>
      </c>
      <c r="E776" t="inlineStr">
        <is>
          <t>49316638994</t>
        </is>
      </c>
      <c r="F776" t="inlineStr">
        <is>
          <t>2026-02-02 16:10:48</t>
        </is>
      </c>
      <c r="G776" t="inlineStr">
        <is>
          <t>图文</t>
        </is>
      </c>
      <c r="H776" t="inlineStr">
        <is>
          <t>大虾基围虾王牌大虾厄瓜多尔白虾盐冻虾仁海洋大虾送礼顺丰包邮</t>
        </is>
      </c>
      <c r="I776" t="inlineStr">
        <is>
          <t>690aeb7be379430001e686ac</t>
        </is>
      </c>
      <c r="J776" t="inlineStr">
        <is>
          <t/>
        </is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inlineStr">
        <is>
          <t/>
        </is>
      </c>
      <c r="R776" t="inlineStr">
        <is>
          <t/>
        </is>
      </c>
      <c r="S776" t="n">
        <v>0.0</v>
      </c>
      <c r="T776" t="n">
        <v>0.0</v>
      </c>
      <c r="U776" t="n">
        <v>0.0</v>
      </c>
      <c r="V776" t="n">
        <v>0.0</v>
      </c>
      <c r="W776" t="inlineStr">
        <is>
          <t/>
        </is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1.0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2.0</v>
      </c>
      <c r="AL776" t="inlineStr">
        <is>
          <t/>
        </is>
      </c>
    </row>
    <row r="777">
      <c r="A777" t="inlineStr">
        <is>
          <t>一代人有一代人的年货要买！</t>
        </is>
      </c>
      <c r="B777" t="inlineStr">
        <is>
          <t>697a0a1d000000000b00a2b0</t>
        </is>
      </c>
      <c r="C777" s="776" t="n">
        <f>HYPERLINK("https://www.xiaohongshu.com/explore/697a0a1d000000000b00a2b0?xsec_token=TB2dScbVxeUy83D31__wCwwwhDIrhPy6wRpuOWBkn90P4=&amp;xsec_source=pc_trdark","https://www.xiaohongshu.com/explore/697a0a1d000000000b00a2b0?xsec_token=TB2dScbVxeUy83D31__wCwwwhDIrhPy6wRpuOWBkn90P4=&amp;xsec_source=pc_trdark")</f>
        <v>0.0</v>
      </c>
      <c r="D777" t="inlineStr">
        <is>
          <t>鲜水湾甄选</t>
        </is>
      </c>
      <c r="E777" t="inlineStr">
        <is>
          <t>27401929161</t>
        </is>
      </c>
      <c r="F777" t="inlineStr">
        <is>
          <t>2026-01-28 21:07:41</t>
        </is>
      </c>
      <c r="G777" t="inlineStr">
        <is>
          <t>图文</t>
        </is>
      </c>
      <c r="H777" t="inlineStr">
        <is>
          <t>北极甜虾头籽甜虾元宝虾北极熊冰虾孕妈妈宝宝辅食顺丰</t>
        </is>
      </c>
      <c r="I777" t="inlineStr">
        <is>
          <t>6953717eb8f0bb000115158d</t>
        </is>
      </c>
      <c r="J777" t="inlineStr">
        <is>
          <t/>
        </is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inlineStr">
        <is>
          <t/>
        </is>
      </c>
      <c r="R777" t="inlineStr">
        <is>
          <t/>
        </is>
      </c>
      <c r="S777" t="n">
        <v>0.0</v>
      </c>
      <c r="T777" t="n">
        <v>0.0</v>
      </c>
      <c r="U777" t="n">
        <v>0.0</v>
      </c>
      <c r="V777" t="n">
        <v>0.0</v>
      </c>
      <c r="W777" t="inlineStr">
        <is>
          <t/>
        </is>
      </c>
      <c r="X777" t="n">
        <v>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1.0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inlineStr">
        <is>
          <t/>
        </is>
      </c>
    </row>
    <row r="778">
      <c r="A778" t="inlineStr">
        <is>
          <t>16+8吃了两周水煮虾后……</t>
        </is>
      </c>
      <c r="B778" t="inlineStr">
        <is>
          <t>6979c73c000000001a0353a3</t>
        </is>
      </c>
      <c r="C778" s="777" t="n">
        <f>HYPERLINK("https://www.xiaohongshu.com/explore/6979c73c000000001a0353a3?xsec_token=TBDUixuchs-ppRvZ3sgkNDRag-dx37KfzlBoxZ7TWicHs=&amp;xsec_source=pc_trdark","https://www.xiaohongshu.com/explore/6979c73c000000001a0353a3?xsec_token=TBDUixuchs-ppRvZ3sgkNDRag-dx37KfzlBoxZ7TWicHs=&amp;xsec_source=pc_trdark")</f>
        <v>0.0</v>
      </c>
      <c r="D778" t="inlineStr">
        <is>
          <t>鲜水湾</t>
        </is>
      </c>
      <c r="E778" t="inlineStr">
        <is>
          <t>49316638994</t>
        </is>
      </c>
      <c r="F778" t="inlineStr">
        <is>
          <t>2026-01-28 16:22:20</t>
        </is>
      </c>
      <c r="G778" t="inlineStr">
        <is>
          <t>图文</t>
        </is>
      </c>
      <c r="H778" t="inlineStr">
        <is>
          <t>大虾基围虾王牌大虾厄瓜多尔白虾盐冻虾仁海洋大虾送礼顺丰包邮</t>
        </is>
      </c>
      <c r="I778" t="inlineStr">
        <is>
          <t>690aeb7be379430001e686ac</t>
        </is>
      </c>
      <c r="J778" t="inlineStr">
        <is>
          <t/>
        </is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inlineStr">
        <is>
          <t/>
        </is>
      </c>
      <c r="R778" t="inlineStr">
        <is>
          <t/>
        </is>
      </c>
      <c r="S778" t="n">
        <v>0.0</v>
      </c>
      <c r="T778" t="n">
        <v>0.0</v>
      </c>
      <c r="U778" t="n">
        <v>0.0</v>
      </c>
      <c r="V778" t="n">
        <v>0.0</v>
      </c>
      <c r="W778" t="inlineStr">
        <is>
          <t/>
        </is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1.0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22.0</v>
      </c>
      <c r="AL778" t="inlineStr">
        <is>
          <t/>
        </is>
      </c>
    </row>
    <row r="779">
      <c r="A779" t="inlineStr">
        <is>
          <t>冬天的生蚝最肥了，40来块就能买到5斤生蚝</t>
        </is>
      </c>
      <c r="B779" t="inlineStr">
        <is>
          <t>6971eb71000000001a02cb37</t>
        </is>
      </c>
      <c r="C779" s="778" t="n">
        <f>HYPERLINK("https://www.xiaohongshu.com/explore/6971eb71000000001a02cb37?xsec_token=TBzmPvyXtzq1znB7VIOlNhUVitPuw4hRaGEZjQ7Y527pE=&amp;xsec_source=pc_trdark","https://www.xiaohongshu.com/explore/6971eb71000000001a02cb37?xsec_token=TBzmPvyXtzq1znB7VIOlNhUVitPuw4hRaGEZjQ7Y527pE=&amp;xsec_source=pc_trdark")</f>
        <v>0.0</v>
      </c>
      <c r="D779" t="inlineStr">
        <is>
          <t>婉婉上班吃什么</t>
        </is>
      </c>
      <c r="E779" t="inlineStr">
        <is>
          <t>11434449706</t>
        </is>
      </c>
      <c r="F779" t="inlineStr">
        <is>
          <t>2026-01-22 17:18:41</t>
        </is>
      </c>
      <c r="G779" t="inlineStr">
        <is>
          <t>视频</t>
        </is>
      </c>
      <c r="H779" t="inlineStr">
        <is>
          <t>生蚝乳山生蚝海蛎子顺丰包邮</t>
        </is>
      </c>
      <c r="I779" t="inlineStr">
        <is>
          <t>690c70971b787900010866cc</t>
        </is>
      </c>
      <c r="J779" t="n">
        <v>12.0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inlineStr">
        <is>
          <t/>
        </is>
      </c>
      <c r="R779" t="inlineStr">
        <is>
          <t/>
        </is>
      </c>
      <c r="S779" t="n">
        <v>0.0</v>
      </c>
      <c r="T779" t="n">
        <v>0.0</v>
      </c>
      <c r="U779" t="n">
        <v>0.0</v>
      </c>
      <c r="V779" t="n">
        <v>0.0</v>
      </c>
      <c r="W779" t="inlineStr">
        <is>
          <t/>
        </is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1.0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12.0</v>
      </c>
      <c r="AL779" t="n">
        <v>0.5</v>
      </c>
    </row>
    <row r="780">
      <c r="A780" t="inlineStr">
        <is>
          <t>爱你老己 又给老己买到好吃的大生蚝了🥹</t>
        </is>
      </c>
      <c r="B780" t="inlineStr">
        <is>
          <t>696b31e6000000001a0368ed</t>
        </is>
      </c>
      <c r="C780" s="779" t="n">
        <f>HYPERLINK("https://www.xiaohongshu.com/explore/696b31e6000000001a0368ed?xsec_token=TByNwaULKQbwsz_w7rWk61uPHiiktQq8xclHCWQOqg6YU=&amp;xsec_source=pc_trdark","https://www.xiaohongshu.com/explore/696b31e6000000001a0368ed?xsec_token=TByNwaULKQbwsz_w7rWk61uPHiiktQq8xclHCWQOqg6YU=&amp;xsec_source=pc_trdark")</f>
        <v>0.0</v>
      </c>
      <c r="D780" t="inlineStr">
        <is>
          <t>婉婉上班吃什么</t>
        </is>
      </c>
      <c r="E780" t="inlineStr">
        <is>
          <t>11434449706</t>
        </is>
      </c>
      <c r="F780" t="inlineStr">
        <is>
          <t>2026-01-17 14:53:26</t>
        </is>
      </c>
      <c r="G780" t="inlineStr">
        <is>
          <t>视频</t>
        </is>
      </c>
      <c r="H780" t="inlineStr">
        <is>
          <t>生蚝乳山生蚝海蛎子顺丰包邮</t>
        </is>
      </c>
      <c r="I780" t="inlineStr">
        <is>
          <t>690c70971b787900010866cc</t>
        </is>
      </c>
      <c r="J780" t="n">
        <v>22.0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inlineStr">
        <is>
          <t/>
        </is>
      </c>
      <c r="R780" t="inlineStr">
        <is>
          <t/>
        </is>
      </c>
      <c r="S780" t="n">
        <v>0.0</v>
      </c>
      <c r="T780" t="n">
        <v>0.0</v>
      </c>
      <c r="U780" t="n">
        <v>0.0</v>
      </c>
      <c r="V780" t="n">
        <v>0.0</v>
      </c>
      <c r="W780" t="inlineStr">
        <is>
          <t/>
        </is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1.0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</row>
    <row r="781">
      <c r="A781" t="inlineStr">
        <is>
          <t>40+一箱的乳山生蚝太鲜了，好好吃🤤</t>
        </is>
      </c>
      <c r="B781" t="inlineStr">
        <is>
          <t>69609677000000001a023d13</t>
        </is>
      </c>
      <c r="C781" s="780" t="n">
        <f>HYPERLINK("https://www.xiaohongshu.com/explore/69609677000000001a023d13?xsec_token=TBYg-Zp66x4R1hUeuB0jKgE4bQY0Kwsr_n7NqbssxncXg=&amp;xsec_source=pc_trdark","https://www.xiaohongshu.com/explore/69609677000000001a023d13?xsec_token=TBYg-Zp66x4R1hUeuB0jKgE4bQY0Kwsr_n7NqbssxncXg=&amp;xsec_source=pc_trdark")</f>
        <v>0.0</v>
      </c>
      <c r="D781" t="inlineStr">
        <is>
          <t>婉婉上班吃什么</t>
        </is>
      </c>
      <c r="E781" t="inlineStr">
        <is>
          <t>11434449706</t>
        </is>
      </c>
      <c r="F781" t="inlineStr">
        <is>
          <t>2026-01-09 13:47:35</t>
        </is>
      </c>
      <c r="G781" t="inlineStr">
        <is>
          <t>视频</t>
        </is>
      </c>
      <c r="H781" t="inlineStr">
        <is>
          <t>生蚝乳山生蚝海蛎子顺丰包邮</t>
        </is>
      </c>
      <c r="I781" t="inlineStr">
        <is>
          <t>690c70971b787900010866cc</t>
        </is>
      </c>
      <c r="J781" t="n">
        <v>27.0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inlineStr">
        <is>
          <t/>
        </is>
      </c>
      <c r="R781" t="inlineStr">
        <is>
          <t/>
        </is>
      </c>
      <c r="S781" t="n">
        <v>0.0</v>
      </c>
      <c r="T781" t="n">
        <v>0.0</v>
      </c>
      <c r="U781" t="n">
        <v>0.0</v>
      </c>
      <c r="V781" t="n">
        <v>0.0</v>
      </c>
      <c r="W781" t="inlineStr">
        <is>
          <t/>
        </is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1.0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4.0</v>
      </c>
      <c r="AL781" t="inlineStr">
        <is>
          <t/>
        </is>
      </c>
    </row>
    <row r="782">
      <c r="A782" t="inlineStr">
        <is>
          <t>轻松征服所有三文鱼脑袋🐟～</t>
        </is>
      </c>
      <c r="B782" t="inlineStr">
        <is>
          <t>6950881b000000001e0355a5</t>
        </is>
      </c>
      <c r="C782" s="781" t="n">
        <f>HYPERLINK("https://www.xiaohongshu.com/explore/6950881b000000001e0355a5?xsec_token=TBZlsVk_u522I8N-JhGtRMDjLXf1070IVefsr9amfW0wE=&amp;xsec_source=pc_trdark","https://www.xiaohongshu.com/explore/6950881b000000001e0355a5?xsec_token=TBZlsVk_u522I8N-JhGtRMDjLXf1070IVefsr9amfW0wE=&amp;xsec_source=pc_trdark")</f>
        <v>0.0</v>
      </c>
      <c r="D782" t="inlineStr">
        <is>
          <t>鲜水湾</t>
        </is>
      </c>
      <c r="E782" t="inlineStr">
        <is>
          <t>49316638994</t>
        </is>
      </c>
      <c r="F782" t="inlineStr">
        <is>
          <t>2025-12-28 09:30:03</t>
        </is>
      </c>
      <c r="G782" t="inlineStr">
        <is>
          <t>图文</t>
        </is>
      </c>
      <c r="H782" t="inlineStr">
        <is>
          <t>智利三文鱼切块·整条三文鱼·深海鱼一人食健康饮食</t>
        </is>
      </c>
      <c r="I782" t="inlineStr">
        <is>
          <t>691ac562a524ee0001b51d7b</t>
        </is>
      </c>
      <c r="J782" t="inlineStr">
        <is>
          <t/>
        </is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inlineStr">
        <is>
          <t/>
        </is>
      </c>
      <c r="R782" t="inlineStr">
        <is>
          <t/>
        </is>
      </c>
      <c r="S782" t="n">
        <v>0.0</v>
      </c>
      <c r="T782" t="n">
        <v>0.0</v>
      </c>
      <c r="U782" t="n">
        <v>0.0</v>
      </c>
      <c r="V782" t="n">
        <v>0.0</v>
      </c>
      <c r="W782" t="inlineStr">
        <is>
          <t/>
        </is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1.0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29.0</v>
      </c>
      <c r="AL782" t="inlineStr">
        <is>
          <t/>
        </is>
      </c>
    </row>
    <row r="783">
      <c r="A783" t="inlineStr">
        <is>
          <t>区区300多承包了我一个月的减脂餐😎</t>
        </is>
      </c>
      <c r="B783" t="inlineStr">
        <is>
          <t>694d4d55000000001e02f936</t>
        </is>
      </c>
      <c r="C783" s="782" t="n">
        <f>HYPERLINK("https://www.xiaohongshu.com/explore/694d4d55000000001e02f936?xsec_token=TBtwDoStOWWrqIzqfvN9e2OfBKKCe5OU5wm_XAyKnlIzM=&amp;xsec_source=pc_trdark","https://www.xiaohongshu.com/explore/694d4d55000000001e02f936?xsec_token=TBtwDoStOWWrqIzqfvN9e2OfBKKCe5OU5wm_XAyKnlIzM=&amp;xsec_source=pc_trdark")</f>
        <v>0.0</v>
      </c>
      <c r="D783" t="inlineStr">
        <is>
          <t>鲜水湾</t>
        </is>
      </c>
      <c r="E783" t="inlineStr">
        <is>
          <t>49316638994</t>
        </is>
      </c>
      <c r="F783" t="inlineStr">
        <is>
          <t>2025-12-25 22:42:29</t>
        </is>
      </c>
      <c r="G783" t="inlineStr">
        <is>
          <t>图文</t>
        </is>
      </c>
      <c r="H783" t="inlineStr">
        <is>
          <t>智利三文鱼切块·整条三文鱼·深海鱼一人食健康饮食</t>
        </is>
      </c>
      <c r="I783" t="inlineStr">
        <is>
          <t>691ac562a524ee0001b51d7b</t>
        </is>
      </c>
      <c r="J783" t="inlineStr">
        <is>
          <t/>
        </is>
      </c>
      <c r="K783" t="n">
        <v>0.0</v>
      </c>
      <c r="L783" t="n">
        <v>0.0</v>
      </c>
      <c r="M783" t="n">
        <v>2.0</v>
      </c>
      <c r="N783" t="n">
        <v>2.0</v>
      </c>
      <c r="O783" t="n">
        <v>1.0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inlineStr">
        <is>
          <t/>
        </is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1.0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45.0</v>
      </c>
      <c r="AL783" t="inlineStr">
        <is>
          <t/>
        </is>
      </c>
    </row>
    <row r="784">
      <c r="A784" t="inlineStr">
        <is>
          <t>男朋友过了30，一定要多吃这个乳山生蚝</t>
        </is>
      </c>
      <c r="B784" t="inlineStr">
        <is>
          <t>694c99e0000000001f00e958</t>
        </is>
      </c>
      <c r="C784" s="783" t="n">
        <f>HYPERLINK("https://www.xiaohongshu.com/explore/694c99e0000000001f00e958?xsec_token=TBxptwG9J_WafnJLanMiOzJBcoP6xceBzUm8ylc3RpDV8=&amp;xsec_source=pc_trdark","https://www.xiaohongshu.com/explore/694c99e0000000001f00e958?xsec_token=TBxptwG9J_WafnJLanMiOzJBcoP6xceBzUm8ylc3RpDV8=&amp;xsec_source=pc_trdark")</f>
        <v>0.0</v>
      </c>
      <c r="D784" t="inlineStr">
        <is>
          <t>婉婉上班吃什么</t>
        </is>
      </c>
      <c r="E784" t="inlineStr">
        <is>
          <t>11434449706</t>
        </is>
      </c>
      <c r="F784" t="inlineStr">
        <is>
          <t>2025-12-25 09:56:48</t>
        </is>
      </c>
      <c r="G784" t="inlineStr">
        <is>
          <t>图文</t>
        </is>
      </c>
      <c r="H784" t="inlineStr">
        <is>
          <t>生蚝乳山生蚝海蛎子顺丰包邮</t>
        </is>
      </c>
      <c r="I784" t="inlineStr">
        <is>
          <t>690c70971b787900010866cc</t>
        </is>
      </c>
      <c r="J784" t="inlineStr">
        <is>
          <t/>
        </is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inlineStr">
        <is>
          <t/>
        </is>
      </c>
      <c r="R784" t="inlineStr">
        <is>
          <t/>
        </is>
      </c>
      <c r="S784" t="n">
        <v>0.0</v>
      </c>
      <c r="T784" t="n">
        <v>0.0</v>
      </c>
      <c r="U784" t="n">
        <v>0.0</v>
      </c>
      <c r="V784" t="n">
        <v>0.0</v>
      </c>
      <c r="W784" t="inlineStr">
        <is>
          <t/>
        </is>
      </c>
      <c r="X784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1.0</v>
      </c>
      <c r="AE784" t="n">
        <v>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n">
        <v>6.0</v>
      </c>
      <c r="AL784" t="inlineStr">
        <is>
          <t/>
        </is>
      </c>
    </row>
    <row r="785">
      <c r="A785" t="inlineStr">
        <is>
          <t>天才想出来的……减脂搭子！！</t>
        </is>
      </c>
      <c r="B785" t="inlineStr">
        <is>
          <t>694561ea000000001e0286e5</t>
        </is>
      </c>
      <c r="C785" s="784" t="n">
        <f>HYPERLINK("https://www.xiaohongshu.com/explore/694561ea000000001e0286e5?xsec_token=TB7p1vWXvB33zoX2lon7HfpVy6Gao4nSLHXYECbHz2y-0=&amp;xsec_source=pc_trdark","https://www.xiaohongshu.com/explore/694561ea000000001e0286e5?xsec_token=TB7p1vWXvB33zoX2lon7HfpVy6Gao4nSLHXYECbHz2y-0=&amp;xsec_source=pc_trdark")</f>
        <v>0.0</v>
      </c>
      <c r="D785" t="inlineStr">
        <is>
          <t>鲜水湾</t>
        </is>
      </c>
      <c r="E785" t="inlineStr">
        <is>
          <t>49316638994</t>
        </is>
      </c>
      <c r="F785" t="inlineStr">
        <is>
          <t>2025-12-19 22:32:10</t>
        </is>
      </c>
      <c r="G785" t="inlineStr">
        <is>
          <t>图文</t>
        </is>
      </c>
      <c r="H785" t="inlineStr">
        <is>
          <t>大虾基围虾王牌大虾厄瓜多尔白虾盐冻虾仁海洋大虾送礼顺丰包邮</t>
        </is>
      </c>
      <c r="I785" t="inlineStr">
        <is>
          <t>690aeb7be379430001e686ac</t>
        </is>
      </c>
      <c r="J785" t="inlineStr">
        <is>
          <t/>
        </is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inlineStr">
        <is>
          <t/>
        </is>
      </c>
      <c r="R785" t="inlineStr">
        <is>
          <t/>
        </is>
      </c>
      <c r="S785" t="n">
        <v>0.0</v>
      </c>
      <c r="T785" t="n">
        <v>0.0</v>
      </c>
      <c r="U785" t="n">
        <v>0.0</v>
      </c>
      <c r="V785" t="n">
        <v>0.0</v>
      </c>
      <c r="W785" t="inlineStr">
        <is>
          <t/>
        </is>
      </c>
      <c r="X785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1.0</v>
      </c>
      <c r="AE785" t="n">
        <v>0.0</v>
      </c>
      <c r="AF785" t="n">
        <v>0.0</v>
      </c>
      <c r="AG785" t="n">
        <v>0.0</v>
      </c>
      <c r="AH785" t="n">
        <v>0.0</v>
      </c>
      <c r="AI785" t="n">
        <v>0.0</v>
      </c>
      <c r="AJ785" t="n">
        <v>0.0</v>
      </c>
      <c r="AK785" t="n">
        <v>0.0</v>
      </c>
      <c r="AL785" t="inlineStr">
        <is>
          <t/>
        </is>
      </c>
    </row>
    <row r="786">
      <c r="A786" t="inlineStr">
        <is>
          <t>和老爸商量了，69.9💰3斤先给大家尝尝</t>
        </is>
      </c>
      <c r="B786" t="inlineStr">
        <is>
          <t>693fce0e000000001f00760a</t>
        </is>
      </c>
      <c r="C786" s="785" t="n">
        <f>HYPERLINK("https://www.xiaohongshu.com/explore/693fce0e000000001f00760a?xsec_token=TB1R2yju8ccr97WVPo1goJUJE7_lQREmxIfGi-p-xFS4Q=&amp;xsec_source=pc_trdark","https://www.xiaohongshu.com/explore/693fce0e000000001f00760a?xsec_token=TB1R2yju8ccr97WVPo1goJUJE7_lQREmxIfGi-p-xFS4Q=&amp;xsec_source=pc_trdark")</f>
        <v>0.0</v>
      </c>
      <c r="D786" t="inlineStr">
        <is>
          <t>鲜水湾</t>
        </is>
      </c>
      <c r="E786" t="inlineStr">
        <is>
          <t>49316638994</t>
        </is>
      </c>
      <c r="F786" t="inlineStr">
        <is>
          <t>2025-12-15 16:59:58</t>
        </is>
      </c>
      <c r="G786" t="inlineStr">
        <is>
          <t>图文</t>
        </is>
      </c>
      <c r="H786" t="inlineStr">
        <is>
          <t>大虾基围虾王牌大虾厄瓜多尔白虾盐冻虾仁海洋大虾送礼顺丰包邮</t>
        </is>
      </c>
      <c r="I786" t="inlineStr">
        <is>
          <t>690aeb7be379430001e686ac</t>
        </is>
      </c>
      <c r="J786" t="inlineStr">
        <is>
          <t/>
        </is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inlineStr">
        <is>
          <t/>
        </is>
      </c>
      <c r="R786" t="inlineStr">
        <is>
          <t/>
        </is>
      </c>
      <c r="S786" t="n">
        <v>0.0</v>
      </c>
      <c r="T786" t="n">
        <v>0.0</v>
      </c>
      <c r="U786" t="n">
        <v>0.0</v>
      </c>
      <c r="V786" t="n">
        <v>0.0</v>
      </c>
      <c r="W786" t="inlineStr">
        <is>
          <t/>
        </is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1.0</v>
      </c>
      <c r="AE786" t="n">
        <v>0.0</v>
      </c>
      <c r="AF786" t="n">
        <v>0.0</v>
      </c>
      <c r="AG786" t="n">
        <v>0.0</v>
      </c>
      <c r="AH786" t="n">
        <v>0.0</v>
      </c>
      <c r="AI786" t="n">
        <v>0.0</v>
      </c>
      <c r="AJ786" t="n">
        <v>0.0</v>
      </c>
      <c r="AK786" t="n">
        <v>1.0</v>
      </c>
      <c r="AL786" t="inlineStr">
        <is>
          <t/>
        </is>
      </c>
    </row>
    <row r="787">
      <c r="A787" t="inlineStr">
        <is>
          <t>山东朋友推荐的，好好吃🥺忍不住……</t>
        </is>
      </c>
      <c r="B787" t="inlineStr">
        <is>
          <t>693f7f41000000001e026e27</t>
        </is>
      </c>
      <c r="C787" s="786" t="n">
        <f>HYPERLINK("https://www.xiaohongshu.com/explore/693f7f41000000001e026e27?xsec_token=TB1R2yju8ccr97WVPo1goJUOYgkTPvu0HR9X0r4UiwnvA=&amp;xsec_source=pc_trdark","https://www.xiaohongshu.com/explore/693f7f41000000001e026e27?xsec_token=TB1R2yju8ccr97WVPo1goJUOYgkTPvu0HR9X0r4UiwnvA=&amp;xsec_source=pc_trdark")</f>
        <v>0.0</v>
      </c>
      <c r="D787" t="inlineStr">
        <is>
          <t>鲜水湾</t>
        </is>
      </c>
      <c r="E787" t="inlineStr">
        <is>
          <t>49316638994</t>
        </is>
      </c>
      <c r="F787" t="inlineStr">
        <is>
          <t>2025-12-15 11:23:45</t>
        </is>
      </c>
      <c r="G787" t="inlineStr">
        <is>
          <t>图文</t>
        </is>
      </c>
      <c r="H787" t="inlineStr">
        <is>
          <t>生蚝乳山生蚝海蛎子顺丰包邮</t>
        </is>
      </c>
      <c r="I787" t="inlineStr">
        <is>
          <t>690c70971b787900010866cc</t>
        </is>
      </c>
      <c r="J787" t="inlineStr">
        <is>
          <t/>
        </is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inlineStr">
        <is>
          <t/>
        </is>
      </c>
      <c r="R787" t="inlineStr">
        <is>
          <t/>
        </is>
      </c>
      <c r="S787" t="n">
        <v>0.0</v>
      </c>
      <c r="T787" t="n">
        <v>0.0</v>
      </c>
      <c r="U787" t="n">
        <v>0.0</v>
      </c>
      <c r="V787" t="n">
        <v>0.0</v>
      </c>
      <c r="W787" t="inlineStr">
        <is>
          <t/>
        </is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1.0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14.0</v>
      </c>
      <c r="AL787" t="inlineStr">
        <is>
          <t/>
        </is>
      </c>
    </row>
    <row r="788">
      <c r="A788" t="inlineStr">
        <is>
          <t>我q。。。😳小红书给的券也太大了吧</t>
        </is>
      </c>
      <c r="B788" t="inlineStr">
        <is>
          <t>693cfb90000000001f00793f</t>
        </is>
      </c>
      <c r="C788" s="787" t="n">
        <f>HYPERLINK("https://www.xiaohongshu.com/explore/693cfb90000000001f00793f?xsec_token=TBby_8TUlAJfj-jHsmZvLUDZtW2_h8p59gEWad8lYQS54=&amp;xsec_source=pc_trdark","https://www.xiaohongshu.com/explore/693cfb90000000001f00793f?xsec_token=TBby_8TUlAJfj-jHsmZvLUDZtW2_h8p59gEWad8lYQS54=&amp;xsec_source=pc_trdark")</f>
        <v>0.0</v>
      </c>
      <c r="D788" t="inlineStr">
        <is>
          <t>鲜水湾</t>
        </is>
      </c>
      <c r="E788" t="inlineStr">
        <is>
          <t>49316638994</t>
        </is>
      </c>
      <c r="F788" t="inlineStr">
        <is>
          <t>2025-12-13 13:37:20</t>
        </is>
      </c>
      <c r="G788" t="inlineStr">
        <is>
          <t>图文</t>
        </is>
      </c>
      <c r="H788" t="inlineStr">
        <is>
          <t>智利三文鱼切块·整条三文鱼·深海鱼一人食健康饮食</t>
        </is>
      </c>
      <c r="I788" t="inlineStr">
        <is>
          <t>691ac562a524ee0001b51d7b</t>
        </is>
      </c>
      <c r="J788" t="inlineStr">
        <is>
          <t/>
        </is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inlineStr">
        <is>
          <t/>
        </is>
      </c>
      <c r="R788" t="inlineStr">
        <is>
          <t/>
        </is>
      </c>
      <c r="S788" t="n">
        <v>0.0</v>
      </c>
      <c r="T788" t="n">
        <v>0.0</v>
      </c>
      <c r="U788" t="n">
        <v>0.0</v>
      </c>
      <c r="V788" t="n">
        <v>0.0</v>
      </c>
      <c r="W788" t="inlineStr">
        <is>
          <t/>
        </is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1.0</v>
      </c>
      <c r="AE788" t="n">
        <v>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n">
        <v>5.0</v>
      </c>
      <c r="AL788" t="inlineStr">
        <is>
          <t/>
        </is>
      </c>
    </row>
    <row r="789">
      <c r="A789" t="inlineStr">
        <is>
          <t>长期主义三文鱼。。。没有平替！</t>
        </is>
      </c>
      <c r="B789" t="inlineStr">
        <is>
          <t>693793e4000000001e0260d6</t>
        </is>
      </c>
      <c r="C789" s="788" t="n">
        <f>HYPERLINK("https://www.xiaohongshu.com/explore/693793e4000000001e0260d6?xsec_token=TBm581DxyfKxLtHTMgt_7Xf-DdfiRvQ6XLxeBBUf-udi0=&amp;xsec_source=pc_trdark","https://www.xiaohongshu.com/explore/693793e4000000001e0260d6?xsec_token=TBm581DxyfKxLtHTMgt_7Xf-DdfiRvQ6XLxeBBUf-udi0=&amp;xsec_source=pc_trdark")</f>
        <v>0.0</v>
      </c>
      <c r="D789" t="inlineStr">
        <is>
          <t>鲜水湾</t>
        </is>
      </c>
      <c r="E789" t="inlineStr">
        <is>
          <t>49316638994</t>
        </is>
      </c>
      <c r="F789" t="inlineStr">
        <is>
          <t>2025-12-09 11:13:40</t>
        </is>
      </c>
      <c r="G789" t="inlineStr">
        <is>
          <t>图文</t>
        </is>
      </c>
      <c r="H789" t="inlineStr">
        <is>
          <t>智利三文鱼切块·整条三文鱼·深海鱼一人食健康饮食</t>
        </is>
      </c>
      <c r="I789" t="inlineStr">
        <is>
          <t>691ac562a524ee0001b51d7b</t>
        </is>
      </c>
      <c r="J789" t="inlineStr">
        <is>
          <t/>
        </is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inlineStr">
        <is>
          <t/>
        </is>
      </c>
      <c r="R789" t="inlineStr">
        <is>
          <t/>
        </is>
      </c>
      <c r="S789" t="n">
        <v>0.0</v>
      </c>
      <c r="T789" t="n">
        <v>0.0</v>
      </c>
      <c r="U789" t="n">
        <v>0.0</v>
      </c>
      <c r="V789" t="n">
        <v>0.0</v>
      </c>
      <c r="W789" t="inlineStr">
        <is>
          <t/>
        </is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1.0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4.0</v>
      </c>
      <c r="AL789" t="inlineStr">
        <is>
          <t/>
        </is>
      </c>
    </row>
    <row r="790">
      <c r="A790" t="inlineStr">
        <is>
          <t>讲真…年轻人低估了100💰的购买力</t>
        </is>
      </c>
      <c r="B790" t="inlineStr">
        <is>
          <t>69358c43000000001e026616</t>
        </is>
      </c>
      <c r="C790" s="789" t="n">
        <f>HYPERLINK("https://www.xiaohongshu.com/explore/69358c43000000001e026616?xsec_token=TBVD2oNyykPWo5AeaDpfHB-g66dbnYDAWmgdsgoTyZ2cE=&amp;xsec_source=pc_trdark","https://www.xiaohongshu.com/explore/69358c43000000001e026616?xsec_token=TBVD2oNyykPWo5AeaDpfHB-g66dbnYDAWmgdsgoTyZ2cE=&amp;xsec_source=pc_trdark")</f>
        <v>0.0</v>
      </c>
      <c r="D790" t="inlineStr">
        <is>
          <t>鲜水湾</t>
        </is>
      </c>
      <c r="E790" t="inlineStr">
        <is>
          <t>49316638994</t>
        </is>
      </c>
      <c r="F790" t="inlineStr">
        <is>
          <t>2025-12-07 22:16:35</t>
        </is>
      </c>
      <c r="G790" t="inlineStr">
        <is>
          <t>图文</t>
        </is>
      </c>
      <c r="H790" t="inlineStr">
        <is>
          <t>智利三文鱼切块·整条三文鱼·深海鱼一人食健康饮食</t>
        </is>
      </c>
      <c r="I790" t="inlineStr">
        <is>
          <t>691ac562a524ee0001b51d7b</t>
        </is>
      </c>
      <c r="J790" t="inlineStr">
        <is>
          <t/>
        </is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inlineStr">
        <is>
          <t/>
        </is>
      </c>
      <c r="R790" t="inlineStr">
        <is>
          <t/>
        </is>
      </c>
      <c r="S790" t="n">
        <v>0.0</v>
      </c>
      <c r="T790" t="n">
        <v>0.0</v>
      </c>
      <c r="U790" t="n">
        <v>0.0</v>
      </c>
      <c r="V790" t="n">
        <v>0.0</v>
      </c>
      <c r="W790" t="inlineStr">
        <is>
          <t/>
        </is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1.0</v>
      </c>
      <c r="AE790" t="n">
        <v>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1.0</v>
      </c>
      <c r="AL790" t="inlineStr">
        <is>
          <t/>
        </is>
      </c>
    </row>
    <row r="791">
      <c r="A791" t="inlineStr">
        <is>
          <t>双12抢购，整条三文鱼只要300多✅</t>
        </is>
      </c>
      <c r="B791" t="inlineStr">
        <is>
          <t>6935507a000000001f004707</t>
        </is>
      </c>
      <c r="C791" s="790" t="n">
        <f>HYPERLINK("https://www.xiaohongshu.com/explore/6935507a000000001f004707?xsec_token=TBVD2oNyykPWo5AeaDpfHB-tVcIaj27hx_n7cUIRuKx3c=&amp;xsec_source=pc_trdark","https://www.xiaohongshu.com/explore/6935507a000000001f004707?xsec_token=TBVD2oNyykPWo5AeaDpfHB-tVcIaj27hx_n7cUIRuKx3c=&amp;xsec_source=pc_trdark")</f>
        <v>0.0</v>
      </c>
      <c r="D791" t="inlineStr">
        <is>
          <t>鲜水湾</t>
        </is>
      </c>
      <c r="E791" t="inlineStr">
        <is>
          <t>49316638994</t>
        </is>
      </c>
      <c r="F791" t="inlineStr">
        <is>
          <t>2025-12-07 18:01:30</t>
        </is>
      </c>
      <c r="G791" t="inlineStr">
        <is>
          <t>图文</t>
        </is>
      </c>
      <c r="H791" t="inlineStr">
        <is>
          <t>智利三文鱼切块·整条三文鱼·深海鱼一人食健康饮食</t>
        </is>
      </c>
      <c r="I791" t="inlineStr">
        <is>
          <t>691ac562a524ee0001b51d7b</t>
        </is>
      </c>
      <c r="J791" t="inlineStr">
        <is>
          <t/>
        </is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inlineStr">
        <is>
          <t/>
        </is>
      </c>
      <c r="R791" t="inlineStr">
        <is>
          <t/>
        </is>
      </c>
      <c r="S791" t="n">
        <v>0.0</v>
      </c>
      <c r="T791" t="n">
        <v>0.0</v>
      </c>
      <c r="U791" t="n">
        <v>0.0</v>
      </c>
      <c r="V791" t="n">
        <v>0.0</v>
      </c>
      <c r="W791" t="inlineStr">
        <is>
          <t/>
        </is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1.0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n">
        <v>3.0</v>
      </c>
      <c r="AL791" t="inlineStr">
        <is>
          <t/>
        </is>
      </c>
    </row>
    <row r="792">
      <c r="A792" t="inlineStr">
        <is>
          <t>太香了！60几块就能解决一周减脂餐</t>
        </is>
      </c>
      <c r="B792" t="inlineStr">
        <is>
          <t>6921cbae000000001e030d05</t>
        </is>
      </c>
      <c r="C792" s="791" t="n">
        <f>HYPERLINK("https://www.xiaohongshu.com/explore/6921cbae000000001e030d05?xsec_token=TBXRRyp7npeNirIt6SRYXfK_xDIww_vNSnp-NhdF1eW8k=&amp;xsec_source=pc_trdark","https://www.xiaohongshu.com/explore/6921cbae000000001e030d05?xsec_token=TBXRRyp7npeNirIt6SRYXfK_xDIww_vNSnp-NhdF1eW8k=&amp;xsec_source=pc_trdark")</f>
        <v>0.0</v>
      </c>
      <c r="D792" t="inlineStr">
        <is>
          <t>鲜水湾</t>
        </is>
      </c>
      <c r="E792" t="inlineStr">
        <is>
          <t>49316638994</t>
        </is>
      </c>
      <c r="F792" t="inlineStr">
        <is>
          <t>2025-11-22 22:41:50</t>
        </is>
      </c>
      <c r="G792" t="inlineStr">
        <is>
          <t>图文</t>
        </is>
      </c>
      <c r="H792" t="inlineStr">
        <is>
          <t>大虾基围虾王牌大虾厄瓜多尔白虾盐冻虾仁海洋大虾送礼顺丰包邮</t>
        </is>
      </c>
      <c r="I792" t="inlineStr">
        <is>
          <t>690aeb7be379430001e686ac</t>
        </is>
      </c>
      <c r="J792" t="inlineStr">
        <is>
          <t/>
        </is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inlineStr">
        <is>
          <t/>
        </is>
      </c>
      <c r="R792" t="inlineStr">
        <is>
          <t/>
        </is>
      </c>
      <c r="S792" t="n">
        <v>0.0</v>
      </c>
      <c r="T792" t="n">
        <v>0.0</v>
      </c>
      <c r="U792" t="n">
        <v>0.0</v>
      </c>
      <c r="V792" t="n">
        <v>0.0</v>
      </c>
      <c r="W792" t="inlineStr">
        <is>
          <t/>
        </is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1.0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inlineStr">
        <is>
          <t/>
        </is>
      </c>
    </row>
    <row r="793">
      <c r="A793" t="inlineStr">
        <is>
          <t>有人爱吃生蚝吗？</t>
        </is>
      </c>
      <c r="B793" t="inlineStr">
        <is>
          <t>691e96e5000000001b0336b0</t>
        </is>
      </c>
      <c r="C793" s="792" t="n">
        <f>HYPERLINK("https://www.xiaohongshu.com/explore/691e96e5000000001b0336b0?xsec_token=TBP5gqTrG7DCZJhae0kWWz8E3gK_-i3XaMhK6pJ0ZsMR0=&amp;xsec_source=pc_trdark","https://www.xiaohongshu.com/explore/691e96e5000000001b0336b0?xsec_token=TBP5gqTrG7DCZJhae0kWWz8E3gK_-i3XaMhK6pJ0ZsMR0=&amp;xsec_source=pc_trdark")</f>
        <v>0.0</v>
      </c>
      <c r="D793" t="inlineStr">
        <is>
          <t>婉婉上班吃什么</t>
        </is>
      </c>
      <c r="E793" t="inlineStr">
        <is>
          <t>11434449706</t>
        </is>
      </c>
      <c r="F793" t="inlineStr">
        <is>
          <t>2025-11-20 12:19:49</t>
        </is>
      </c>
      <c r="G793" t="inlineStr">
        <is>
          <t>视频</t>
        </is>
      </c>
      <c r="H793" t="inlineStr">
        <is>
          <t>生蚝乳山生蚝海蛎子顺丰包邮</t>
        </is>
      </c>
      <c r="I793" t="inlineStr">
        <is>
          <t>690c70971b787900010866cc</t>
        </is>
      </c>
      <c r="J793" t="n">
        <v>26.0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inlineStr">
        <is>
          <t/>
        </is>
      </c>
      <c r="R793" t="inlineStr">
        <is>
          <t/>
        </is>
      </c>
      <c r="S793" t="n">
        <v>0.0</v>
      </c>
      <c r="T793" t="n">
        <v>0.0</v>
      </c>
      <c r="U793" t="n">
        <v>0.0</v>
      </c>
      <c r="V793" t="n">
        <v>0.0</v>
      </c>
      <c r="W793" t="inlineStr">
        <is>
          <t/>
        </is>
      </c>
      <c r="X793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1.0</v>
      </c>
      <c r="AE793" t="n">
        <v>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n">
        <v>0.0</v>
      </c>
      <c r="AL793" t="n">
        <v>0.0</v>
      </c>
    </row>
    <row r="794">
      <c r="A794" t="inlineStr">
        <is>
          <t>不要低估50💰的购买力，敞开吃吧……</t>
        </is>
      </c>
      <c r="B794" t="inlineStr">
        <is>
          <t>691dcca3000000001f00d933</t>
        </is>
      </c>
      <c r="C794" s="793" t="n">
        <f>HYPERLINK("https://www.xiaohongshu.com/explore/691dcca3000000001f00d933?xsec_token=TBfJie4P5Jl9AylR95m8dPVEOjESP3RSw2zKhQaeR8JJ0=&amp;xsec_source=pc_trdark","https://www.xiaohongshu.com/explore/691dcca3000000001f00d933?xsec_token=TBfJie4P5Jl9AylR95m8dPVEOjESP3RSw2zKhQaeR8JJ0=&amp;xsec_source=pc_trdark")</f>
        <v>0.0</v>
      </c>
      <c r="D794" t="inlineStr">
        <is>
          <t>婉婉上班吃什么</t>
        </is>
      </c>
      <c r="E794" t="inlineStr">
        <is>
          <t>11434449706</t>
        </is>
      </c>
      <c r="F794" t="inlineStr">
        <is>
          <t>2025-11-19 21:56:51</t>
        </is>
      </c>
      <c r="G794" t="inlineStr">
        <is>
          <t>视频</t>
        </is>
      </c>
      <c r="H794" t="inlineStr">
        <is>
          <t>生蚝乳山生蚝海蛎子顺丰包邮</t>
        </is>
      </c>
      <c r="I794" t="inlineStr">
        <is>
          <t>690c70971b787900010866cc</t>
        </is>
      </c>
      <c r="J794" t="n">
        <v>29.0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inlineStr">
        <is>
          <t/>
        </is>
      </c>
      <c r="R794" t="inlineStr">
        <is>
          <t/>
        </is>
      </c>
      <c r="S794" t="n">
        <v>0.0</v>
      </c>
      <c r="T794" t="n">
        <v>0.0</v>
      </c>
      <c r="U794" t="n">
        <v>0.0</v>
      </c>
      <c r="V794" t="n">
        <v>0.0</v>
      </c>
      <c r="W794" t="inlineStr">
        <is>
          <t/>
        </is>
      </c>
      <c r="X794" t="n">
        <v>0.0</v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1.0</v>
      </c>
      <c r="AE794" t="n">
        <v>0.0</v>
      </c>
      <c r="AF794" t="n">
        <v>0.0</v>
      </c>
      <c r="AG794" t="n">
        <v>0.0</v>
      </c>
      <c r="AH794" t="n">
        <v>0.0</v>
      </c>
      <c r="AI794" t="n">
        <v>0.0</v>
      </c>
      <c r="AJ794" t="n">
        <v>0.0</v>
      </c>
      <c r="AK794" t="n">
        <v>4.0</v>
      </c>
      <c r="AL794" t="n">
        <v>0.0</v>
      </c>
    </row>
    <row r="795">
      <c r="A795" t="inlineStr">
        <is>
          <t>爸妈眼里的奢侈品，我的平价大虾😂</t>
        </is>
      </c>
      <c r="B795" t="inlineStr">
        <is>
          <t>691d6969000000001d03a42c</t>
        </is>
      </c>
      <c r="C795" s="794" t="n">
        <f>HYPERLINK("https://www.xiaohongshu.com/explore/691d6969000000001d03a42c?xsec_token=TBfJie4P5Jl9AylR95m8dPVMenHpSgXv-v868LiyyHrgU=&amp;xsec_source=pc_trdark","https://www.xiaohongshu.com/explore/691d6969000000001d03a42c?xsec_token=TBfJie4P5Jl9AylR95m8dPVMenHpSgXv-v868LiyyHrgU=&amp;xsec_source=pc_trdark")</f>
        <v>0.0</v>
      </c>
      <c r="D795" t="inlineStr">
        <is>
          <t>鲜水湾甄选</t>
        </is>
      </c>
      <c r="E795" t="inlineStr">
        <is>
          <t>27401929161</t>
        </is>
      </c>
      <c r="F795" t="inlineStr">
        <is>
          <t>2025-11-19 14:53:29</t>
        </is>
      </c>
      <c r="G795" t="inlineStr">
        <is>
          <t>图文</t>
        </is>
      </c>
      <c r="H795" t="inlineStr">
        <is>
          <t>大虾基围虾王牌大虾厄瓜多尔白虾盐冻虾仁海洋大虾送礼顺丰包邮</t>
        </is>
      </c>
      <c r="I795" t="inlineStr">
        <is>
          <t>690aeb7be379430001e686ac</t>
        </is>
      </c>
      <c r="J795" t="inlineStr">
        <is>
          <t/>
        </is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inlineStr">
        <is>
          <t/>
        </is>
      </c>
      <c r="R795" t="inlineStr">
        <is>
          <t/>
        </is>
      </c>
      <c r="S795" t="n">
        <v>0.0</v>
      </c>
      <c r="T795" t="n">
        <v>0.0</v>
      </c>
      <c r="U795" t="n">
        <v>0.0</v>
      </c>
      <c r="V795" t="n">
        <v>0.0</v>
      </c>
      <c r="W795" t="inlineStr">
        <is>
          <t/>
        </is>
      </c>
      <c r="X795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1.0</v>
      </c>
      <c r="AE795" t="n">
        <v>0.0</v>
      </c>
      <c r="AF795" t="n">
        <v>0.0</v>
      </c>
      <c r="AG795" t="n">
        <v>0.0</v>
      </c>
      <c r="AH795" t="n">
        <v>0.0</v>
      </c>
      <c r="AI795" t="n">
        <v>0.0</v>
      </c>
      <c r="AJ795" t="n">
        <v>0.0</v>
      </c>
      <c r="AK795" t="n">
        <v>1.0</v>
      </c>
      <c r="AL795" t="inlineStr">
        <is>
          <t/>
        </is>
      </c>
    </row>
    <row r="796">
      <c r="A796" t="inlineStr">
        <is>
          <t>60+💰很适合上班族带饭的虾</t>
        </is>
      </c>
      <c r="B796" t="inlineStr">
        <is>
          <t>6916fd440000000004002b06</t>
        </is>
      </c>
      <c r="C796" s="795" t="n">
        <f>HYPERLINK("https://www.xiaohongshu.com/explore/6916fd440000000004002b06?xsec_token=TBHZiehrAOyLGw_5sWYDTDSSV1nrgE7qguoH2JB5X9l5I=&amp;xsec_source=pc_trdark","https://www.xiaohongshu.com/explore/6916fd440000000004002b06?xsec_token=TBHZiehrAOyLGw_5sWYDTDSSV1nrgE7qguoH2JB5X9l5I=&amp;xsec_source=pc_trdark")</f>
        <v>0.0</v>
      </c>
      <c r="D796" t="inlineStr">
        <is>
          <t>鲜水湾</t>
        </is>
      </c>
      <c r="E796" t="inlineStr">
        <is>
          <t>49316638994</t>
        </is>
      </c>
      <c r="F796" t="inlineStr">
        <is>
          <t>2025-11-14 17:58:28</t>
        </is>
      </c>
      <c r="G796" t="inlineStr">
        <is>
          <t>图文</t>
        </is>
      </c>
      <c r="H796" t="inlineStr">
        <is>
          <t>大虾基围虾王牌大虾厄瓜多尔白虾盐冻虾仁海洋大虾送礼顺丰包邮</t>
        </is>
      </c>
      <c r="I796" t="inlineStr">
        <is>
          <t>690aeb7be379430001e686ac</t>
        </is>
      </c>
      <c r="J796" t="inlineStr">
        <is>
          <t/>
        </is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inlineStr">
        <is>
          <t/>
        </is>
      </c>
      <c r="R796" t="inlineStr">
        <is>
          <t/>
        </is>
      </c>
      <c r="S796" t="n">
        <v>0.0</v>
      </c>
      <c r="T796" t="n">
        <v>0.0</v>
      </c>
      <c r="U796" t="n">
        <v>0.0</v>
      </c>
      <c r="V796" t="n">
        <v>0.0</v>
      </c>
      <c r="W796" t="inlineStr">
        <is>
          <t/>
        </is>
      </c>
      <c r="X796" t="n">
        <v>0.0</v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1.0</v>
      </c>
      <c r="AE796" t="n">
        <v>0.0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n">
        <v>0.0</v>
      </c>
      <c r="AL796" t="inlineStr">
        <is>
          <t/>
        </is>
      </c>
    </row>
    <row r="797">
      <c r="A797" t="inlineStr">
        <is>
          <t>女孩们，千万别小瞧60块的购买力</t>
        </is>
      </c>
      <c r="B797" t="inlineStr">
        <is>
          <t>691426fb0000000007039a15</t>
        </is>
      </c>
      <c r="C797" s="796" t="n">
        <f>HYPERLINK("https://www.xiaohongshu.com/explore/691426fb0000000007039a15?xsec_token=TBaXvlcWwd_4ttBIqZOUWAk-rRiUTIHwOdDE-46MSMzQs=&amp;xsec_source=pc_trdark","https://www.xiaohongshu.com/explore/691426fb0000000007039a15?xsec_token=TBaXvlcWwd_4ttBIqZOUWAk-rRiUTIHwOdDE-46MSMzQs=&amp;xsec_source=pc_trdark")</f>
        <v>0.0</v>
      </c>
      <c r="D797" t="inlineStr">
        <is>
          <t>鲜水湾甄选</t>
        </is>
      </c>
      <c r="E797" t="inlineStr">
        <is>
          <t>27401929161</t>
        </is>
      </c>
      <c r="F797" t="inlineStr">
        <is>
          <t>2025-11-12 14:19:39</t>
        </is>
      </c>
      <c r="G797" t="inlineStr">
        <is>
          <t>图文</t>
        </is>
      </c>
      <c r="H797" t="inlineStr">
        <is>
          <t>大虾基围虾王牌大虾厄瓜多尔白虾盐冻虾仁海洋大虾送礼顺丰包邮</t>
        </is>
      </c>
      <c r="I797" t="inlineStr">
        <is>
          <t>690aeb7be379430001e686ac</t>
        </is>
      </c>
      <c r="J797" t="inlineStr">
        <is>
          <t/>
        </is>
      </c>
      <c r="K797" t="n">
        <v>0.0</v>
      </c>
      <c r="L797" t="n">
        <v>0.0</v>
      </c>
      <c r="M797" t="n">
        <v>1.0</v>
      </c>
      <c r="N797" t="n">
        <v>1.0</v>
      </c>
      <c r="O797" t="n">
        <v>1.0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inlineStr">
        <is>
          <t/>
        </is>
      </c>
      <c r="X797" t="n">
        <v>0.0</v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1.0</v>
      </c>
      <c r="AE797" t="n">
        <v>0.0</v>
      </c>
      <c r="AF797" t="n">
        <v>0.0</v>
      </c>
      <c r="AG797" t="n">
        <v>0.0</v>
      </c>
      <c r="AH797" t="n">
        <v>0.0</v>
      </c>
      <c r="AI797" t="n">
        <v>0.0</v>
      </c>
      <c r="AJ797" t="n">
        <v>0.0</v>
      </c>
      <c r="AK797" t="n">
        <v>9.0</v>
      </c>
      <c r="AL797" t="inlineStr">
        <is>
          <t/>
        </is>
      </c>
    </row>
    <row r="798">
      <c r="A798" t="inlineStr">
        <is>
          <t>没招了，我爸让我在网上卖，谁买啊🥲</t>
        </is>
      </c>
      <c r="B798" t="inlineStr">
        <is>
          <t>69141aad000000000700bda1</t>
        </is>
      </c>
      <c r="C798" s="797" t="n">
        <f>HYPERLINK("https://www.xiaohongshu.com/explore/69141aad000000000700bda1?xsec_token=TBaXvlcWwd_4ttBIqZOUWAk91Hv6khx9PhVzX9T74Lm0w=&amp;xsec_source=pc_trdark","https://www.xiaohongshu.com/explore/69141aad000000000700bda1?xsec_token=TBaXvlcWwd_4ttBIqZOUWAk91Hv6khx9PhVzX9T74Lm0w=&amp;xsec_source=pc_trdark")</f>
        <v>0.0</v>
      </c>
      <c r="D798" t="inlineStr">
        <is>
          <t>婉婉上班吃什么</t>
        </is>
      </c>
      <c r="E798" t="inlineStr">
        <is>
          <t>11434449706</t>
        </is>
      </c>
      <c r="F798" t="inlineStr">
        <is>
          <t>2025-11-12 13:27:09</t>
        </is>
      </c>
      <c r="G798" t="inlineStr">
        <is>
          <t>视频</t>
        </is>
      </c>
      <c r="H798" t="inlineStr">
        <is>
          <t>生蚝乳山生蚝海蛎子顺丰包邮</t>
        </is>
      </c>
      <c r="I798" t="inlineStr">
        <is>
          <t>690c70971b787900010866cc</t>
        </is>
      </c>
      <c r="J798" t="n">
        <v>19.0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inlineStr">
        <is>
          <t/>
        </is>
      </c>
      <c r="R798" t="inlineStr">
        <is>
          <t/>
        </is>
      </c>
      <c r="S798" t="n">
        <v>0.0</v>
      </c>
      <c r="T798" t="n">
        <v>0.0</v>
      </c>
      <c r="U798" t="n">
        <v>0.0</v>
      </c>
      <c r="V798" t="n">
        <v>0.0</v>
      </c>
      <c r="W798" t="inlineStr">
        <is>
          <t/>
        </is>
      </c>
      <c r="X798" t="n">
        <v>0.0</v>
      </c>
      <c r="Y798" t="n">
        <v>0.0</v>
      </c>
      <c r="Z798" t="n">
        <v>0.0</v>
      </c>
      <c r="AA798" t="n">
        <v>0.0</v>
      </c>
      <c r="AB798" t="n">
        <v>0.0</v>
      </c>
      <c r="AC798" t="n">
        <v>0.0</v>
      </c>
      <c r="AD798" t="n">
        <v>1.0</v>
      </c>
      <c r="AE798" t="n">
        <v>0.0</v>
      </c>
      <c r="AF798" t="n">
        <v>0.0</v>
      </c>
      <c r="AG798" t="n">
        <v>0.0</v>
      </c>
      <c r="AH798" t="n">
        <v>0.0</v>
      </c>
      <c r="AI798" t="n">
        <v>0.0</v>
      </c>
      <c r="AJ798" t="n">
        <v>0.0</v>
      </c>
      <c r="AK798" t="n">
        <v>3.0</v>
      </c>
      <c r="AL798" t="n">
        <v>0.0</v>
      </c>
    </row>
    <row r="799">
      <c r="A799" t="inlineStr">
        <is>
          <t>试吃之后发现！这大虾性价比太高了！</t>
        </is>
      </c>
      <c r="B799" t="inlineStr">
        <is>
          <t>6912fb9000000000070381c2</t>
        </is>
      </c>
      <c r="C799" s="798" t="n">
        <f>HYPERLINK("https://www.xiaohongshu.com/explore/6912fb9000000000070381c2?xsec_token=TBnZN0DmKGIQMnPXPN25j7p69jPzcOqG277sS6kgKXBY8=&amp;xsec_source=pc_trdark","https://www.xiaohongshu.com/explore/6912fb9000000000070381c2?xsec_token=TBnZN0DmKGIQMnPXPN25j7p69jPzcOqG277sS6kgKXBY8=&amp;xsec_source=pc_trdark")</f>
        <v>0.0</v>
      </c>
      <c r="D799" t="inlineStr">
        <is>
          <t>鲜水湾甄选</t>
        </is>
      </c>
      <c r="E799" t="inlineStr">
        <is>
          <t>27401929161</t>
        </is>
      </c>
      <c r="F799" t="inlineStr">
        <is>
          <t>2025-11-11 17:02:08</t>
        </is>
      </c>
      <c r="G799" t="inlineStr">
        <is>
          <t>图文</t>
        </is>
      </c>
      <c r="H799" t="inlineStr">
        <is>
          <t>大虾基围虾王牌大虾厄瓜多尔白虾盐冻虾仁海洋大虾送礼顺丰包邮</t>
        </is>
      </c>
      <c r="I799" t="inlineStr">
        <is>
          <t>690aeb7be379430001e686ac</t>
        </is>
      </c>
      <c r="J799" t="inlineStr">
        <is>
          <t/>
        </is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inlineStr">
        <is>
          <t/>
        </is>
      </c>
      <c r="R799" t="inlineStr">
        <is>
          <t/>
        </is>
      </c>
      <c r="S799" t="n">
        <v>0.0</v>
      </c>
      <c r="T799" t="n">
        <v>0.0</v>
      </c>
      <c r="U799" t="n">
        <v>0.0</v>
      </c>
      <c r="V799" t="n">
        <v>0.0</v>
      </c>
      <c r="W799" t="inlineStr">
        <is>
          <t/>
        </is>
      </c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1.0</v>
      </c>
      <c r="AE799" t="n">
        <v>0.0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n">
        <v>5.0</v>
      </c>
      <c r="AL799" t="inlineStr">
        <is>
          <t/>
        </is>
      </c>
    </row>
    <row r="800">
      <c r="A800" t="inlineStr">
        <is>
          <t>低估60💰多块的购买力了不到1r一只</t>
        </is>
      </c>
      <c r="B800" t="inlineStr">
        <is>
          <t>690c9bfa000000000700c012</t>
        </is>
      </c>
      <c r="C800" s="799" t="n">
        <f>HYPERLINK("https://www.xiaohongshu.com/explore/690c9bfa000000000700c012?xsec_token=TBTB2S0a1UEDOz_-oBsbNp_hFYxMjciyx0QOf5AXMnI4E=&amp;xsec_source=pc_trdark","https://www.xiaohongshu.com/explore/690c9bfa000000000700c012?xsec_token=TBTB2S0a1UEDOz_-oBsbNp_hFYxMjciyx0QOf5AXMnI4E=&amp;xsec_source=pc_trdark")</f>
        <v>0.0</v>
      </c>
      <c r="D800" t="inlineStr">
        <is>
          <t>鲜水湾甄选</t>
        </is>
      </c>
      <c r="E800" t="inlineStr">
        <is>
          <t>27401929161</t>
        </is>
      </c>
      <c r="F800" t="inlineStr">
        <is>
          <t>2025-11-06 21:00:43</t>
        </is>
      </c>
      <c r="G800" t="inlineStr">
        <is>
          <t>图文</t>
        </is>
      </c>
      <c r="H800" t="inlineStr">
        <is>
          <t>大虾基围虾王牌大虾厄瓜多尔白虾盐冻虾仁海洋大虾送礼顺丰包邮</t>
        </is>
      </c>
      <c r="I800" t="inlineStr">
        <is>
          <t>690aeb7be379430001e686ac</t>
        </is>
      </c>
      <c r="J800" t="inlineStr">
        <is>
          <t/>
        </is>
      </c>
      <c r="K800" t="n">
        <v>0.0</v>
      </c>
      <c r="L800" t="n">
        <v>0.0</v>
      </c>
      <c r="M800" t="n">
        <v>1.0</v>
      </c>
      <c r="N800" t="n">
        <v>1.0</v>
      </c>
      <c r="O800" t="n">
        <v>1.0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inlineStr">
        <is>
          <t/>
        </is>
      </c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1.0</v>
      </c>
      <c r="AE800" t="n">
        <v>0.0</v>
      </c>
      <c r="AF800" t="n">
        <v>0.0</v>
      </c>
      <c r="AG800" t="n">
        <v>0.0</v>
      </c>
      <c r="AH800" t="n">
        <v>0.0</v>
      </c>
      <c r="AI800" t="n">
        <v>0.0</v>
      </c>
      <c r="AJ800" t="n">
        <v>0.0</v>
      </c>
      <c r="AK800" t="n">
        <v>26.0</v>
      </c>
      <c r="AL800" t="inlineStr">
        <is>
          <t/>
        </is>
      </c>
    </row>
    <row r="801">
      <c r="A801" t="inlineStr">
        <is>
          <t>315过后，都来买我家这种无添加虾仁了</t>
        </is>
      </c>
      <c r="B801" t="inlineStr">
        <is>
          <t>69c20451000000001f0022e1</t>
        </is>
      </c>
      <c r="C801" s="800" t="n">
        <f>HYPERLINK("https://www.xiaohongshu.com/explore/69c20451000000001f0022e1?xsec_token=TBUqBR5MVQnv6JPS0VJV95uCdHDvWBu9Hdzbft5gngKNU=&amp;xsec_source=pc_trdark","https://www.xiaohongshu.com/explore/69c20451000000001f0022e1?xsec_token=TBUqBR5MVQnv6JPS0VJV95uCdHDvWBu9Hdzbft5gngKNU=&amp;xsec_source=pc_trdark")</f>
        <v>0.0</v>
      </c>
      <c r="D801" t="inlineStr">
        <is>
          <t>鲜水湾</t>
        </is>
      </c>
      <c r="E801" t="inlineStr">
        <is>
          <t>49316638994</t>
        </is>
      </c>
      <c r="F801" t="inlineStr">
        <is>
          <t>2026-03-24 11:26:09</t>
        </is>
      </c>
      <c r="G801" t="inlineStr">
        <is>
          <t>图文</t>
        </is>
      </c>
      <c r="H801" t="inlineStr">
        <is>
          <t>手剥虾仁 无冰衣无添加 低脂餐一人食 上班带饭 顺丰包邮 5盒装</t>
        </is>
      </c>
      <c r="I801" t="inlineStr">
        <is>
          <t>694baba01d450d00013662f0</t>
        </is>
      </c>
      <c r="J801" t="inlineStr">
        <is>
          <t/>
        </is>
      </c>
      <c r="K801" t="n">
        <v>0.0</v>
      </c>
      <c r="L801" t="n">
        <v>0.0</v>
      </c>
      <c r="M801" t="n">
        <v>0.0</v>
      </c>
      <c r="N801" t="inlineStr">
        <is>
          <t/>
        </is>
      </c>
      <c r="O801" t="n">
        <v>0.0</v>
      </c>
      <c r="P801" t="n">
        <v>0.0</v>
      </c>
      <c r="Q801" t="inlineStr">
        <is>
          <t/>
        </is>
      </c>
      <c r="R801" t="inlineStr">
        <is>
          <t/>
        </is>
      </c>
      <c r="S801" t="n">
        <v>0.0</v>
      </c>
      <c r="T801" t="n">
        <v>0.0</v>
      </c>
      <c r="U801" t="n">
        <v>0.0</v>
      </c>
      <c r="V801" t="n">
        <v>0.0</v>
      </c>
      <c r="W801" t="inlineStr">
        <is>
          <t/>
        </is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inlineStr">
        <is>
          <t/>
        </is>
      </c>
      <c r="AL801" t="inlineStr">
        <is>
          <t/>
        </is>
      </c>
    </row>
    <row r="802">
      <c r="A802" t="inlineStr">
        <is>
          <t>爸妈对于我每天吃一盒虾仁表示很奢侈……</t>
        </is>
      </c>
      <c r="B802" t="inlineStr">
        <is>
          <t>69c1eed70000000023017a4d</t>
        </is>
      </c>
      <c r="C802" s="801" t="n">
        <f>HYPERLINK("https://www.xiaohongshu.com/explore/69c1eed70000000023017a4d?xsec_token=TBltfkQyXS0u_Ko7SgIzuBYv8lHnnkUy2fhu9ZfPpIoY8=&amp;xsec_source=pc_trdark","https://www.xiaohongshu.com/explore/69c1eed70000000023017a4d?xsec_token=TBltfkQyXS0u_Ko7SgIzuBYv8lHnnkUy2fhu9ZfPpIoY8=&amp;xsec_source=pc_trdark")</f>
        <v>0.0</v>
      </c>
      <c r="D802" t="inlineStr">
        <is>
          <t>菲菲上班吃什么</t>
        </is>
      </c>
      <c r="E802" t="inlineStr">
        <is>
          <t>49936530607</t>
        </is>
      </c>
      <c r="F802" t="inlineStr">
        <is>
          <t>2026-03-24 09:54:31</t>
        </is>
      </c>
      <c r="G802" t="inlineStr">
        <is>
          <t>图文</t>
        </is>
      </c>
      <c r="H802" t="inlineStr">
        <is>
          <t>手剥虾仁 无冰衣无添加 低脂餐一人食 上班带饭 顺丰包邮 5盒装</t>
        </is>
      </c>
      <c r="I802" t="inlineStr">
        <is>
          <t>694baba01d450d00013662f0</t>
        </is>
      </c>
      <c r="J802" t="inlineStr">
        <is>
          <t/>
        </is>
      </c>
      <c r="K802" t="n">
        <v>0.0</v>
      </c>
      <c r="L802" t="n">
        <v>0.0</v>
      </c>
      <c r="M802" t="n">
        <v>0.0</v>
      </c>
      <c r="N802" t="inlineStr">
        <is>
          <t/>
        </is>
      </c>
      <c r="O802" t="n">
        <v>0.0</v>
      </c>
      <c r="P802" t="n">
        <v>0.0</v>
      </c>
      <c r="Q802" t="inlineStr">
        <is>
          <t/>
        </is>
      </c>
      <c r="R802" t="inlineStr">
        <is>
          <t/>
        </is>
      </c>
      <c r="S802" t="n">
        <v>0.0</v>
      </c>
      <c r="T802" t="n">
        <v>0.0</v>
      </c>
      <c r="U802" t="n">
        <v>0.0</v>
      </c>
      <c r="V802" t="n">
        <v>0.0</v>
      </c>
      <c r="W802" t="inlineStr">
        <is>
          <t/>
        </is>
      </c>
      <c r="X802" t="n">
        <v>0.0</v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inlineStr">
        <is>
          <t/>
        </is>
      </c>
      <c r="AL802" t="inlineStr">
        <is>
          <t/>
        </is>
      </c>
    </row>
    <row r="803">
      <c r="A803" t="inlineStr">
        <is>
          <t>一人食手剥海虾仁🍤 终于和老爸敲定上线啦！</t>
        </is>
      </c>
      <c r="B803" t="inlineStr">
        <is>
          <t>69bff38d0000000028009a81</t>
        </is>
      </c>
      <c r="C803" s="802" t="n">
        <f>HYPERLINK("https://www.xiaohongshu.com/explore/69bff38d0000000028009a81?xsec_token=TBpIkisErOCQ5-QyFALsYM8LfbyTNaBbIGQyDzUk6i8g4=&amp;xsec_source=pc_trdark","https://www.xiaohongshu.com/explore/69bff38d0000000028009a81?xsec_token=TBpIkisErOCQ5-QyFALsYM8LfbyTNaBbIGQyDzUk6i8g4=&amp;xsec_source=pc_trdark")</f>
        <v>0.0</v>
      </c>
      <c r="D803" t="inlineStr">
        <is>
          <t>鲜水湾</t>
        </is>
      </c>
      <c r="E803" t="inlineStr">
        <is>
          <t>49316638994</t>
        </is>
      </c>
      <c r="F803" t="inlineStr">
        <is>
          <t>2026-03-22 21:50:05</t>
        </is>
      </c>
      <c r="G803" t="inlineStr">
        <is>
          <t>图文</t>
        </is>
      </c>
      <c r="H803" t="inlineStr">
        <is>
          <t>手剥虾仁 无冰衣无添加 低脂餐一人食 上班带饭 顺丰包邮 5盒装</t>
        </is>
      </c>
      <c r="I803" t="inlineStr">
        <is>
          <t>694baba01d450d00013662f0</t>
        </is>
      </c>
      <c r="J803" t="inlineStr">
        <is>
          <t/>
        </is>
      </c>
      <c r="K803" t="n">
        <v>0.0</v>
      </c>
      <c r="L803" t="n">
        <v>0.0</v>
      </c>
      <c r="M803" t="n">
        <v>0.0</v>
      </c>
      <c r="N803" t="inlineStr">
        <is>
          <t/>
        </is>
      </c>
      <c r="O803" t="n">
        <v>0.0</v>
      </c>
      <c r="P803" t="n">
        <v>0.0</v>
      </c>
      <c r="Q803" t="inlineStr">
        <is>
          <t/>
        </is>
      </c>
      <c r="R803" t="inlineStr">
        <is>
          <t/>
        </is>
      </c>
      <c r="S803" t="n">
        <v>0.0</v>
      </c>
      <c r="T803" t="n">
        <v>0.0</v>
      </c>
      <c r="U803" t="n">
        <v>0.0</v>
      </c>
      <c r="V803" t="n">
        <v>0.0</v>
      </c>
      <c r="W803" t="inlineStr">
        <is>
          <t/>
        </is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inlineStr">
        <is>
          <t/>
        </is>
      </c>
      <c r="AL803" t="inlineStr">
        <is>
          <t/>
        </is>
      </c>
    </row>
    <row r="804">
      <c r="A804" t="inlineStr">
        <is>
          <t>吃吧吃吧，海边人推荐的虾仁准不会错！🍤</t>
        </is>
      </c>
      <c r="B804" t="inlineStr">
        <is>
          <t>69bea57e000000002301cb49</t>
        </is>
      </c>
      <c r="C804" s="803" t="n">
        <f>HYPERLINK("https://www.xiaohongshu.com/explore/69bea57e000000002301cb49?xsec_token=TBEV1jCaY14J6usHdX26xRKE-78_r3X9QMVpW1RjWxo0k=&amp;xsec_source=pc_trdark","https://www.xiaohongshu.com/explore/69bea57e000000002301cb49?xsec_token=TBEV1jCaY14J6usHdX26xRKE-78_r3X9QMVpW1RjWxo0k=&amp;xsec_source=pc_trdark")</f>
        <v>0.0</v>
      </c>
      <c r="D804" t="inlineStr">
        <is>
          <t>鲜水湾</t>
        </is>
      </c>
      <c r="E804" t="inlineStr">
        <is>
          <t>49316638994</t>
        </is>
      </c>
      <c r="F804" t="inlineStr">
        <is>
          <t>2026-03-21 22:04:46</t>
        </is>
      </c>
      <c r="G804" t="inlineStr">
        <is>
          <t>图文</t>
        </is>
      </c>
      <c r="H804" t="inlineStr">
        <is>
          <t>手剥虾仁 无冰衣无添加 低脂餐一人食 上班带饭 顺丰包邮 5盒装</t>
        </is>
      </c>
      <c r="I804" t="inlineStr">
        <is>
          <t>694baba01d450d00013662f0</t>
        </is>
      </c>
      <c r="J804" t="inlineStr">
        <is>
          <t/>
        </is>
      </c>
      <c r="K804" t="n">
        <v>0.0</v>
      </c>
      <c r="L804" t="n">
        <v>0.0</v>
      </c>
      <c r="M804" t="n">
        <v>0.0</v>
      </c>
      <c r="N804" t="inlineStr">
        <is>
          <t/>
        </is>
      </c>
      <c r="O804" t="n">
        <v>0.0</v>
      </c>
      <c r="P804" t="n">
        <v>0.0</v>
      </c>
      <c r="Q804" t="inlineStr">
        <is>
          <t/>
        </is>
      </c>
      <c r="R804" t="inlineStr">
        <is>
          <t/>
        </is>
      </c>
      <c r="S804" t="n">
        <v>0.0</v>
      </c>
      <c r="T804" t="n">
        <v>0.0</v>
      </c>
      <c r="U804" t="n">
        <v>0.0</v>
      </c>
      <c r="V804" t="n">
        <v>0.0</v>
      </c>
      <c r="W804" t="inlineStr">
        <is>
          <t/>
        </is>
      </c>
      <c r="X804" t="n">
        <v>0.0</v>
      </c>
      <c r="Y804" t="n">
        <v>0.0</v>
      </c>
      <c r="Z804" t="n">
        <v>0.0</v>
      </c>
      <c r="AA804" t="n">
        <v>0.0</v>
      </c>
      <c r="AB804" t="n">
        <v>0.0</v>
      </c>
      <c r="AC804" t="n">
        <v>0.0</v>
      </c>
      <c r="AD804" t="n">
        <v>0.0</v>
      </c>
      <c r="AE804" t="n">
        <v>0.0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inlineStr">
        <is>
          <t/>
        </is>
      </c>
      <c r="AL804" t="inlineStr">
        <is>
          <t/>
        </is>
      </c>
    </row>
    <row r="805">
      <c r="A805" t="inlineStr">
        <is>
          <t>请教教我爸无添加虾仁怎么在网上卖出去😭</t>
        </is>
      </c>
      <c r="B805" t="inlineStr">
        <is>
          <t>69be4653000000002202a9a5</t>
        </is>
      </c>
      <c r="C805" s="804" t="n">
        <f>HYPERLINK("https://www.xiaohongshu.com/explore/69be4653000000002202a9a5?xsec_token=TBEV1jCaY14J6usHdX26xRKFoxZuZe6v7l4sEqC3HXtAE=&amp;xsec_source=pc_trdark","https://www.xiaohongshu.com/explore/69be4653000000002202a9a5?xsec_token=TBEV1jCaY14J6usHdX26xRKFoxZuZe6v7l4sEqC3HXtAE=&amp;xsec_source=pc_trdark")</f>
        <v>0.0</v>
      </c>
      <c r="D805" t="inlineStr">
        <is>
          <t>鲜水湾</t>
        </is>
      </c>
      <c r="E805" t="inlineStr">
        <is>
          <t>49316638994</t>
        </is>
      </c>
      <c r="F805" t="inlineStr">
        <is>
          <t>2026-03-21 15:18:43</t>
        </is>
      </c>
      <c r="G805" t="inlineStr">
        <is>
          <t>图文</t>
        </is>
      </c>
      <c r="H805" t="inlineStr">
        <is>
          <t>手剥虾仁 无冰衣无添加 低脂餐一人食 上班带饭 顺丰包邮 5盒装</t>
        </is>
      </c>
      <c r="I805" t="inlineStr">
        <is>
          <t>694baba01d450d00013662f0</t>
        </is>
      </c>
      <c r="J805" t="inlineStr">
        <is>
          <t/>
        </is>
      </c>
      <c r="K805" t="n">
        <v>0.0</v>
      </c>
      <c r="L805" t="n">
        <v>0.0</v>
      </c>
      <c r="M805" t="n">
        <v>0.0</v>
      </c>
      <c r="N805" t="inlineStr">
        <is>
          <t/>
        </is>
      </c>
      <c r="O805" t="n">
        <v>0.0</v>
      </c>
      <c r="P805" t="n">
        <v>0.0</v>
      </c>
      <c r="Q805" t="inlineStr">
        <is>
          <t/>
        </is>
      </c>
      <c r="R805" t="inlineStr">
        <is>
          <t/>
        </is>
      </c>
      <c r="S805" t="n">
        <v>0.0</v>
      </c>
      <c r="T805" t="n">
        <v>0.0</v>
      </c>
      <c r="U805" t="n">
        <v>0.0</v>
      </c>
      <c r="V805" t="n">
        <v>0.0</v>
      </c>
      <c r="W805" t="inlineStr">
        <is>
          <t/>
        </is>
      </c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inlineStr">
        <is>
          <t/>
        </is>
      </c>
      <c r="AL805" t="inlineStr">
        <is>
          <t/>
        </is>
      </c>
    </row>
    <row r="806">
      <c r="A806" t="inlineStr">
        <is>
          <t>区区69块💰承包了我一星期减脂餐</t>
        </is>
      </c>
      <c r="B806" t="inlineStr">
        <is>
          <t>69bd027c000000001f007dc1</t>
        </is>
      </c>
      <c r="C806" s="805" t="n">
        <f>HYPERLINK("https://www.xiaohongshu.com/explore/69bd027c000000001f007dc1?xsec_token=TBRwbx0S6Y78qN5wWC1_PyBHONLIcXZuNu9QffIcJOvOQ=&amp;xsec_source=pc_trdark","https://www.xiaohongshu.com/explore/69bd027c000000001f007dc1?xsec_token=TBRwbx0S6Y78qN5wWC1_PyBHONLIcXZuNu9QffIcJOvOQ=&amp;xsec_source=pc_trdark")</f>
        <v>0.0</v>
      </c>
      <c r="D806" t="inlineStr">
        <is>
          <t>菲菲上班吃什么</t>
        </is>
      </c>
      <c r="E806" t="inlineStr">
        <is>
          <t>49936530607</t>
        </is>
      </c>
      <c r="F806" t="inlineStr">
        <is>
          <t>2026-03-20 16:17:00</t>
        </is>
      </c>
      <c r="G806" t="inlineStr">
        <is>
          <t>图文</t>
        </is>
      </c>
      <c r="H806" t="inlineStr">
        <is>
          <t>手剥虾仁 无冰衣无添加 低脂餐一人食 上班带饭 顺丰包邮 5盒装</t>
        </is>
      </c>
      <c r="I806" t="inlineStr">
        <is>
          <t>694baba01d450d00013662f0</t>
        </is>
      </c>
      <c r="J806" t="inlineStr">
        <is>
          <t/>
        </is>
      </c>
      <c r="K806" t="n">
        <v>0.0</v>
      </c>
      <c r="L806" t="n">
        <v>0.0</v>
      </c>
      <c r="M806" t="n">
        <v>0.0</v>
      </c>
      <c r="N806" t="inlineStr">
        <is>
          <t/>
        </is>
      </c>
      <c r="O806" t="n">
        <v>0.0</v>
      </c>
      <c r="P806" t="n">
        <v>0.0</v>
      </c>
      <c r="Q806" t="inlineStr">
        <is>
          <t/>
        </is>
      </c>
      <c r="R806" t="inlineStr">
        <is>
          <t/>
        </is>
      </c>
      <c r="S806" t="n">
        <v>0.0</v>
      </c>
      <c r="T806" t="n">
        <v>0.0</v>
      </c>
      <c r="U806" t="n">
        <v>0.0</v>
      </c>
      <c r="V806" t="n">
        <v>0.0</v>
      </c>
      <c r="W806" t="inlineStr">
        <is>
          <t/>
        </is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inlineStr">
        <is>
          <t/>
        </is>
      </c>
      <c r="AL806" t="inlineStr">
        <is>
          <t/>
        </is>
      </c>
    </row>
    <row r="807">
      <c r="A807" t="inlineStr">
        <is>
          <t>爸妈总说我天天吃虾仁太奢侈！</t>
        </is>
      </c>
      <c r="B807" t="inlineStr">
        <is>
          <t>69bcb440000000001f00573b</t>
        </is>
      </c>
      <c r="C807" s="806" t="n">
        <f>HYPERLINK("https://www.xiaohongshu.com/explore/69bcb440000000001f00573b?xsec_token=TBfIJFVzszocpn5U7ogutYTcHoqKvrLfOuSp-MkrScpAY=&amp;xsec_source=pc_trdark","https://www.xiaohongshu.com/explore/69bcb440000000001f00573b?xsec_token=TBfIJFVzszocpn5U7ogutYTcHoqKvrLfOuSp-MkrScpAY=&amp;xsec_source=pc_trdark")</f>
        <v>0.0</v>
      </c>
      <c r="D807" t="inlineStr">
        <is>
          <t>婉婉上班吃什么</t>
        </is>
      </c>
      <c r="E807" t="inlineStr">
        <is>
          <t>11434449706</t>
        </is>
      </c>
      <c r="F807" t="inlineStr">
        <is>
          <t>2026-03-20 10:43:12</t>
        </is>
      </c>
      <c r="G807" t="inlineStr">
        <is>
          <t>图文</t>
        </is>
      </c>
      <c r="H807" t="inlineStr">
        <is>
          <t>手剥虾仁 无冰衣无添加 低脂餐一人食 上班带饭 顺丰包邮 5盒装</t>
        </is>
      </c>
      <c r="I807" t="inlineStr">
        <is>
          <t>694baba01d450d00013662f0</t>
        </is>
      </c>
      <c r="J807" t="inlineStr">
        <is>
          <t/>
        </is>
      </c>
      <c r="K807" t="n">
        <v>0.0</v>
      </c>
      <c r="L807" t="n">
        <v>0.0</v>
      </c>
      <c r="M807" t="n">
        <v>0.0</v>
      </c>
      <c r="N807" t="inlineStr">
        <is>
          <t/>
        </is>
      </c>
      <c r="O807" t="n">
        <v>0.0</v>
      </c>
      <c r="P807" t="n">
        <v>0.0</v>
      </c>
      <c r="Q807" t="inlineStr">
        <is>
          <t/>
        </is>
      </c>
      <c r="R807" t="inlineStr">
        <is>
          <t/>
        </is>
      </c>
      <c r="S807" t="n">
        <v>0.0</v>
      </c>
      <c r="T807" t="n">
        <v>0.0</v>
      </c>
      <c r="U807" t="n">
        <v>0.0</v>
      </c>
      <c r="V807" t="n">
        <v>0.0</v>
      </c>
      <c r="W807" t="inlineStr">
        <is>
          <t/>
        </is>
      </c>
      <c r="X807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 t="n">
        <v>0.0</v>
      </c>
      <c r="AJ807" t="n">
        <v>0.0</v>
      </c>
      <c r="AK807" t="inlineStr">
        <is>
          <t/>
        </is>
      </c>
      <c r="AL807" t="inlineStr">
        <is>
          <t/>
        </is>
      </c>
    </row>
    <row r="808">
      <c r="A808" t="inlineStr">
        <is>
          <t>年后减脂真花不了几个钱，69够吃一周</t>
        </is>
      </c>
      <c r="B808" t="inlineStr">
        <is>
          <t>69bbf8ee0000000023015a28</t>
        </is>
      </c>
      <c r="C808" s="807" t="n">
        <f>HYPERLINK("https://www.xiaohongshu.com/explore/69bbf8ee0000000023015a28?xsec_token=TBbjiHoA30T3IRnkbtYIm1OwAAs42xQmZ3Mvz1dYD5wTg=&amp;xsec_source=pc_trdark","https://www.xiaohongshu.com/explore/69bbf8ee0000000023015a28?xsec_token=TBbjiHoA30T3IRnkbtYIm1OwAAs42xQmZ3Mvz1dYD5wTg=&amp;xsec_source=pc_trdark")</f>
        <v>0.0</v>
      </c>
      <c r="D808" t="inlineStr">
        <is>
          <t>鲜水湾</t>
        </is>
      </c>
      <c r="E808" t="inlineStr">
        <is>
          <t>49316638994</t>
        </is>
      </c>
      <c r="F808" t="inlineStr">
        <is>
          <t>2026-03-19 21:23:58</t>
        </is>
      </c>
      <c r="G808" t="inlineStr">
        <is>
          <t>图文</t>
        </is>
      </c>
      <c r="H808" t="inlineStr">
        <is>
          <t>手剥虾仁 无冰衣无添加 低脂餐一人食 上班带饭 顺丰包邮 5盒装</t>
        </is>
      </c>
      <c r="I808" t="inlineStr">
        <is>
          <t>694baba01d450d00013662f0</t>
        </is>
      </c>
      <c r="J808" t="inlineStr">
        <is>
          <t/>
        </is>
      </c>
      <c r="K808" t="n">
        <v>0.0</v>
      </c>
      <c r="L808" t="n">
        <v>0.0</v>
      </c>
      <c r="M808" t="n">
        <v>0.0</v>
      </c>
      <c r="N808" t="inlineStr">
        <is>
          <t/>
        </is>
      </c>
      <c r="O808" t="n">
        <v>0.0</v>
      </c>
      <c r="P808" t="n">
        <v>0.0</v>
      </c>
      <c r="Q808" t="inlineStr">
        <is>
          <t/>
        </is>
      </c>
      <c r="R808" t="inlineStr">
        <is>
          <t/>
        </is>
      </c>
      <c r="S808" t="n">
        <v>0.0</v>
      </c>
      <c r="T808" t="n">
        <v>0.0</v>
      </c>
      <c r="U808" t="n">
        <v>0.0</v>
      </c>
      <c r="V808" t="n">
        <v>0.0</v>
      </c>
      <c r="W808" t="inlineStr">
        <is>
          <t/>
        </is>
      </c>
      <c r="X808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inlineStr">
        <is>
          <t/>
        </is>
      </c>
      <c r="AL808" t="inlineStr">
        <is>
          <t/>
        </is>
      </c>
    </row>
    <row r="809">
      <c r="A809" t="inlineStr">
        <is>
          <t>年后控体真花不了多少钱，69够吃一周了</t>
        </is>
      </c>
      <c r="B809" t="inlineStr">
        <is>
          <t>69bbc9c6000000001a0379e6</t>
        </is>
      </c>
      <c r="C809" s="808" t="n">
        <f>HYPERLINK("https://www.xiaohongshu.com/explore/69bbc9c6000000001a0379e6?xsec_token=TBbjiHoA30T3IRnkbtYIm1OxSddf9eHzcGykE9ubc0Lgk=&amp;xsec_source=pc_trdark","https://www.xiaohongshu.com/explore/69bbc9c6000000001a0379e6?xsec_token=TBbjiHoA30T3IRnkbtYIm1OxSddf9eHzcGykE9ubc0Lgk=&amp;xsec_source=pc_trdark")</f>
        <v>0.0</v>
      </c>
      <c r="D809" t="inlineStr">
        <is>
          <t>婉婉上班吃什么</t>
        </is>
      </c>
      <c r="E809" t="inlineStr">
        <is>
          <t>11434449706</t>
        </is>
      </c>
      <c r="F809" t="inlineStr">
        <is>
          <t>2026-03-19 18:02:46</t>
        </is>
      </c>
      <c r="G809" t="inlineStr">
        <is>
          <t>图文</t>
        </is>
      </c>
      <c r="H809" t="inlineStr">
        <is>
          <t>手剥虾仁 无冰衣无添加 低脂餐一人食 上班带饭 顺丰包邮 5盒装</t>
        </is>
      </c>
      <c r="I809" t="inlineStr">
        <is>
          <t>694baba01d450d00013662f0</t>
        </is>
      </c>
      <c r="J809" t="inlineStr">
        <is>
          <t/>
        </is>
      </c>
      <c r="K809" t="n">
        <v>0.0</v>
      </c>
      <c r="L809" t="n">
        <v>0.0</v>
      </c>
      <c r="M809" t="n">
        <v>0.0</v>
      </c>
      <c r="N809" t="inlineStr">
        <is>
          <t/>
        </is>
      </c>
      <c r="O809" t="n">
        <v>0.0</v>
      </c>
      <c r="P809" t="n">
        <v>0.0</v>
      </c>
      <c r="Q809" t="inlineStr">
        <is>
          <t/>
        </is>
      </c>
      <c r="R809" t="inlineStr">
        <is>
          <t/>
        </is>
      </c>
      <c r="S809" t="n">
        <v>0.0</v>
      </c>
      <c r="T809" t="n">
        <v>0.0</v>
      </c>
      <c r="U809" t="n">
        <v>0.0</v>
      </c>
      <c r="V809" t="n">
        <v>0.0</v>
      </c>
      <c r="W809" t="inlineStr">
        <is>
          <t/>
        </is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n">
        <v>0.0</v>
      </c>
      <c r="AI809" t="n">
        <v>0.0</v>
      </c>
      <c r="AJ809" t="n">
        <v>0.0</v>
      </c>
      <c r="AK809" t="inlineStr">
        <is>
          <t/>
        </is>
      </c>
      <c r="AL809" t="inlineStr">
        <is>
          <t/>
        </is>
      </c>
    </row>
    <row r="810">
      <c r="A810" t="inlineStr">
        <is>
          <t>请大数据把我推荐给上班带饭的宝子</t>
        </is>
      </c>
      <c r="B810" t="inlineStr">
        <is>
          <t>69bb65a4000000002301ff2b</t>
        </is>
      </c>
      <c r="C810" s="809" t="n">
        <f>HYPERLINK("https://www.xiaohongshu.com/explore/69bb65a4000000002301ff2b?xsec_token=TBbjiHoA30T3IRnkbtYIm1O0mDNBiovlJQcw6P_G6mCaU=&amp;xsec_source=pc_trdark","https://www.xiaohongshu.com/explore/69bb65a4000000002301ff2b?xsec_token=TBbjiHoA30T3IRnkbtYIm1O0mDNBiovlJQcw6P_G6mCaU=&amp;xsec_source=pc_trdark")</f>
        <v>0.0</v>
      </c>
      <c r="D810" t="inlineStr">
        <is>
          <t>婉婉上班吃什么</t>
        </is>
      </c>
      <c r="E810" t="inlineStr">
        <is>
          <t>11434449706</t>
        </is>
      </c>
      <c r="F810" t="inlineStr">
        <is>
          <t>2026-03-19 10:55:32</t>
        </is>
      </c>
      <c r="G810" t="inlineStr">
        <is>
          <t>图文</t>
        </is>
      </c>
      <c r="H810" t="inlineStr">
        <is>
          <t>手剥虾仁 无冰衣无添加 低脂餐一人食 上班带饭 顺丰包邮 5盒装</t>
        </is>
      </c>
      <c r="I810" t="inlineStr">
        <is>
          <t>694baba01d450d00013662f0</t>
        </is>
      </c>
      <c r="J810" t="inlineStr">
        <is>
          <t/>
        </is>
      </c>
      <c r="K810" t="n">
        <v>0.0</v>
      </c>
      <c r="L810" t="n">
        <v>0.0</v>
      </c>
      <c r="M810" t="n">
        <v>0.0</v>
      </c>
      <c r="N810" t="inlineStr">
        <is>
          <t/>
        </is>
      </c>
      <c r="O810" t="n">
        <v>0.0</v>
      </c>
      <c r="P810" t="n">
        <v>0.0</v>
      </c>
      <c r="Q810" t="inlineStr">
        <is>
          <t/>
        </is>
      </c>
      <c r="R810" t="inlineStr">
        <is>
          <t/>
        </is>
      </c>
      <c r="S810" t="n">
        <v>0.0</v>
      </c>
      <c r="T810" t="n">
        <v>0.0</v>
      </c>
      <c r="U810" t="n">
        <v>0.0</v>
      </c>
      <c r="V810" t="n">
        <v>0.0</v>
      </c>
      <c r="W810" t="inlineStr">
        <is>
          <t/>
        </is>
      </c>
      <c r="X810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inlineStr">
        <is>
          <t/>
        </is>
      </c>
      <c r="AL810" t="inlineStr">
        <is>
          <t/>
        </is>
      </c>
    </row>
    <row r="811">
      <c r="A811" t="inlineStr">
        <is>
          <t>和老爸商量后，为独居姐妹推出的专属小包</t>
        </is>
      </c>
      <c r="B811" t="inlineStr">
        <is>
          <t>69bac2e4000000001a035f20</t>
        </is>
      </c>
      <c r="C811" s="810" t="n">
        <f>HYPERLINK("https://www.xiaohongshu.com/explore/69bac2e4000000001a035f20?xsec_token=TBgJVNruMKjnZKfHBYiZtZCXmcQ9fxS8dCHo8xRSRGNOU=&amp;xsec_source=pc_trdark","https://www.xiaohongshu.com/explore/69bac2e4000000001a035f20?xsec_token=TBgJVNruMKjnZKfHBYiZtZCXmcQ9fxS8dCHo8xRSRGNOU=&amp;xsec_source=pc_trdark")</f>
        <v>0.0</v>
      </c>
      <c r="D811" t="inlineStr">
        <is>
          <t>鲜水湾</t>
        </is>
      </c>
      <c r="E811" t="inlineStr">
        <is>
          <t>49316638994</t>
        </is>
      </c>
      <c r="F811" t="inlineStr">
        <is>
          <t>2026-03-18 23:21:08</t>
        </is>
      </c>
      <c r="G811" t="inlineStr">
        <is>
          <t>图文</t>
        </is>
      </c>
      <c r="H811" t="inlineStr">
        <is>
          <t>手剥虾仁 无冰衣无添加 低脂餐一人食 上班带饭 顺丰包邮 5盒装</t>
        </is>
      </c>
      <c r="I811" t="inlineStr">
        <is>
          <t>694baba01d450d00013662f0</t>
        </is>
      </c>
      <c r="J811" t="inlineStr">
        <is>
          <t/>
        </is>
      </c>
      <c r="K811" t="n">
        <v>0.0</v>
      </c>
      <c r="L811" t="n">
        <v>0.0</v>
      </c>
      <c r="M811" t="n">
        <v>0.0</v>
      </c>
      <c r="N811" t="inlineStr">
        <is>
          <t/>
        </is>
      </c>
      <c r="O811" t="n">
        <v>0.0</v>
      </c>
      <c r="P811" t="n">
        <v>0.0</v>
      </c>
      <c r="Q811" t="inlineStr">
        <is>
          <t/>
        </is>
      </c>
      <c r="R811" t="inlineStr">
        <is>
          <t/>
        </is>
      </c>
      <c r="S811" t="n">
        <v>0.0</v>
      </c>
      <c r="T811" t="n">
        <v>0.0</v>
      </c>
      <c r="U811" t="n">
        <v>0.0</v>
      </c>
      <c r="V811" t="n">
        <v>0.0</v>
      </c>
      <c r="W811" t="inlineStr">
        <is>
          <t/>
        </is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n">
        <v>0.0</v>
      </c>
      <c r="AI811" t="n">
        <v>0.0</v>
      </c>
      <c r="AJ811" t="n">
        <v>0.0</v>
      </c>
      <c r="AK811" t="inlineStr">
        <is>
          <t/>
        </is>
      </c>
      <c r="AL811" t="inlineStr">
        <is>
          <t/>
        </is>
      </c>
    </row>
    <row r="812">
      <c r="A812" t="inlineStr">
        <is>
          <t>和老爸商量后，为早八人推出的专属小包</t>
        </is>
      </c>
      <c r="B812" t="inlineStr">
        <is>
          <t>69babf45000000002301e817</t>
        </is>
      </c>
      <c r="C812" s="811" t="n">
        <f>HYPERLINK("https://www.xiaohongshu.com/explore/69babf45000000002301e817?xsec_token=TBgJVNruMKjnZKfHBYiZtZCStu98H5zeA0Ok453wTNTlw=&amp;xsec_source=pc_trdark","https://www.xiaohongshu.com/explore/69babf45000000002301e817?xsec_token=TBgJVNruMKjnZKfHBYiZtZCStu98H5zeA0Ok453wTNTlw=&amp;xsec_source=pc_trdark")</f>
        <v>0.0</v>
      </c>
      <c r="D812" t="inlineStr">
        <is>
          <t>鲜水湾</t>
        </is>
      </c>
      <c r="E812" t="inlineStr">
        <is>
          <t>49316638994</t>
        </is>
      </c>
      <c r="F812" t="inlineStr">
        <is>
          <t>2026-03-18 23:05:41</t>
        </is>
      </c>
      <c r="G812" t="inlineStr">
        <is>
          <t>图文</t>
        </is>
      </c>
      <c r="H812" t="inlineStr">
        <is>
          <t>手剥虾仁 无冰衣无添加 低脂餐一人食 上班带饭 顺丰包邮 5盒装</t>
        </is>
      </c>
      <c r="I812" t="inlineStr">
        <is>
          <t>694baba01d450d00013662f0</t>
        </is>
      </c>
      <c r="J812" t="inlineStr">
        <is>
          <t/>
        </is>
      </c>
      <c r="K812" t="n">
        <v>0.0</v>
      </c>
      <c r="L812" t="n">
        <v>0.0</v>
      </c>
      <c r="M812" t="n">
        <v>0.0</v>
      </c>
      <c r="N812" t="inlineStr">
        <is>
          <t/>
        </is>
      </c>
      <c r="O812" t="n">
        <v>0.0</v>
      </c>
      <c r="P812" t="n">
        <v>0.0</v>
      </c>
      <c r="Q812" t="inlineStr">
        <is>
          <t/>
        </is>
      </c>
      <c r="R812" t="inlineStr">
        <is>
          <t/>
        </is>
      </c>
      <c r="S812" t="n">
        <v>0.0</v>
      </c>
      <c r="T812" t="n">
        <v>0.0</v>
      </c>
      <c r="U812" t="n">
        <v>0.0</v>
      </c>
      <c r="V812" t="n">
        <v>0.0</v>
      </c>
      <c r="W812" t="inlineStr">
        <is>
          <t/>
        </is>
      </c>
      <c r="X812" t="n">
        <v>0.0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n">
        <v>0.0</v>
      </c>
      <c r="AI812" t="n">
        <v>0.0</v>
      </c>
      <c r="AJ812" t="n">
        <v>0.0</v>
      </c>
      <c r="AK812" t="inlineStr">
        <is>
          <t/>
        </is>
      </c>
      <c r="AL812" t="inlineStr">
        <is>
          <t/>
        </is>
      </c>
    </row>
    <row r="813">
      <c r="A813" t="inlineStr">
        <is>
          <t/>
        </is>
      </c>
      <c r="B813" t="inlineStr">
        <is>
          <t>69ba9686000000001e00c419</t>
        </is>
      </c>
      <c r="C813" s="812" t="n">
        <f>HYPERLINK("https://www.xiaohongshu.com/explore/69ba9686000000001e00c419?xsec_token=TBgJVNruMKjnZKfHBYiZtZCWoTTdCB9k62G9vVOx2-c04=&amp;xsec_source=pc_trdark","https://www.xiaohongshu.com/explore/69ba9686000000001e00c419?xsec_token=TBgJVNruMKjnZKfHBYiZtZCWoTTdCB9k62G9vVOx2-c04=&amp;xsec_source=pc_trdark")</f>
        <v>0.0</v>
      </c>
      <c r="D813" t="inlineStr">
        <is>
          <t>婉婉上班吃什么</t>
        </is>
      </c>
      <c r="E813" t="inlineStr">
        <is>
          <t>11434449706</t>
        </is>
      </c>
      <c r="F813" t="inlineStr">
        <is>
          <t>2026-03-18 20:11:50</t>
        </is>
      </c>
      <c r="G813" t="inlineStr">
        <is>
          <t>图文</t>
        </is>
      </c>
      <c r="H813" t="inlineStr">
        <is>
          <t>手剥虾仁 无冰衣无添加 低脂餐一人食 上班带饭 顺丰包邮 5盒装</t>
        </is>
      </c>
      <c r="I813" t="inlineStr">
        <is>
          <t>694baba01d450d00013662f0</t>
        </is>
      </c>
      <c r="J813" t="inlineStr">
        <is>
          <t/>
        </is>
      </c>
      <c r="K813" t="n">
        <v>0.0</v>
      </c>
      <c r="L813" t="n">
        <v>0.0</v>
      </c>
      <c r="M813" t="n">
        <v>0.0</v>
      </c>
      <c r="N813" t="inlineStr">
        <is>
          <t/>
        </is>
      </c>
      <c r="O813" t="n">
        <v>0.0</v>
      </c>
      <c r="P813" t="n">
        <v>0.0</v>
      </c>
      <c r="Q813" t="inlineStr">
        <is>
          <t/>
        </is>
      </c>
      <c r="R813" t="inlineStr">
        <is>
          <t/>
        </is>
      </c>
      <c r="S813" t="n">
        <v>0.0</v>
      </c>
      <c r="T813" t="n">
        <v>0.0</v>
      </c>
      <c r="U813" t="n">
        <v>0.0</v>
      </c>
      <c r="V813" t="n">
        <v>0.0</v>
      </c>
      <c r="W813" t="inlineStr">
        <is>
          <t/>
        </is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inlineStr">
        <is>
          <t/>
        </is>
      </c>
      <c r="AL813" t="inlineStr">
        <is>
          <t/>
        </is>
      </c>
    </row>
    <row r="814">
      <c r="A814" t="inlineStr">
        <is>
          <t>一个撑死人但热量很低的东西</t>
        </is>
      </c>
      <c r="B814" t="inlineStr">
        <is>
          <t>69ba6cb50000000023017bb2</t>
        </is>
      </c>
      <c r="C814" s="813" t="n">
        <f>HYPERLINK("https://www.xiaohongshu.com/explore/69ba6cb50000000023017bb2?xsec_token=TBgJVNruMKjnZKfHBYiZtZCbDEFG21wadrI4DirotV-R4=&amp;xsec_source=pc_trdark","https://www.xiaohongshu.com/explore/69ba6cb50000000023017bb2?xsec_token=TBgJVNruMKjnZKfHBYiZtZCbDEFG21wadrI4DirotV-R4=&amp;xsec_source=pc_trdark")</f>
        <v>0.0</v>
      </c>
      <c r="D814" t="inlineStr">
        <is>
          <t>鲜水湾</t>
        </is>
      </c>
      <c r="E814" t="inlineStr">
        <is>
          <t>49316638994</t>
        </is>
      </c>
      <c r="F814" t="inlineStr">
        <is>
          <t>2026-03-18 17:13:25</t>
        </is>
      </c>
      <c r="G814" t="inlineStr">
        <is>
          <t>图文</t>
        </is>
      </c>
      <c r="H814" t="inlineStr">
        <is>
          <t>手剥虾仁 无冰衣无添加 低脂餐一人食 上班带饭 顺丰包邮 5盒装</t>
        </is>
      </c>
      <c r="I814" t="inlineStr">
        <is>
          <t>694baba01d450d00013662f0</t>
        </is>
      </c>
      <c r="J814" t="inlineStr">
        <is>
          <t/>
        </is>
      </c>
      <c r="K814" t="n">
        <v>0.0</v>
      </c>
      <c r="L814" t="n">
        <v>0.0</v>
      </c>
      <c r="M814" t="n">
        <v>0.0</v>
      </c>
      <c r="N814" t="inlineStr">
        <is>
          <t/>
        </is>
      </c>
      <c r="O814" t="n">
        <v>0.0</v>
      </c>
      <c r="P814" t="n">
        <v>0.0</v>
      </c>
      <c r="Q814" t="inlineStr">
        <is>
          <t/>
        </is>
      </c>
      <c r="R814" t="inlineStr">
        <is>
          <t/>
        </is>
      </c>
      <c r="S814" t="n">
        <v>0.0</v>
      </c>
      <c r="T814" t="n">
        <v>0.0</v>
      </c>
      <c r="U814" t="n">
        <v>0.0</v>
      </c>
      <c r="V814" t="n">
        <v>0.0</v>
      </c>
      <c r="W814" t="inlineStr">
        <is>
          <t/>
        </is>
      </c>
      <c r="X814" t="n">
        <v>0.0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inlineStr">
        <is>
          <t/>
        </is>
      </c>
      <c r="AL814" t="inlineStr">
        <is>
          <t/>
        </is>
      </c>
    </row>
    <row r="815">
      <c r="A815" t="inlineStr">
        <is>
          <t>真的没想到！一人食小包装虾仁这么受欢迎😭</t>
        </is>
      </c>
      <c r="B815" t="inlineStr">
        <is>
          <t>69ba465a000000002301dc1f</t>
        </is>
      </c>
      <c r="C815" s="814" t="n">
        <f>HYPERLINK("https://www.xiaohongshu.com/explore/69ba465a000000002301dc1f?xsec_token=TBgJVNruMKjnZKfHBYiZtZCbBsNppxh3-fD4mtEuooqns=&amp;xsec_source=pc_trdark","https://www.xiaohongshu.com/explore/69ba465a000000002301dc1f?xsec_token=TBgJVNruMKjnZKfHBYiZtZCbBsNppxh3-fD4mtEuooqns=&amp;xsec_source=pc_trdark")</f>
        <v>0.0</v>
      </c>
      <c r="D815" t="inlineStr">
        <is>
          <t>鲜水湾</t>
        </is>
      </c>
      <c r="E815" t="inlineStr">
        <is>
          <t>49316638994</t>
        </is>
      </c>
      <c r="F815" t="inlineStr">
        <is>
          <t>2026-03-18 14:29:46</t>
        </is>
      </c>
      <c r="G815" t="inlineStr">
        <is>
          <t>图文</t>
        </is>
      </c>
      <c r="H815" t="inlineStr">
        <is>
          <t>手剥虾仁 无冰衣无添加 低脂餐一人食 上班带饭 顺丰包邮 5盒装</t>
        </is>
      </c>
      <c r="I815" t="inlineStr">
        <is>
          <t>694baba01d450d00013662f0</t>
        </is>
      </c>
      <c r="J815" t="inlineStr">
        <is>
          <t/>
        </is>
      </c>
      <c r="K815" t="n">
        <v>0.0</v>
      </c>
      <c r="L815" t="n">
        <v>0.0</v>
      </c>
      <c r="M815" t="n">
        <v>0.0</v>
      </c>
      <c r="N815" t="inlineStr">
        <is>
          <t/>
        </is>
      </c>
      <c r="O815" t="n">
        <v>0.0</v>
      </c>
      <c r="P815" t="n">
        <v>0.0</v>
      </c>
      <c r="Q815" t="inlineStr">
        <is>
          <t/>
        </is>
      </c>
      <c r="R815" t="inlineStr">
        <is>
          <t/>
        </is>
      </c>
      <c r="S815" t="n">
        <v>0.0</v>
      </c>
      <c r="T815" t="n">
        <v>0.0</v>
      </c>
      <c r="U815" t="n">
        <v>0.0</v>
      </c>
      <c r="V815" t="n">
        <v>0.0</v>
      </c>
      <c r="W815" t="inlineStr">
        <is>
          <t/>
        </is>
      </c>
      <c r="X815" t="n">
        <v>0.0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inlineStr">
        <is>
          <t/>
        </is>
      </c>
      <c r="AL815" t="inlineStr">
        <is>
          <t/>
        </is>
      </c>
    </row>
    <row r="816">
      <c r="A816" t="inlineStr">
        <is>
          <t>我健身教练推荐的</t>
        </is>
      </c>
      <c r="B816" t="inlineStr">
        <is>
          <t>69b971b900000000230225e8</t>
        </is>
      </c>
      <c r="C816" s="815" t="n">
        <f>HYPERLINK("https://www.xiaohongshu.com/explore/69b971b900000000230225e8?xsec_token=TBgv0wN35T_w0yZx7fmvlvfKWeNOiTFpC878FA_laii7k=&amp;xsec_source=pc_trdark","https://www.xiaohongshu.com/explore/69b971b900000000230225e8?xsec_token=TBgv0wN35T_w0yZx7fmvlvfKWeNOiTFpC878FA_laii7k=&amp;xsec_source=pc_trdark")</f>
        <v>0.0</v>
      </c>
      <c r="D816" t="inlineStr">
        <is>
          <t>鲜水湾甄选</t>
        </is>
      </c>
      <c r="E816" t="inlineStr">
        <is>
          <t>27401929161</t>
        </is>
      </c>
      <c r="F816" t="inlineStr">
        <is>
          <t>2026-03-17 23:22:33</t>
        </is>
      </c>
      <c r="G816" t="inlineStr">
        <is>
          <t>图文</t>
        </is>
      </c>
      <c r="H816" t="inlineStr">
        <is>
          <t>手剥虾仁 无冰衣无添加 低脂餐一人食 上班带饭 顺丰包邮 5盒装</t>
        </is>
      </c>
      <c r="I816" t="inlineStr">
        <is>
          <t>694baba01d450d00013662f0</t>
        </is>
      </c>
      <c r="J816" t="inlineStr">
        <is>
          <t/>
        </is>
      </c>
      <c r="K816" t="n">
        <v>0.0</v>
      </c>
      <c r="L816" t="n">
        <v>0.0</v>
      </c>
      <c r="M816" t="n">
        <v>0.0</v>
      </c>
      <c r="N816" t="inlineStr">
        <is>
          <t/>
        </is>
      </c>
      <c r="O816" t="n">
        <v>0.0</v>
      </c>
      <c r="P816" t="n">
        <v>0.0</v>
      </c>
      <c r="Q816" t="inlineStr">
        <is>
          <t/>
        </is>
      </c>
      <c r="R816" t="inlineStr">
        <is>
          <t/>
        </is>
      </c>
      <c r="S816" t="n">
        <v>0.0</v>
      </c>
      <c r="T816" t="n">
        <v>0.0</v>
      </c>
      <c r="U816" t="n">
        <v>0.0</v>
      </c>
      <c r="V816" t="n">
        <v>0.0</v>
      </c>
      <c r="W816" t="inlineStr">
        <is>
          <t/>
        </is>
      </c>
      <c r="X816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n">
        <v>0.0</v>
      </c>
      <c r="AI816" t="n">
        <v>0.0</v>
      </c>
      <c r="AJ816" t="n">
        <v>0.0</v>
      </c>
      <c r="AK816" t="inlineStr">
        <is>
          <t/>
        </is>
      </c>
      <c r="AL816" t="inlineStr">
        <is>
          <t/>
        </is>
      </c>
    </row>
    <row r="817">
      <c r="A817" t="inlineStr">
        <is>
          <t>推荐身材管理期的宝子们都去吃这个</t>
        </is>
      </c>
      <c r="B817" t="inlineStr">
        <is>
          <t>69b960eb000000001f005fed</t>
        </is>
      </c>
      <c r="C817" s="816" t="n">
        <f>HYPERLINK("https://www.xiaohongshu.com/explore/69b960eb000000001f005fed?xsec_token=TBgv0wN35T_w0yZx7fmvlvfJbThzeDNCyPQnQJpvdvF70=&amp;xsec_source=pc_trdark","https://www.xiaohongshu.com/explore/69b960eb000000001f005fed?xsec_token=TBgv0wN35T_w0yZx7fmvlvfJbThzeDNCyPQnQJpvdvF70=&amp;xsec_source=pc_trdark")</f>
        <v>0.0</v>
      </c>
      <c r="D817" t="inlineStr">
        <is>
          <t>婉婉上班吃什么</t>
        </is>
      </c>
      <c r="E817" t="inlineStr">
        <is>
          <t>11434449706</t>
        </is>
      </c>
      <c r="F817" t="inlineStr">
        <is>
          <t>2026-03-17 22:10:52</t>
        </is>
      </c>
      <c r="G817" t="inlineStr">
        <is>
          <t>图文</t>
        </is>
      </c>
      <c r="H817" t="inlineStr">
        <is>
          <t>手剥虾仁 无冰衣无添加 低脂餐一人食 上班带饭 顺丰包邮 5盒装</t>
        </is>
      </c>
      <c r="I817" t="inlineStr">
        <is>
          <t>694baba01d450d00013662f0</t>
        </is>
      </c>
      <c r="J817" t="inlineStr">
        <is>
          <t/>
        </is>
      </c>
      <c r="K817" t="n">
        <v>0.0</v>
      </c>
      <c r="L817" t="n">
        <v>0.0</v>
      </c>
      <c r="M817" t="n">
        <v>0.0</v>
      </c>
      <c r="N817" t="inlineStr">
        <is>
          <t/>
        </is>
      </c>
      <c r="O817" t="n">
        <v>0.0</v>
      </c>
      <c r="P817" t="n">
        <v>0.0</v>
      </c>
      <c r="Q817" t="inlineStr">
        <is>
          <t/>
        </is>
      </c>
      <c r="R817" t="inlineStr">
        <is>
          <t/>
        </is>
      </c>
      <c r="S817" t="n">
        <v>0.0</v>
      </c>
      <c r="T817" t="n">
        <v>0.0</v>
      </c>
      <c r="U817" t="n">
        <v>0.0</v>
      </c>
      <c r="V817" t="n">
        <v>0.0</v>
      </c>
      <c r="W817" t="inlineStr">
        <is>
          <t/>
        </is>
      </c>
      <c r="X817" t="n">
        <v>0.0</v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n">
        <v>0.0</v>
      </c>
      <c r="AI817" t="n">
        <v>0.0</v>
      </c>
      <c r="AJ817" t="n">
        <v>0.0</v>
      </c>
      <c r="AK817" t="inlineStr">
        <is>
          <t/>
        </is>
      </c>
      <c r="AL817" t="inlineStr">
        <is>
          <t/>
        </is>
      </c>
    </row>
    <row r="818">
      <c r="A818" t="inlineStr">
        <is>
          <t>我家虾仁不够火？还有人吃保水剂虾仁？</t>
        </is>
      </c>
      <c r="B818" t="inlineStr">
        <is>
          <t>69b923f9000000001f007572</t>
        </is>
      </c>
      <c r="C818" s="817" t="n">
        <f>HYPERLINK("https://www.xiaohongshu.com/explore/69b923f9000000001f007572?xsec_token=TBgv0wN35T_w0yZx7fmvlvfJBb-xHI4KTACbiqhuGAzVU=&amp;xsec_source=pc_trdark","https://www.xiaohongshu.com/explore/69b923f9000000001f007572?xsec_token=TBgv0wN35T_w0yZx7fmvlvfJBb-xHI4KTACbiqhuGAzVU=&amp;xsec_source=pc_trdark")</f>
        <v>0.0</v>
      </c>
      <c r="D818" t="inlineStr">
        <is>
          <t>鲜水湾</t>
        </is>
      </c>
      <c r="E818" t="inlineStr">
        <is>
          <t>49316638994</t>
        </is>
      </c>
      <c r="F818" t="inlineStr">
        <is>
          <t>2026-03-17 17:50:49</t>
        </is>
      </c>
      <c r="G818" t="inlineStr">
        <is>
          <t>图文</t>
        </is>
      </c>
      <c r="H818" t="inlineStr">
        <is>
          <t>手剥虾仁 无冰衣无添加 低脂餐一人食 上班带饭 顺丰包邮 5盒装</t>
        </is>
      </c>
      <c r="I818" t="inlineStr">
        <is>
          <t>694baba01d450d00013662f0</t>
        </is>
      </c>
      <c r="J818" t="inlineStr">
        <is>
          <t/>
        </is>
      </c>
      <c r="K818" t="n">
        <v>0.0</v>
      </c>
      <c r="L818" t="n">
        <v>0.0</v>
      </c>
      <c r="M818" t="n">
        <v>0.0</v>
      </c>
      <c r="N818" t="inlineStr">
        <is>
          <t/>
        </is>
      </c>
      <c r="O818" t="n">
        <v>0.0</v>
      </c>
      <c r="P818" t="n">
        <v>0.0</v>
      </c>
      <c r="Q818" t="inlineStr">
        <is>
          <t/>
        </is>
      </c>
      <c r="R818" t="inlineStr">
        <is>
          <t/>
        </is>
      </c>
      <c r="S818" t="n">
        <v>0.0</v>
      </c>
      <c r="T818" t="n">
        <v>0.0</v>
      </c>
      <c r="U818" t="n">
        <v>0.0</v>
      </c>
      <c r="V818" t="n">
        <v>0.0</v>
      </c>
      <c r="W818" t="inlineStr">
        <is>
          <t/>
        </is>
      </c>
      <c r="X818" t="n">
        <v>0.0</v>
      </c>
      <c r="Y818" t="n">
        <v>0.0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n">
        <v>0.0</v>
      </c>
      <c r="AI818" t="n">
        <v>0.0</v>
      </c>
      <c r="AJ818" t="n">
        <v>0.0</v>
      </c>
      <c r="AK818" t="inlineStr">
        <is>
          <t/>
        </is>
      </c>
      <c r="AL818" t="inlineStr">
        <is>
          <t/>
        </is>
      </c>
    </row>
    <row r="819">
      <c r="A819" t="inlineStr">
        <is>
          <t>管理期巨抗饿！69直接承包一周减脂餐💯</t>
        </is>
      </c>
      <c r="B819" t="inlineStr">
        <is>
          <t>69b7cd93000000001a0363fa</t>
        </is>
      </c>
      <c r="C819" s="818" t="n">
        <f>HYPERLINK("https://www.xiaohongshu.com/explore/69b7cd93000000001a0363fa?xsec_token=TBioiHaRPpzHnl86RCtCFk9rpA-PT3cKcTumJnGGjWQx4=&amp;xsec_source=pc_trdark","https://www.xiaohongshu.com/explore/69b7cd93000000001a0363fa?xsec_token=TBioiHaRPpzHnl86RCtCFk9rpA-PT3cKcTumJnGGjWQx4=&amp;xsec_source=pc_trdark")</f>
        <v>0.0</v>
      </c>
      <c r="D819" t="inlineStr">
        <is>
          <t>婉婉上班吃什么</t>
        </is>
      </c>
      <c r="E819" t="inlineStr">
        <is>
          <t>11434449706</t>
        </is>
      </c>
      <c r="F819" t="inlineStr">
        <is>
          <t>2026-03-16 17:29:55</t>
        </is>
      </c>
      <c r="G819" t="inlineStr">
        <is>
          <t>图文</t>
        </is>
      </c>
      <c r="H819" t="inlineStr">
        <is>
          <t>手剥虾仁 无冰衣无添加 低脂餐一人食 上班带饭 顺丰包邮 5盒装</t>
        </is>
      </c>
      <c r="I819" t="inlineStr">
        <is>
          <t>694baba01d450d00013662f0</t>
        </is>
      </c>
      <c r="J819" t="inlineStr">
        <is>
          <t/>
        </is>
      </c>
      <c r="K819" t="n">
        <v>0.0</v>
      </c>
      <c r="L819" t="n">
        <v>0.0</v>
      </c>
      <c r="M819" t="n">
        <v>0.0</v>
      </c>
      <c r="N819" t="inlineStr">
        <is>
          <t/>
        </is>
      </c>
      <c r="O819" t="n">
        <v>0.0</v>
      </c>
      <c r="P819" t="n">
        <v>0.0</v>
      </c>
      <c r="Q819" t="inlineStr">
        <is>
          <t/>
        </is>
      </c>
      <c r="R819" t="inlineStr">
        <is>
          <t/>
        </is>
      </c>
      <c r="S819" t="n">
        <v>0.0</v>
      </c>
      <c r="T819" t="n">
        <v>0.0</v>
      </c>
      <c r="U819" t="n">
        <v>0.0</v>
      </c>
      <c r="V819" t="n">
        <v>0.0</v>
      </c>
      <c r="W819" t="inlineStr">
        <is>
          <t/>
        </is>
      </c>
      <c r="X819" t="n">
        <v>0.0</v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  <c r="AK819" t="inlineStr">
        <is>
          <t/>
        </is>
      </c>
      <c r="AL819" t="inlineStr">
        <is>
          <t/>
        </is>
      </c>
    </row>
    <row r="820">
      <c r="A820" t="inlineStr">
        <is>
          <t>唯一的缺点：✂️脂期吃不停😭😭</t>
        </is>
      </c>
      <c r="B820" t="inlineStr">
        <is>
          <t>69b7cb750000000022025334</t>
        </is>
      </c>
      <c r="C820" s="819" t="n">
        <f>HYPERLINK("https://www.xiaohongshu.com/explore/69b7cb750000000022025334?xsec_token=TBioiHaRPpzHnl86RCtCFk9pry93nfn4ypBftI1fNMMxE=&amp;xsec_source=pc_trdark","https://www.xiaohongshu.com/explore/69b7cb750000000022025334?xsec_token=TBioiHaRPpzHnl86RCtCFk9pry93nfn4ypBftI1fNMMxE=&amp;xsec_source=pc_trdark")</f>
        <v>0.0</v>
      </c>
      <c r="D820" t="inlineStr">
        <is>
          <t>婉婉上班吃什么</t>
        </is>
      </c>
      <c r="E820" t="inlineStr">
        <is>
          <t>11434449706</t>
        </is>
      </c>
      <c r="F820" t="inlineStr">
        <is>
          <t>2026-03-16 17:20:53</t>
        </is>
      </c>
      <c r="G820" t="inlineStr">
        <is>
          <t>图文</t>
        </is>
      </c>
      <c r="H820" t="inlineStr">
        <is>
          <t>手剥虾仁 无冰衣无添加 低脂餐一人食 上班带饭 顺丰包邮 5盒装</t>
        </is>
      </c>
      <c r="I820" t="inlineStr">
        <is>
          <t>694baba01d450d00013662f0</t>
        </is>
      </c>
      <c r="J820" t="inlineStr">
        <is>
          <t/>
        </is>
      </c>
      <c r="K820" t="n">
        <v>0.0</v>
      </c>
      <c r="L820" t="n">
        <v>0.0</v>
      </c>
      <c r="M820" t="n">
        <v>0.0</v>
      </c>
      <c r="N820" t="inlineStr">
        <is>
          <t/>
        </is>
      </c>
      <c r="O820" t="n">
        <v>0.0</v>
      </c>
      <c r="P820" t="n">
        <v>0.0</v>
      </c>
      <c r="Q820" t="inlineStr">
        <is>
          <t/>
        </is>
      </c>
      <c r="R820" t="inlineStr">
        <is>
          <t/>
        </is>
      </c>
      <c r="S820" t="n">
        <v>0.0</v>
      </c>
      <c r="T820" t="n">
        <v>0.0</v>
      </c>
      <c r="U820" t="n">
        <v>0.0</v>
      </c>
      <c r="V820" t="n">
        <v>0.0</v>
      </c>
      <c r="W820" t="inlineStr">
        <is>
          <t/>
        </is>
      </c>
      <c r="X820" t="n">
        <v>0.0</v>
      </c>
      <c r="Y820" t="n">
        <v>0.0</v>
      </c>
      <c r="Z820" t="n">
        <v>0.0</v>
      </c>
      <c r="AA820" t="n">
        <v>0.0</v>
      </c>
      <c r="AB820" t="n">
        <v>0.0</v>
      </c>
      <c r="AC820" t="n">
        <v>0.0</v>
      </c>
      <c r="AD820" t="n">
        <v>0.0</v>
      </c>
      <c r="AE820" t="n">
        <v>0.0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inlineStr">
        <is>
          <t/>
        </is>
      </c>
      <c r="AL820" t="inlineStr">
        <is>
          <t/>
        </is>
      </c>
    </row>
    <row r="821">
      <c r="A821" t="inlineStr">
        <is>
          <t>下个月发工资我要再买30袋</t>
        </is>
      </c>
      <c r="B821" t="inlineStr">
        <is>
          <t>69b7c1a7000000001f002a7e</t>
        </is>
      </c>
      <c r="C821" s="820" t="n">
        <f>HYPERLINK("https://www.xiaohongshu.com/explore/69b7c1a7000000001f002a7e?xsec_token=TBioiHaRPpzHnl86RCtCFk9kz1_ho8y0RTDnZkKQ6sSCA=&amp;xsec_source=pc_trdark","https://www.xiaohongshu.com/explore/69b7c1a7000000001f002a7e?xsec_token=TBioiHaRPpzHnl86RCtCFk9kz1_ho8y0RTDnZkKQ6sSCA=&amp;xsec_source=pc_trdark")</f>
        <v>0.0</v>
      </c>
      <c r="D821" t="inlineStr">
        <is>
          <t>鲜水湾</t>
        </is>
      </c>
      <c r="E821" t="inlineStr">
        <is>
          <t>49316638994</t>
        </is>
      </c>
      <c r="F821" t="inlineStr">
        <is>
          <t>2026-03-16 16:39:03</t>
        </is>
      </c>
      <c r="G821" t="inlineStr">
        <is>
          <t>图文</t>
        </is>
      </c>
      <c r="H821" t="inlineStr">
        <is>
          <t>手剥虾仁 无冰衣无添加 低脂餐一人食 上班带饭 顺丰包邮 5盒装</t>
        </is>
      </c>
      <c r="I821" t="inlineStr">
        <is>
          <t>694baba01d450d00013662f0</t>
        </is>
      </c>
      <c r="J821" t="inlineStr">
        <is>
          <t/>
        </is>
      </c>
      <c r="K821" t="n">
        <v>0.0</v>
      </c>
      <c r="L821" t="n">
        <v>0.0</v>
      </c>
      <c r="M821" t="n">
        <v>0.0</v>
      </c>
      <c r="N821" t="inlineStr">
        <is>
          <t/>
        </is>
      </c>
      <c r="O821" t="n">
        <v>0.0</v>
      </c>
      <c r="P821" t="n">
        <v>0.0</v>
      </c>
      <c r="Q821" t="inlineStr">
        <is>
          <t/>
        </is>
      </c>
      <c r="R821" t="inlineStr">
        <is>
          <t/>
        </is>
      </c>
      <c r="S821" t="n">
        <v>0.0</v>
      </c>
      <c r="T821" t="n">
        <v>0.0</v>
      </c>
      <c r="U821" t="n">
        <v>0.0</v>
      </c>
      <c r="V821" t="n">
        <v>0.0</v>
      </c>
      <c r="W821" t="inlineStr">
        <is>
          <t/>
        </is>
      </c>
      <c r="X821" t="n">
        <v>0.0</v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n">
        <v>0.0</v>
      </c>
      <c r="AI821" t="n">
        <v>0.0</v>
      </c>
      <c r="AJ821" t="n">
        <v>0.0</v>
      </c>
      <c r="AK821" t="inlineStr">
        <is>
          <t/>
        </is>
      </c>
      <c r="AL821" t="inlineStr">
        <is>
          <t/>
        </is>
      </c>
    </row>
    <row r="822">
      <c r="A822" t="inlineStr">
        <is>
          <t>被催很久的小包装虾仁，上架了</t>
        </is>
      </c>
      <c r="B822" t="inlineStr">
        <is>
          <t>69b7ad78000000001e00ff44</t>
        </is>
      </c>
      <c r="C822" s="821" t="n">
        <f>HYPERLINK("https://www.xiaohongshu.com/explore/69b7ad78000000001e00ff44?xsec_token=TBioiHaRPpzHnl86RCtCFk9vHyZTQS-ewj_aUrY709vrE=&amp;xsec_source=pc_trdark","https://www.xiaohongshu.com/explore/69b7ad78000000001e00ff44?xsec_token=TBioiHaRPpzHnl86RCtCFk9vHyZTQS-ewj_aUrY709vrE=&amp;xsec_source=pc_trdark")</f>
        <v>0.0</v>
      </c>
      <c r="D822" t="inlineStr">
        <is>
          <t>鲜水湾</t>
        </is>
      </c>
      <c r="E822" t="inlineStr">
        <is>
          <t>49316638994</t>
        </is>
      </c>
      <c r="F822" t="inlineStr">
        <is>
          <t>2026-03-16 15:12:56</t>
        </is>
      </c>
      <c r="G822" t="inlineStr">
        <is>
          <t>图文</t>
        </is>
      </c>
      <c r="H822" t="inlineStr">
        <is>
          <t>手剥虾仁 无冰衣无添加 低脂餐一人食 上班带饭 顺丰包邮 5盒装</t>
        </is>
      </c>
      <c r="I822" t="inlineStr">
        <is>
          <t>694baba01d450d00013662f0</t>
        </is>
      </c>
      <c r="J822" t="inlineStr">
        <is>
          <t/>
        </is>
      </c>
      <c r="K822" t="n">
        <v>0.0</v>
      </c>
      <c r="L822" t="n">
        <v>0.0</v>
      </c>
      <c r="M822" t="n">
        <v>0.0</v>
      </c>
      <c r="N822" t="inlineStr">
        <is>
          <t/>
        </is>
      </c>
      <c r="O822" t="n">
        <v>0.0</v>
      </c>
      <c r="P822" t="n">
        <v>0.0</v>
      </c>
      <c r="Q822" t="inlineStr">
        <is>
          <t/>
        </is>
      </c>
      <c r="R822" t="inlineStr">
        <is>
          <t/>
        </is>
      </c>
      <c r="S822" t="n">
        <v>0.0</v>
      </c>
      <c r="T822" t="n">
        <v>0.0</v>
      </c>
      <c r="U822" t="n">
        <v>0.0</v>
      </c>
      <c r="V822" t="n">
        <v>0.0</v>
      </c>
      <c r="W822" t="inlineStr">
        <is>
          <t/>
        </is>
      </c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n">
        <v>0.0</v>
      </c>
      <c r="AI822" t="n">
        <v>0.0</v>
      </c>
      <c r="AJ822" t="n">
        <v>0.0</v>
      </c>
      <c r="AK822" t="inlineStr">
        <is>
          <t/>
        </is>
      </c>
      <c r="AL822" t="inlineStr">
        <is>
          <t/>
        </is>
      </c>
    </row>
    <row r="823">
      <c r="A823" t="inlineStr">
        <is>
          <t>请大数据推给天天吃轻食的宝子！</t>
        </is>
      </c>
      <c r="B823" t="inlineStr">
        <is>
          <t>69b77297000000002301ea16</t>
        </is>
      </c>
      <c r="C823" s="822" t="n">
        <f>HYPERLINK("https://www.xiaohongshu.com/explore/69b77297000000002301ea16?xsec_token=TBioiHaRPpzHnl86RCtCFk9pi57lpW8ccz18jjQRA79Cs=&amp;xsec_source=pc_trdark","https://www.xiaohongshu.com/explore/69b77297000000002301ea16?xsec_token=TBioiHaRPpzHnl86RCtCFk9pi57lpW8ccz18jjQRA79Cs=&amp;xsec_source=pc_trdark")</f>
        <v>0.0</v>
      </c>
      <c r="D823" t="inlineStr">
        <is>
          <t>鲜水湾</t>
        </is>
      </c>
      <c r="E823" t="inlineStr">
        <is>
          <t>49316638994</t>
        </is>
      </c>
      <c r="F823" t="inlineStr">
        <is>
          <t>2026-03-16 11:01:43</t>
        </is>
      </c>
      <c r="G823" t="inlineStr">
        <is>
          <t>图文</t>
        </is>
      </c>
      <c r="H823" t="inlineStr">
        <is>
          <t>手剥虾仁 无冰衣无添加 低脂餐一人食 上班带饭 顺丰包邮 5盒装</t>
        </is>
      </c>
      <c r="I823" t="inlineStr">
        <is>
          <t>694baba01d450d00013662f0</t>
        </is>
      </c>
      <c r="J823" t="inlineStr">
        <is>
          <t/>
        </is>
      </c>
      <c r="K823" t="n">
        <v>0.0</v>
      </c>
      <c r="L823" t="n">
        <v>0.0</v>
      </c>
      <c r="M823" t="n">
        <v>0.0</v>
      </c>
      <c r="N823" t="inlineStr">
        <is>
          <t/>
        </is>
      </c>
      <c r="O823" t="n">
        <v>0.0</v>
      </c>
      <c r="P823" t="n">
        <v>0.0</v>
      </c>
      <c r="Q823" t="inlineStr">
        <is>
          <t/>
        </is>
      </c>
      <c r="R823" t="inlineStr">
        <is>
          <t/>
        </is>
      </c>
      <c r="S823" t="n">
        <v>0.0</v>
      </c>
      <c r="T823" t="n">
        <v>0.0</v>
      </c>
      <c r="U823" t="n">
        <v>0.0</v>
      </c>
      <c r="V823" t="n">
        <v>0.0</v>
      </c>
      <c r="W823" t="inlineStr">
        <is>
          <t/>
        </is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inlineStr">
        <is>
          <t/>
        </is>
      </c>
      <c r="AL823" t="inlineStr">
        <is>
          <t/>
        </is>
      </c>
    </row>
    <row r="824">
      <c r="A824" t="inlineStr">
        <is>
          <t>独居女生必囤！这个健康餐我已经回购N次🍤</t>
        </is>
      </c>
      <c r="B824" t="inlineStr">
        <is>
          <t>69b6d05b000000001e00c338</t>
        </is>
      </c>
      <c r="C824" s="823" t="n">
        <f>HYPERLINK("https://www.xiaohongshu.com/explore/69b6d05b000000001e00c338?xsec_token=TBwpaEqA4ODk9qkUKPtwfpqdHjUFIVCbjgghwzMyl0gtY=&amp;xsec_source=pc_trdark","https://www.xiaohongshu.com/explore/69b6d05b000000001e00c338?xsec_token=TBwpaEqA4ODk9qkUKPtwfpqdHjUFIVCbjgghwzMyl0gtY=&amp;xsec_source=pc_trdark")</f>
        <v>0.0</v>
      </c>
      <c r="D824" t="inlineStr">
        <is>
          <t>婉婉上班吃什么</t>
        </is>
      </c>
      <c r="E824" t="inlineStr">
        <is>
          <t>11434449706</t>
        </is>
      </c>
      <c r="F824" t="inlineStr">
        <is>
          <t>2026-03-15 23:29:31</t>
        </is>
      </c>
      <c r="G824" t="inlineStr">
        <is>
          <t>图文</t>
        </is>
      </c>
      <c r="H824" t="inlineStr">
        <is>
          <t>手剥虾仁 无冰衣无添加 低脂餐一人食 上班带饭 顺丰包邮 5盒装</t>
        </is>
      </c>
      <c r="I824" t="inlineStr">
        <is>
          <t>694baba01d450d00013662f0</t>
        </is>
      </c>
      <c r="J824" t="inlineStr">
        <is>
          <t/>
        </is>
      </c>
      <c r="K824" t="n">
        <v>0.0</v>
      </c>
      <c r="L824" t="n">
        <v>0.0</v>
      </c>
      <c r="M824" t="n">
        <v>0.0</v>
      </c>
      <c r="N824" t="inlineStr">
        <is>
          <t/>
        </is>
      </c>
      <c r="O824" t="n">
        <v>0.0</v>
      </c>
      <c r="P824" t="n">
        <v>0.0</v>
      </c>
      <c r="Q824" t="inlineStr">
        <is>
          <t/>
        </is>
      </c>
      <c r="R824" t="inlineStr">
        <is>
          <t/>
        </is>
      </c>
      <c r="S824" t="n">
        <v>0.0</v>
      </c>
      <c r="T824" t="n">
        <v>0.0</v>
      </c>
      <c r="U824" t="n">
        <v>0.0</v>
      </c>
      <c r="V824" t="n">
        <v>0.0</v>
      </c>
      <c r="W824" t="inlineStr">
        <is>
          <t/>
        </is>
      </c>
      <c r="X824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inlineStr">
        <is>
          <t/>
        </is>
      </c>
      <c r="AL824" t="inlineStr">
        <is>
          <t/>
        </is>
      </c>
    </row>
    <row r="825">
      <c r="A825" t="inlineStr">
        <is>
          <t>和老爹商量后！专门出了69元年后减脂小包装</t>
        </is>
      </c>
      <c r="B825" t="inlineStr">
        <is>
          <t>69b58683000000001f0051e3</t>
        </is>
      </c>
      <c r="C825" s="824" t="n">
        <f>HYPERLINK("https://www.xiaohongshu.com/explore/69b58683000000001f0051e3?xsec_token=TBYgTJ9EzKmyKny4Vfc-tHE2KqEKmhkTR-Vb5OBd6_l_k=&amp;xsec_source=pc_trdark","https://www.xiaohongshu.com/explore/69b58683000000001f0051e3?xsec_token=TBYgTJ9EzKmyKny4Vfc-tHE2KqEKmhkTR-Vb5OBd6_l_k=&amp;xsec_source=pc_trdark")</f>
        <v>0.0</v>
      </c>
      <c r="D825" t="inlineStr">
        <is>
          <t>鲜水湾</t>
        </is>
      </c>
      <c r="E825" t="inlineStr">
        <is>
          <t>49316638994</t>
        </is>
      </c>
      <c r="F825" t="inlineStr">
        <is>
          <t>2026-03-15 00:02:11</t>
        </is>
      </c>
      <c r="G825" t="inlineStr">
        <is>
          <t>图文</t>
        </is>
      </c>
      <c r="H825" t="inlineStr">
        <is>
          <t>手剥虾仁 无冰衣无添加 低脂餐一人食 上班带饭 顺丰包邮 5盒装</t>
        </is>
      </c>
      <c r="I825" t="inlineStr">
        <is>
          <t>694baba01d450d00013662f0</t>
        </is>
      </c>
      <c r="J825" t="inlineStr">
        <is>
          <t/>
        </is>
      </c>
      <c r="K825" t="n">
        <v>0.0</v>
      </c>
      <c r="L825" t="n">
        <v>0.0</v>
      </c>
      <c r="M825" t="n">
        <v>0.0</v>
      </c>
      <c r="N825" t="inlineStr">
        <is>
          <t/>
        </is>
      </c>
      <c r="O825" t="n">
        <v>0.0</v>
      </c>
      <c r="P825" t="n">
        <v>0.0</v>
      </c>
      <c r="Q825" t="inlineStr">
        <is>
          <t/>
        </is>
      </c>
      <c r="R825" t="inlineStr">
        <is>
          <t/>
        </is>
      </c>
      <c r="S825" t="n">
        <v>0.0</v>
      </c>
      <c r="T825" t="n">
        <v>0.0</v>
      </c>
      <c r="U825" t="n">
        <v>0.0</v>
      </c>
      <c r="V825" t="n">
        <v>0.0</v>
      </c>
      <c r="W825" t="inlineStr">
        <is>
          <t/>
        </is>
      </c>
      <c r="X825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inlineStr">
        <is>
          <t/>
        </is>
      </c>
      <c r="AL825" t="inlineStr">
        <is>
          <t/>
        </is>
      </c>
    </row>
    <row r="826">
      <c r="A826" t="inlineStr">
        <is>
          <t>和老妈商量了，给独居人定制了小包装</t>
        </is>
      </c>
      <c r="B826" t="inlineStr">
        <is>
          <t>69b516b2000000001f00118d</t>
        </is>
      </c>
      <c r="C826" s="825" t="n">
        <f>HYPERLINK("https://www.xiaohongshu.com/explore/69b516b2000000001f00118d?xsec_token=TBYgTJ9EzKmyKny4Vfc-tHE2IDrRhsaucCtKDhXw9zTVg=&amp;xsec_source=pc_trdark","https://www.xiaohongshu.com/explore/69b516b2000000001f00118d?xsec_token=TBYgTJ9EzKmyKny4Vfc-tHE2IDrRhsaucCtKDhXw9zTVg=&amp;xsec_source=pc_trdark")</f>
        <v>0.0</v>
      </c>
      <c r="D826" t="inlineStr">
        <is>
          <t>鲜水湾</t>
        </is>
      </c>
      <c r="E826" t="inlineStr">
        <is>
          <t>49316638994</t>
        </is>
      </c>
      <c r="F826" t="inlineStr">
        <is>
          <t>2026-03-14 16:05:06</t>
        </is>
      </c>
      <c r="G826" t="inlineStr">
        <is>
          <t>图文</t>
        </is>
      </c>
      <c r="H826" t="inlineStr">
        <is>
          <t>手剥虾仁 无冰衣无添加 低脂餐一人食 上班带饭 顺丰包邮 5盒装</t>
        </is>
      </c>
      <c r="I826" t="inlineStr">
        <is>
          <t>694baba01d450d00013662f0</t>
        </is>
      </c>
      <c r="J826" t="inlineStr">
        <is>
          <t/>
        </is>
      </c>
      <c r="K826" t="n">
        <v>0.0</v>
      </c>
      <c r="L826" t="n">
        <v>0.0</v>
      </c>
      <c r="M826" t="n">
        <v>0.0</v>
      </c>
      <c r="N826" t="inlineStr">
        <is>
          <t/>
        </is>
      </c>
      <c r="O826" t="n">
        <v>0.0</v>
      </c>
      <c r="P826" t="n">
        <v>0.0</v>
      </c>
      <c r="Q826" t="inlineStr">
        <is>
          <t/>
        </is>
      </c>
      <c r="R826" t="inlineStr">
        <is>
          <t/>
        </is>
      </c>
      <c r="S826" t="n">
        <v>0.0</v>
      </c>
      <c r="T826" t="n">
        <v>0.0</v>
      </c>
      <c r="U826" t="n">
        <v>0.0</v>
      </c>
      <c r="V826" t="n">
        <v>0.0</v>
      </c>
      <c r="W826" t="inlineStr">
        <is>
          <t/>
        </is>
      </c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0.0</v>
      </c>
      <c r="AK826" t="inlineStr">
        <is>
          <t/>
        </is>
      </c>
      <c r="AL826" t="inlineStr">
        <is>
          <t/>
        </is>
      </c>
    </row>
    <row r="827">
      <c r="A827" t="inlineStr">
        <is>
          <t>以为69没多少，结果够我吃一周的了</t>
        </is>
      </c>
      <c r="B827" t="inlineStr">
        <is>
          <t>69b4feae000000002301f1f2</t>
        </is>
      </c>
      <c r="C827" s="826" t="n">
        <f>HYPERLINK("https://www.xiaohongshu.com/explore/69b4feae000000002301f1f2?xsec_token=TB4dy4zP2Sasn_cYXEm_KMI_42YHBsgJNfovk2Lohr8mE=&amp;xsec_source=pc_trdark","https://www.xiaohongshu.com/explore/69b4feae000000002301f1f2?xsec_token=TB4dy4zP2Sasn_cYXEm_KMI_42YHBsgJNfovk2Lohr8mE=&amp;xsec_source=pc_trdark")</f>
        <v>0.0</v>
      </c>
      <c r="D827" t="inlineStr">
        <is>
          <t>婉婉上班吃什么</t>
        </is>
      </c>
      <c r="E827" t="inlineStr">
        <is>
          <t>11434449706</t>
        </is>
      </c>
      <c r="F827" t="inlineStr">
        <is>
          <t>2026-03-14 14:22:38</t>
        </is>
      </c>
      <c r="G827" t="inlineStr">
        <is>
          <t>图文</t>
        </is>
      </c>
      <c r="H827" t="inlineStr">
        <is>
          <t>手剥虾仁 无冰衣无添加 低脂餐一人食 上班带饭 顺丰包邮 5盒装</t>
        </is>
      </c>
      <c r="I827" t="inlineStr">
        <is>
          <t>694baba01d450d00013662f0</t>
        </is>
      </c>
      <c r="J827" t="inlineStr">
        <is>
          <t/>
        </is>
      </c>
      <c r="K827" t="n">
        <v>0.0</v>
      </c>
      <c r="L827" t="n">
        <v>0.0</v>
      </c>
      <c r="M827" t="n">
        <v>0.0</v>
      </c>
      <c r="N827" t="inlineStr">
        <is>
          <t/>
        </is>
      </c>
      <c r="O827" t="n">
        <v>0.0</v>
      </c>
      <c r="P827" t="n">
        <v>0.0</v>
      </c>
      <c r="Q827" t="inlineStr">
        <is>
          <t/>
        </is>
      </c>
      <c r="R827" t="inlineStr">
        <is>
          <t/>
        </is>
      </c>
      <c r="S827" t="n">
        <v>0.0</v>
      </c>
      <c r="T827" t="n">
        <v>0.0</v>
      </c>
      <c r="U827" t="n">
        <v>0.0</v>
      </c>
      <c r="V827" t="n">
        <v>0.0</v>
      </c>
      <c r="W827" t="inlineStr">
        <is>
          <t/>
        </is>
      </c>
      <c r="X827" t="n">
        <v>0.0</v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inlineStr">
        <is>
          <t/>
        </is>
      </c>
      <c r="AL827" t="inlineStr">
        <is>
          <t/>
        </is>
      </c>
    </row>
    <row r="828">
      <c r="A828" t="inlineStr">
        <is>
          <t>感谢小红书！让独居党吃到了“细糠”🍤</t>
        </is>
      </c>
      <c r="B828" t="inlineStr">
        <is>
          <t>69b4fd630000000023015194</t>
        </is>
      </c>
      <c r="C828" s="827" t="n">
        <f>HYPERLINK("https://www.xiaohongshu.com/explore/69b4fd630000000023015194?xsec_token=TB4dy4zP2Sasn_cYXEm_KMI4CSuNPUljYqt8tYsLq168k=&amp;xsec_source=pc_trdark","https://www.xiaohongshu.com/explore/69b4fd630000000023015194?xsec_token=TB4dy4zP2Sasn_cYXEm_KMI4CSuNPUljYqt8tYsLq168k=&amp;xsec_source=pc_trdark")</f>
        <v>0.0</v>
      </c>
      <c r="D828" t="inlineStr">
        <is>
          <t>婉婉上班吃什么</t>
        </is>
      </c>
      <c r="E828" t="inlineStr">
        <is>
          <t>11434449706</t>
        </is>
      </c>
      <c r="F828" t="inlineStr">
        <is>
          <t>2026-03-14 14:17:07</t>
        </is>
      </c>
      <c r="G828" t="inlineStr">
        <is>
          <t>图文</t>
        </is>
      </c>
      <c r="H828" t="inlineStr">
        <is>
          <t>手剥虾仁 无冰衣无添加 低脂餐一人食 上班带饭 顺丰包邮 5盒装</t>
        </is>
      </c>
      <c r="I828" t="inlineStr">
        <is>
          <t>694baba01d450d00013662f0</t>
        </is>
      </c>
      <c r="J828" t="inlineStr">
        <is>
          <t/>
        </is>
      </c>
      <c r="K828" t="n">
        <v>0.0</v>
      </c>
      <c r="L828" t="n">
        <v>0.0</v>
      </c>
      <c r="M828" t="n">
        <v>0.0</v>
      </c>
      <c r="N828" t="inlineStr">
        <is>
          <t/>
        </is>
      </c>
      <c r="O828" t="n">
        <v>0.0</v>
      </c>
      <c r="P828" t="n">
        <v>0.0</v>
      </c>
      <c r="Q828" t="inlineStr">
        <is>
          <t/>
        </is>
      </c>
      <c r="R828" t="inlineStr">
        <is>
          <t/>
        </is>
      </c>
      <c r="S828" t="n">
        <v>0.0</v>
      </c>
      <c r="T828" t="n">
        <v>0.0</v>
      </c>
      <c r="U828" t="n">
        <v>0.0</v>
      </c>
      <c r="V828" t="n">
        <v>0.0</v>
      </c>
      <c r="W828" t="inlineStr">
        <is>
          <t/>
        </is>
      </c>
      <c r="X828" t="n">
        <v>0.0</v>
      </c>
      <c r="Y828" t="n">
        <v>0.0</v>
      </c>
      <c r="Z828" t="n">
        <v>0.0</v>
      </c>
      <c r="AA828" t="n">
        <v>0.0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n">
        <v>0.0</v>
      </c>
      <c r="AI828" t="n">
        <v>0.0</v>
      </c>
      <c r="AJ828" t="n">
        <v>0.0</v>
      </c>
      <c r="AK828" t="inlineStr">
        <is>
          <t/>
        </is>
      </c>
      <c r="AL828" t="inlineStr">
        <is>
          <t/>
        </is>
      </c>
    </row>
    <row r="829">
      <c r="A829" t="inlineStr">
        <is>
          <t>和老妈商量了，年后推出一人食小包装</t>
        </is>
      </c>
      <c r="B829" t="inlineStr">
        <is>
          <t>69b4f7570000000022026975</t>
        </is>
      </c>
      <c r="C829" s="828" t="n">
        <f>HYPERLINK("https://www.xiaohongshu.com/explore/69b4f7570000000022026975?xsec_token=TB4dy4zP2Sasn_cYXEm_KMI3LinZHLtZ5F0bp_XNZzqQk=&amp;xsec_source=pc_trdark","https://www.xiaohongshu.com/explore/69b4f7570000000022026975?xsec_token=TB4dy4zP2Sasn_cYXEm_KMI3LinZHLtZ5F0bp_XNZzqQk=&amp;xsec_source=pc_trdark")</f>
        <v>0.0</v>
      </c>
      <c r="D829" t="inlineStr">
        <is>
          <t>鲜水湾</t>
        </is>
      </c>
      <c r="E829" t="inlineStr">
        <is>
          <t>49316638994</t>
        </is>
      </c>
      <c r="F829" t="inlineStr">
        <is>
          <t>2026-03-14 13:51:19</t>
        </is>
      </c>
      <c r="G829" t="inlineStr">
        <is>
          <t>图文</t>
        </is>
      </c>
      <c r="H829" t="inlineStr">
        <is>
          <t>手剥虾仁 无冰衣无添加 低脂餐一人食 上班带饭 顺丰包邮 5盒装</t>
        </is>
      </c>
      <c r="I829" t="inlineStr">
        <is>
          <t>694baba01d450d00013662f0</t>
        </is>
      </c>
      <c r="J829" t="inlineStr">
        <is>
          <t/>
        </is>
      </c>
      <c r="K829" t="n">
        <v>0.0</v>
      </c>
      <c r="L829" t="n">
        <v>0.0</v>
      </c>
      <c r="M829" t="n">
        <v>0.0</v>
      </c>
      <c r="N829" t="inlineStr">
        <is>
          <t/>
        </is>
      </c>
      <c r="O829" t="n">
        <v>0.0</v>
      </c>
      <c r="P829" t="n">
        <v>0.0</v>
      </c>
      <c r="Q829" t="inlineStr">
        <is>
          <t/>
        </is>
      </c>
      <c r="R829" t="inlineStr">
        <is>
          <t/>
        </is>
      </c>
      <c r="S829" t="n">
        <v>0.0</v>
      </c>
      <c r="T829" t="n">
        <v>0.0</v>
      </c>
      <c r="U829" t="n">
        <v>0.0</v>
      </c>
      <c r="V829" t="n">
        <v>0.0</v>
      </c>
      <c r="W829" t="inlineStr">
        <is>
          <t/>
        </is>
      </c>
      <c r="X829" t="n">
        <v>0.0</v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n">
        <v>0.0</v>
      </c>
      <c r="AI829" t="n">
        <v>0.0</v>
      </c>
      <c r="AJ829" t="n">
        <v>0.0</v>
      </c>
      <c r="AK829" t="inlineStr">
        <is>
          <t/>
        </is>
      </c>
      <c r="AL829" t="inlineStr">
        <is>
          <t/>
        </is>
      </c>
    </row>
    <row r="830">
      <c r="A830" t="inlineStr">
        <is>
          <t>宝子们听劝！自律期吃虾仁，低热量还巨顶饱…</t>
        </is>
      </c>
      <c r="B830" t="inlineStr">
        <is>
          <t>69b4d1d7000000002202ad8d</t>
        </is>
      </c>
      <c r="C830" s="829" t="n">
        <f>HYPERLINK("https://www.xiaohongshu.com/explore/69b4d1d7000000002202ad8d?xsec_token=TB4dy4zP2Sasn_cYXEm_KMI-KaUM7TuBmIgyWSAEH_0YU=&amp;xsec_source=pc_trdark","https://www.xiaohongshu.com/explore/69b4d1d7000000002202ad8d?xsec_token=TB4dy4zP2Sasn_cYXEm_KMI-KaUM7TuBmIgyWSAEH_0YU=&amp;xsec_source=pc_trdark")</f>
        <v>0.0</v>
      </c>
      <c r="D830" t="inlineStr">
        <is>
          <t>婉婉上班吃什么</t>
        </is>
      </c>
      <c r="E830" t="inlineStr">
        <is>
          <t>11434449706</t>
        </is>
      </c>
      <c r="F830" t="inlineStr">
        <is>
          <t>2026-03-14 11:11:19</t>
        </is>
      </c>
      <c r="G830" t="inlineStr">
        <is>
          <t>图文</t>
        </is>
      </c>
      <c r="H830" t="inlineStr">
        <is>
          <t>手剥虾仁 无冰衣无添加 低脂餐一人食 上班带饭 顺丰包邮 5盒装</t>
        </is>
      </c>
      <c r="I830" t="inlineStr">
        <is>
          <t>694baba01d450d00013662f0</t>
        </is>
      </c>
      <c r="J830" t="inlineStr">
        <is>
          <t/>
        </is>
      </c>
      <c r="K830" t="n">
        <v>0.0</v>
      </c>
      <c r="L830" t="n">
        <v>0.0</v>
      </c>
      <c r="M830" t="n">
        <v>0.0</v>
      </c>
      <c r="N830" t="inlineStr">
        <is>
          <t/>
        </is>
      </c>
      <c r="O830" t="n">
        <v>0.0</v>
      </c>
      <c r="P830" t="n">
        <v>0.0</v>
      </c>
      <c r="Q830" t="inlineStr">
        <is>
          <t/>
        </is>
      </c>
      <c r="R830" t="inlineStr">
        <is>
          <t/>
        </is>
      </c>
      <c r="S830" t="n">
        <v>0.0</v>
      </c>
      <c r="T830" t="n">
        <v>0.0</v>
      </c>
      <c r="U830" t="n">
        <v>0.0</v>
      </c>
      <c r="V830" t="n">
        <v>0.0</v>
      </c>
      <c r="W830" t="inlineStr">
        <is>
          <t/>
        </is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inlineStr">
        <is>
          <t/>
        </is>
      </c>
      <c r="AL830" t="inlineStr">
        <is>
          <t/>
        </is>
      </c>
    </row>
    <row r="831">
      <c r="A831" t="inlineStr">
        <is>
          <t>和老爸商量好了！专为一人食姐妹出减脂小包</t>
        </is>
      </c>
      <c r="B831" t="inlineStr">
        <is>
          <t>69b3fe8e000000001b0229ea</t>
        </is>
      </c>
      <c r="C831" s="830" t="n">
        <f>HYPERLINK("https://www.xiaohongshu.com/explore/69b3fe8e000000001b0229ea?xsec_token=TBu1W-q9yR_0LoYiUu9p9bD_6GwZAah_0S9IkPdWKHCEc=&amp;xsec_source=pc_trdark","https://www.xiaohongshu.com/explore/69b3fe8e000000001b0229ea?xsec_token=TBu1W-q9yR_0LoYiUu9p9bD_6GwZAah_0S9IkPdWKHCEc=&amp;xsec_source=pc_trdark")</f>
        <v>0.0</v>
      </c>
      <c r="D831" t="inlineStr">
        <is>
          <t>鲜水湾</t>
        </is>
      </c>
      <c r="E831" t="inlineStr">
        <is>
          <t>49316638994</t>
        </is>
      </c>
      <c r="F831" t="inlineStr">
        <is>
          <t>2026-03-13 20:09:50</t>
        </is>
      </c>
      <c r="G831" t="inlineStr">
        <is>
          <t>图文</t>
        </is>
      </c>
      <c r="H831" t="inlineStr">
        <is>
          <t>手剥虾仁 无冰衣无添加 低脂餐一人食 上班带饭 顺丰包邮 5盒装</t>
        </is>
      </c>
      <c r="I831" t="inlineStr">
        <is>
          <t>694baba01d450d00013662f0</t>
        </is>
      </c>
      <c r="J831" t="inlineStr">
        <is>
          <t/>
        </is>
      </c>
      <c r="K831" t="n">
        <v>0.0</v>
      </c>
      <c r="L831" t="n">
        <v>0.0</v>
      </c>
      <c r="M831" t="n">
        <v>0.0</v>
      </c>
      <c r="N831" t="inlineStr">
        <is>
          <t/>
        </is>
      </c>
      <c r="O831" t="n">
        <v>0.0</v>
      </c>
      <c r="P831" t="n">
        <v>0.0</v>
      </c>
      <c r="Q831" t="inlineStr">
        <is>
          <t/>
        </is>
      </c>
      <c r="R831" t="inlineStr">
        <is>
          <t/>
        </is>
      </c>
      <c r="S831" t="n">
        <v>0.0</v>
      </c>
      <c r="T831" t="n">
        <v>0.0</v>
      </c>
      <c r="U831" t="n">
        <v>0.0</v>
      </c>
      <c r="V831" t="n">
        <v>0.0</v>
      </c>
      <c r="W831" t="inlineStr">
        <is>
          <t/>
        </is>
      </c>
      <c r="X831" t="n">
        <v>0.0</v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inlineStr">
        <is>
          <t/>
        </is>
      </c>
      <c r="AL831" t="inlineStr">
        <is>
          <t/>
        </is>
      </c>
    </row>
    <row r="832">
      <c r="A832" t="inlineStr">
        <is>
          <t>连吃了7天大虾，感受到它的威力了</t>
        </is>
      </c>
      <c r="B832" t="inlineStr">
        <is>
          <t>69b3abcc000000001f002e67</t>
        </is>
      </c>
      <c r="C832" s="831" t="n">
        <f>HYPERLINK("https://www.xiaohongshu.com/explore/69b3abcc000000001f002e67?xsec_token=TBu1W-q9yR_0LoYiUu9p9bDyGjjFiLuJzKbjMcmBYfYVo=&amp;xsec_source=pc_trdark","https://www.xiaohongshu.com/explore/69b3abcc000000001f002e67?xsec_token=TBu1W-q9yR_0LoYiUu9p9bDyGjjFiLuJzKbjMcmBYfYVo=&amp;xsec_source=pc_trdark")</f>
        <v>0.0</v>
      </c>
      <c r="D832" t="inlineStr">
        <is>
          <t>鲜水湾</t>
        </is>
      </c>
      <c r="E832" t="inlineStr">
        <is>
          <t>49316638994</t>
        </is>
      </c>
      <c r="F832" t="inlineStr">
        <is>
          <t>2026-03-13 14:16:44</t>
        </is>
      </c>
      <c r="G832" t="inlineStr">
        <is>
          <t>图文</t>
        </is>
      </c>
      <c r="H832" t="inlineStr">
        <is>
          <t>大虾基围虾王牌大虾厄瓜多尔白虾盐冻虾仁海洋大虾送礼顺丰包邮</t>
        </is>
      </c>
      <c r="I832" t="inlineStr">
        <is>
          <t>690aeb7be379430001e686ac</t>
        </is>
      </c>
      <c r="J832" t="inlineStr">
        <is>
          <t/>
        </is>
      </c>
      <c r="K832" t="n">
        <v>0.0</v>
      </c>
      <c r="L832" t="n">
        <v>0.0</v>
      </c>
      <c r="M832" t="n">
        <v>0.0</v>
      </c>
      <c r="N832" t="inlineStr">
        <is>
          <t/>
        </is>
      </c>
      <c r="O832" t="n">
        <v>0.0</v>
      </c>
      <c r="P832" t="n">
        <v>0.0</v>
      </c>
      <c r="Q832" t="inlineStr">
        <is>
          <t/>
        </is>
      </c>
      <c r="R832" t="inlineStr">
        <is>
          <t/>
        </is>
      </c>
      <c r="S832" t="n">
        <v>0.0</v>
      </c>
      <c r="T832" t="n">
        <v>0.0</v>
      </c>
      <c r="U832" t="n">
        <v>0.0</v>
      </c>
      <c r="V832" t="n">
        <v>0.0</v>
      </c>
      <c r="W832" t="inlineStr">
        <is>
          <t/>
        </is>
      </c>
      <c r="X832" t="n">
        <v>0.0</v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inlineStr">
        <is>
          <t/>
        </is>
      </c>
      <c r="AL832" t="inlineStr">
        <is>
          <t/>
        </is>
      </c>
    </row>
    <row r="833">
      <c r="A833" t="inlineStr">
        <is>
          <t>试过了，确实比鸡胸肉香！</t>
        </is>
      </c>
      <c r="B833" t="inlineStr">
        <is>
          <t>69b28d3b000000000600df7a</t>
        </is>
      </c>
      <c r="C833" s="832" t="n">
        <f>HYPERLINK("https://www.xiaohongshu.com/explore/69b28d3b000000000600df7a?xsec_token=TB020mu_sDtHEgaPvBWpjWucPgP9nDR2wfYGLQoYl7DuE=&amp;xsec_source=pc_trdark","https://www.xiaohongshu.com/explore/69b28d3b000000000600df7a?xsec_token=TB020mu_sDtHEgaPvBWpjWucPgP9nDR2wfYGLQoYl7DuE=&amp;xsec_source=pc_trdark")</f>
        <v>0.0</v>
      </c>
      <c r="D833" t="inlineStr">
        <is>
          <t>婉婉上班吃什么</t>
        </is>
      </c>
      <c r="E833" t="inlineStr">
        <is>
          <t>11434449706</t>
        </is>
      </c>
      <c r="F833" t="inlineStr">
        <is>
          <t>2026-03-12 17:54:03</t>
        </is>
      </c>
      <c r="G833" t="inlineStr">
        <is>
          <t>图文</t>
        </is>
      </c>
      <c r="H833" t="inlineStr">
        <is>
          <t>智利三文鱼切块·整条三文鱼·深海鱼一人食健康饮食</t>
        </is>
      </c>
      <c r="I833" t="inlineStr">
        <is>
          <t>691ac562a524ee0001b51d7b</t>
        </is>
      </c>
      <c r="J833" t="inlineStr">
        <is>
          <t/>
        </is>
      </c>
      <c r="K833" t="n">
        <v>0.0</v>
      </c>
      <c r="L833" t="n">
        <v>0.0</v>
      </c>
      <c r="M833" t="n">
        <v>0.0</v>
      </c>
      <c r="N833" t="inlineStr">
        <is>
          <t/>
        </is>
      </c>
      <c r="O833" t="n">
        <v>0.0</v>
      </c>
      <c r="P833" t="n">
        <v>0.0</v>
      </c>
      <c r="Q833" t="inlineStr">
        <is>
          <t/>
        </is>
      </c>
      <c r="R833" t="inlineStr">
        <is>
          <t/>
        </is>
      </c>
      <c r="S833" t="n">
        <v>0.0</v>
      </c>
      <c r="T833" t="n">
        <v>0.0</v>
      </c>
      <c r="U833" t="n">
        <v>0.0</v>
      </c>
      <c r="V833" t="n">
        <v>0.0</v>
      </c>
      <c r="W833" t="inlineStr">
        <is>
          <t/>
        </is>
      </c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n">
        <v>0.0</v>
      </c>
      <c r="AI833" t="n">
        <v>0.0</v>
      </c>
      <c r="AJ833" t="n">
        <v>0.0</v>
      </c>
      <c r="AK833" t="inlineStr">
        <is>
          <t/>
        </is>
      </c>
      <c r="AL833" t="inlineStr">
        <is>
          <t/>
        </is>
      </c>
    </row>
    <row r="834">
      <c r="A834" t="inlineStr">
        <is>
          <t>带饭的尽头…真的是免加热！🍤</t>
        </is>
      </c>
      <c r="B834" t="inlineStr">
        <is>
          <t>69b283f20000000006033c23</t>
        </is>
      </c>
      <c r="C834" s="833" t="n">
        <f>HYPERLINK("https://www.xiaohongshu.com/explore/69b283f20000000006033c23?xsec_token=TB020mu_sDtHEgaPvBWpjWuUaqMCB5-B7E4SMZhTM0Wt4=&amp;xsec_source=pc_trdark","https://www.xiaohongshu.com/explore/69b283f20000000006033c23?xsec_token=TB020mu_sDtHEgaPvBWpjWuUaqMCB5-B7E4SMZhTM0Wt4=&amp;xsec_source=pc_trdark")</f>
        <v>0.0</v>
      </c>
      <c r="D834" t="inlineStr">
        <is>
          <t>鲜水湾</t>
        </is>
      </c>
      <c r="E834" t="inlineStr">
        <is>
          <t>49316638994</t>
        </is>
      </c>
      <c r="F834" t="inlineStr">
        <is>
          <t>2026-03-12 17:14:26</t>
        </is>
      </c>
      <c r="G834" t="inlineStr">
        <is>
          <t>图文</t>
        </is>
      </c>
      <c r="H834" t="inlineStr">
        <is>
          <t>手剥虾仁 无冰衣无添加 低脂餐一人食 上班带饭 顺丰包邮 5盒装</t>
        </is>
      </c>
      <c r="I834" t="inlineStr">
        <is>
          <t>694baba01d450d00013662f0</t>
        </is>
      </c>
      <c r="J834" t="inlineStr">
        <is>
          <t/>
        </is>
      </c>
      <c r="K834" t="n">
        <v>0.0</v>
      </c>
      <c r="L834" t="n">
        <v>0.0</v>
      </c>
      <c r="M834" t="n">
        <v>0.0</v>
      </c>
      <c r="N834" t="inlineStr">
        <is>
          <t/>
        </is>
      </c>
      <c r="O834" t="n">
        <v>0.0</v>
      </c>
      <c r="P834" t="n">
        <v>0.0</v>
      </c>
      <c r="Q834" t="inlineStr">
        <is>
          <t/>
        </is>
      </c>
      <c r="R834" t="inlineStr">
        <is>
          <t/>
        </is>
      </c>
      <c r="S834" t="n">
        <v>0.0</v>
      </c>
      <c r="T834" t="n">
        <v>0.0</v>
      </c>
      <c r="U834" t="n">
        <v>0.0</v>
      </c>
      <c r="V834" t="n">
        <v>0.0</v>
      </c>
      <c r="W834" t="inlineStr">
        <is>
          <t/>
        </is>
      </c>
      <c r="X834" t="n">
        <v>0.0</v>
      </c>
      <c r="Y834" t="n">
        <v>0.0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  <c r="AK834" t="inlineStr">
        <is>
          <t/>
        </is>
      </c>
      <c r="AL834" t="inlineStr">
        <is>
          <t/>
        </is>
      </c>
    </row>
    <row r="835">
      <c r="A835" t="inlineStr">
        <is>
          <t>上班带饭，区区69元够我吃一周了</t>
        </is>
      </c>
      <c r="B835" t="inlineStr">
        <is>
          <t>69b27fef000000002800b95f</t>
        </is>
      </c>
      <c r="C835" s="834" t="n">
        <f>HYPERLINK("https://www.xiaohongshu.com/explore/69b27fef000000002800b95f?xsec_token=TB020mu_sDtHEgaPvBWpjWuZ7uADq-KqcGMXpZTXdpYS0=&amp;xsec_source=pc_trdark","https://www.xiaohongshu.com/explore/69b27fef000000002800b95f?xsec_token=TB020mu_sDtHEgaPvBWpjWuZ7uADq-KqcGMXpZTXdpYS0=&amp;xsec_source=pc_trdark")</f>
        <v>0.0</v>
      </c>
      <c r="D835" t="inlineStr">
        <is>
          <t>鲜水湾</t>
        </is>
      </c>
      <c r="E835" t="inlineStr">
        <is>
          <t>49316638994</t>
        </is>
      </c>
      <c r="F835" t="inlineStr">
        <is>
          <t>2026-03-12 16:57:19</t>
        </is>
      </c>
      <c r="G835" t="inlineStr">
        <is>
          <t>图文</t>
        </is>
      </c>
      <c r="H835" t="inlineStr">
        <is>
          <t>大虾基围虾王牌大虾厄瓜多尔白虾盐冻虾仁海洋大虾送礼顺丰包邮</t>
        </is>
      </c>
      <c r="I835" t="inlineStr">
        <is>
          <t>690aeb7be379430001e686ac</t>
        </is>
      </c>
      <c r="J835" t="inlineStr">
        <is>
          <t/>
        </is>
      </c>
      <c r="K835" t="n">
        <v>0.0</v>
      </c>
      <c r="L835" t="n">
        <v>0.0</v>
      </c>
      <c r="M835" t="n">
        <v>0.0</v>
      </c>
      <c r="N835" t="inlineStr">
        <is>
          <t/>
        </is>
      </c>
      <c r="O835" t="n">
        <v>0.0</v>
      </c>
      <c r="P835" t="n">
        <v>0.0</v>
      </c>
      <c r="Q835" t="inlineStr">
        <is>
          <t/>
        </is>
      </c>
      <c r="R835" t="inlineStr">
        <is>
          <t/>
        </is>
      </c>
      <c r="S835" t="n">
        <v>0.0</v>
      </c>
      <c r="T835" t="n">
        <v>0.0</v>
      </c>
      <c r="U835" t="n">
        <v>0.0</v>
      </c>
      <c r="V835" t="n">
        <v>0.0</v>
      </c>
      <c r="W835" t="inlineStr">
        <is>
          <t/>
        </is>
      </c>
      <c r="X835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n">
        <v>0.0</v>
      </c>
      <c r="AI835" t="n">
        <v>0.0</v>
      </c>
      <c r="AJ835" t="n">
        <v>0.0</v>
      </c>
      <c r="AK835" t="inlineStr">
        <is>
          <t/>
        </is>
      </c>
      <c r="AL835" t="inlineStr">
        <is>
          <t/>
        </is>
      </c>
    </row>
    <row r="836">
      <c r="A836" t="inlineStr">
        <is>
          <t>没人觉得上班带饭减肥真的很省钱吗</t>
        </is>
      </c>
      <c r="B836" t="inlineStr">
        <is>
          <t>69b139ae000000000600af35</t>
        </is>
      </c>
      <c r="C836" s="835" t="n">
        <f>HYPERLINK("https://www.xiaohongshu.com/explore/69b139ae000000000600af35?xsec_token=TBPThwaY7kqe53qUk5J0OyzvleYy_SnK1tB8cjTywYq08=&amp;xsec_source=pc_trdark","https://www.xiaohongshu.com/explore/69b139ae000000000600af35?xsec_token=TBPThwaY7kqe53qUk5J0OyzvleYy_SnK1tB8cjTywYq08=&amp;xsec_source=pc_trdark")</f>
        <v>0.0</v>
      </c>
      <c r="D836" t="inlineStr">
        <is>
          <t>鲜水湾</t>
        </is>
      </c>
      <c r="E836" t="inlineStr">
        <is>
          <t>49316638994</t>
        </is>
      </c>
      <c r="F836" t="inlineStr">
        <is>
          <t>2026-03-11 17:45:18</t>
        </is>
      </c>
      <c r="G836" t="inlineStr">
        <is>
          <t>图文</t>
        </is>
      </c>
      <c r="H836" t="inlineStr">
        <is>
          <t>大虾基围虾王牌大虾厄瓜多尔白虾盐冻虾仁海洋大虾送礼顺丰包邮</t>
        </is>
      </c>
      <c r="I836" t="inlineStr">
        <is>
          <t>690aeb7be379430001e686ac</t>
        </is>
      </c>
      <c r="J836" t="inlineStr">
        <is>
          <t/>
        </is>
      </c>
      <c r="K836" t="n">
        <v>0.0</v>
      </c>
      <c r="L836" t="n">
        <v>0.0</v>
      </c>
      <c r="M836" t="n">
        <v>0.0</v>
      </c>
      <c r="N836" t="inlineStr">
        <is>
          <t/>
        </is>
      </c>
      <c r="O836" t="n">
        <v>0.0</v>
      </c>
      <c r="P836" t="n">
        <v>0.0</v>
      </c>
      <c r="Q836" t="inlineStr">
        <is>
          <t/>
        </is>
      </c>
      <c r="R836" t="inlineStr">
        <is>
          <t/>
        </is>
      </c>
      <c r="S836" t="n">
        <v>0.0</v>
      </c>
      <c r="T836" t="n">
        <v>0.0</v>
      </c>
      <c r="U836" t="n">
        <v>0.0</v>
      </c>
      <c r="V836" t="n">
        <v>0.0</v>
      </c>
      <c r="W836" t="inlineStr">
        <is>
          <t/>
        </is>
      </c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inlineStr">
        <is>
          <t/>
        </is>
      </c>
      <c r="AL836" t="inlineStr">
        <is>
          <t/>
        </is>
      </c>
    </row>
    <row r="837">
      <c r="A837" t="inlineStr">
        <is>
          <t>虾仁才是自律期首选！吃完毫无负罪感</t>
        </is>
      </c>
      <c r="B837" t="inlineStr">
        <is>
          <t>69b10f88000000000c01404a</t>
        </is>
      </c>
      <c r="C837" s="836" t="n">
        <f>HYPERLINK("https://www.xiaohongshu.com/explore/69b10f88000000000c01404a?xsec_token=TBPThwaY7kqe53qUk5J0Oyzi3RRZ3P41PMSB-kD548sfE=&amp;xsec_source=pc_trdark","https://www.xiaohongshu.com/explore/69b10f88000000000c01404a?xsec_token=TBPThwaY7kqe53qUk5J0Oyzi3RRZ3P41PMSB-kD548sfE=&amp;xsec_source=pc_trdark")</f>
        <v>0.0</v>
      </c>
      <c r="D837" t="inlineStr">
        <is>
          <t>婉婉上班吃什么</t>
        </is>
      </c>
      <c r="E837" t="inlineStr">
        <is>
          <t>11434449706</t>
        </is>
      </c>
      <c r="F837" t="inlineStr">
        <is>
          <t>2026-03-11 14:45:28</t>
        </is>
      </c>
      <c r="G837" t="inlineStr">
        <is>
          <t>图文</t>
        </is>
      </c>
      <c r="H837" t="inlineStr">
        <is>
          <t>手剥虾仁 无冰衣无添加 低脂餐一人食 上班带饭 顺丰包邮 5盒装</t>
        </is>
      </c>
      <c r="I837" t="inlineStr">
        <is>
          <t>694baba01d450d00013662f0</t>
        </is>
      </c>
      <c r="J837" t="inlineStr">
        <is>
          <t/>
        </is>
      </c>
      <c r="K837" t="n">
        <v>0.0</v>
      </c>
      <c r="L837" t="n">
        <v>0.0</v>
      </c>
      <c r="M837" t="n">
        <v>0.0</v>
      </c>
      <c r="N837" t="inlineStr">
        <is>
          <t/>
        </is>
      </c>
      <c r="O837" t="n">
        <v>0.0</v>
      </c>
      <c r="P837" t="n">
        <v>0.0</v>
      </c>
      <c r="Q837" t="inlineStr">
        <is>
          <t/>
        </is>
      </c>
      <c r="R837" t="inlineStr">
        <is>
          <t/>
        </is>
      </c>
      <c r="S837" t="n">
        <v>0.0</v>
      </c>
      <c r="T837" t="n">
        <v>0.0</v>
      </c>
      <c r="U837" t="n">
        <v>0.0</v>
      </c>
      <c r="V837" t="n">
        <v>0.0</v>
      </c>
      <c r="W837" t="inlineStr">
        <is>
          <t/>
        </is>
      </c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inlineStr">
        <is>
          <t/>
        </is>
      </c>
      <c r="AL837" t="inlineStr">
        <is>
          <t/>
        </is>
      </c>
    </row>
    <row r="838">
      <c r="A838" t="inlineStr">
        <is>
          <t>小红书上买的盐冻虾！已经加入无限回购清</t>
        </is>
      </c>
      <c r="B838" t="inlineStr">
        <is>
          <t>69b03597000000000902206f</t>
        </is>
      </c>
      <c r="C838" s="837" t="n">
        <f>HYPERLINK("https://www.xiaohongshu.com/explore/69b03597000000000902206f?xsec_token=TB1fCSoBGZhUEvn2zrb_Bw2gCeEfC6pflG58DIMFtflZQ=&amp;xsec_source=pc_trdark","https://www.xiaohongshu.com/explore/69b03597000000000902206f?xsec_token=TB1fCSoBGZhUEvn2zrb_Bw2gCeEfC6pflG58DIMFtflZQ=&amp;xsec_source=pc_trdark")</f>
        <v>0.0</v>
      </c>
      <c r="D838" t="inlineStr">
        <is>
          <t>鲜水湾</t>
        </is>
      </c>
      <c r="E838" t="inlineStr">
        <is>
          <t>49316638994</t>
        </is>
      </c>
      <c r="F838" t="inlineStr">
        <is>
          <t>2026-03-10 23:15:35</t>
        </is>
      </c>
      <c r="G838" t="inlineStr">
        <is>
          <t>图文</t>
        </is>
      </c>
      <c r="H838" t="inlineStr">
        <is>
          <t>大虾基围虾王牌大虾厄瓜多尔白虾盐冻虾仁海洋大虾送礼顺丰包邮</t>
        </is>
      </c>
      <c r="I838" t="inlineStr">
        <is>
          <t>690aeb7be379430001e686ac</t>
        </is>
      </c>
      <c r="J838" t="inlineStr">
        <is>
          <t/>
        </is>
      </c>
      <c r="K838" t="n">
        <v>0.0</v>
      </c>
      <c r="L838" t="n">
        <v>0.0</v>
      </c>
      <c r="M838" t="n">
        <v>0.0</v>
      </c>
      <c r="N838" t="inlineStr">
        <is>
          <t/>
        </is>
      </c>
      <c r="O838" t="n">
        <v>0.0</v>
      </c>
      <c r="P838" t="n">
        <v>0.0</v>
      </c>
      <c r="Q838" t="inlineStr">
        <is>
          <t/>
        </is>
      </c>
      <c r="R838" t="inlineStr">
        <is>
          <t/>
        </is>
      </c>
      <c r="S838" t="n">
        <v>0.0</v>
      </c>
      <c r="T838" t="n">
        <v>0.0</v>
      </c>
      <c r="U838" t="n">
        <v>0.0</v>
      </c>
      <c r="V838" t="n">
        <v>0.0</v>
      </c>
      <c r="W838" t="inlineStr">
        <is>
          <t/>
        </is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n">
        <v>0.0</v>
      </c>
      <c r="AI838" t="n">
        <v>0.0</v>
      </c>
      <c r="AJ838" t="n">
        <v>0.0</v>
      </c>
      <c r="AK838" t="inlineStr">
        <is>
          <t/>
        </is>
      </c>
      <c r="AL838" t="inlineStr">
        <is>
          <t/>
        </is>
      </c>
    </row>
    <row r="839">
      <c r="A839" t="inlineStr">
        <is>
          <t>说一个撑死人，但热量低到离谱的东西</t>
        </is>
      </c>
      <c r="B839" t="inlineStr">
        <is>
          <t>69b024e9000000000c0156a8</t>
        </is>
      </c>
      <c r="C839" s="838" t="n">
        <f>HYPERLINK("https://www.xiaohongshu.com/explore/69b024e9000000000c0156a8?xsec_token=TB1fCSoBGZhUEvn2zrb_Bw2unwzOfKrOSgUXBOpY3AFHU=&amp;xsec_source=pc_trdark","https://www.xiaohongshu.com/explore/69b024e9000000000c0156a8?xsec_token=TB1fCSoBGZhUEvn2zrb_Bw2unwzOfKrOSgUXBOpY3AFHU=&amp;xsec_source=pc_trdark")</f>
        <v>0.0</v>
      </c>
      <c r="D839" t="inlineStr">
        <is>
          <t>鲜水湾</t>
        </is>
      </c>
      <c r="E839" t="inlineStr">
        <is>
          <t>49316638994</t>
        </is>
      </c>
      <c r="F839" t="inlineStr">
        <is>
          <t>2026-03-10 22:04:25</t>
        </is>
      </c>
      <c r="G839" t="inlineStr">
        <is>
          <t>图文</t>
        </is>
      </c>
      <c r="H839" t="inlineStr">
        <is>
          <t>大虾基围虾王牌大虾厄瓜多尔白虾盐冻虾仁海洋大虾送礼顺丰包邮</t>
        </is>
      </c>
      <c r="I839" t="inlineStr">
        <is>
          <t>690aeb7be379430001e686ac</t>
        </is>
      </c>
      <c r="J839" t="inlineStr">
        <is>
          <t/>
        </is>
      </c>
      <c r="K839" t="n">
        <v>0.0</v>
      </c>
      <c r="L839" t="n">
        <v>0.0</v>
      </c>
      <c r="M839" t="n">
        <v>0.0</v>
      </c>
      <c r="N839" t="inlineStr">
        <is>
          <t/>
        </is>
      </c>
      <c r="O839" t="n">
        <v>0.0</v>
      </c>
      <c r="P839" t="n">
        <v>0.0</v>
      </c>
      <c r="Q839" t="inlineStr">
        <is>
          <t/>
        </is>
      </c>
      <c r="R839" t="inlineStr">
        <is>
          <t/>
        </is>
      </c>
      <c r="S839" t="n">
        <v>0.0</v>
      </c>
      <c r="T839" t="n">
        <v>0.0</v>
      </c>
      <c r="U839" t="n">
        <v>0.0</v>
      </c>
      <c r="V839" t="n">
        <v>0.0</v>
      </c>
      <c r="W839" t="inlineStr">
        <is>
          <t/>
        </is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n">
        <v>0.0</v>
      </c>
      <c r="AI839" t="n">
        <v>0.0</v>
      </c>
      <c r="AJ839" t="n">
        <v>0.0</v>
      </c>
      <c r="AK839" t="inlineStr">
        <is>
          <t/>
        </is>
      </c>
      <c r="AL839" t="inlineStr">
        <is>
          <t/>
        </is>
      </c>
    </row>
    <row r="840">
      <c r="A840" t="inlineStr">
        <is>
          <t>热知识：虾仁吃撑了也不会胖！</t>
        </is>
      </c>
      <c r="B840" t="inlineStr">
        <is>
          <t>69afc301000000000601d071</t>
        </is>
      </c>
      <c r="C840" s="839" t="n">
        <f>HYPERLINK("https://www.xiaohongshu.com/explore/69afc301000000000601d071?xsec_token=TBvA7Hz6ko-xGwfQy35gan6VGakt5Gcq1DmLgYX6kmFz4=&amp;xsec_source=pc_trdark","https://www.xiaohongshu.com/explore/69afc301000000000601d071?xsec_token=TBvA7Hz6ko-xGwfQy35gan6VGakt5Gcq1DmLgYX6kmFz4=&amp;xsec_source=pc_trdark")</f>
        <v>0.0</v>
      </c>
      <c r="D840" t="inlineStr">
        <is>
          <t>婉婉上班吃什么</t>
        </is>
      </c>
      <c r="E840" t="inlineStr">
        <is>
          <t>11434449706</t>
        </is>
      </c>
      <c r="F840" t="inlineStr">
        <is>
          <t>2026-03-10 15:06:41</t>
        </is>
      </c>
      <c r="G840" t="inlineStr">
        <is>
          <t>图文</t>
        </is>
      </c>
      <c r="H840" t="inlineStr">
        <is>
          <t>手剥虾仁 无冰衣无添加 低脂餐一人食 上班带饭 顺丰包邮 5盒装</t>
        </is>
      </c>
      <c r="I840" t="inlineStr">
        <is>
          <t>694baba01d450d00013662f0</t>
        </is>
      </c>
      <c r="J840" t="inlineStr">
        <is>
          <t/>
        </is>
      </c>
      <c r="K840" t="n">
        <v>0.0</v>
      </c>
      <c r="L840" t="n">
        <v>0.0</v>
      </c>
      <c r="M840" t="n">
        <v>0.0</v>
      </c>
      <c r="N840" t="inlineStr">
        <is>
          <t/>
        </is>
      </c>
      <c r="O840" t="n">
        <v>0.0</v>
      </c>
      <c r="P840" t="n">
        <v>0.0</v>
      </c>
      <c r="Q840" t="inlineStr">
        <is>
          <t/>
        </is>
      </c>
      <c r="R840" t="inlineStr">
        <is>
          <t/>
        </is>
      </c>
      <c r="S840" t="n">
        <v>0.0</v>
      </c>
      <c r="T840" t="n">
        <v>0.0</v>
      </c>
      <c r="U840" t="n">
        <v>0.0</v>
      </c>
      <c r="V840" t="n">
        <v>0.0</v>
      </c>
      <c r="W840" t="inlineStr">
        <is>
          <t/>
        </is>
      </c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n">
        <v>0.0</v>
      </c>
      <c r="AI840" t="n">
        <v>0.0</v>
      </c>
      <c r="AJ840" t="n">
        <v>0.0</v>
      </c>
      <c r="AK840" t="inlineStr">
        <is>
          <t/>
        </is>
      </c>
      <c r="AL840" t="inlineStr">
        <is>
          <t/>
        </is>
      </c>
    </row>
    <row r="841">
      <c r="A841" t="inlineStr">
        <is>
          <t>听句劝！！吃对了一周瘦10斤都不止…</t>
        </is>
      </c>
      <c r="B841" t="inlineStr">
        <is>
          <t>69af8f94000000000b034fbd</t>
        </is>
      </c>
      <c r="C841" s="840" t="n">
        <f>HYPERLINK("https://www.xiaohongshu.com/explore/69af8f94000000000b034fbd?xsec_token=TBvA7Hz6ko-xGwfQy35gan6VjApq5txOtUWF4hz_BJjio=&amp;xsec_source=pc_trdark","https://www.xiaohongshu.com/explore/69af8f94000000000b034fbd?xsec_token=TBvA7Hz6ko-xGwfQy35gan6VjApq5txOtUWF4hz_BJjio=&amp;xsec_source=pc_trdark")</f>
        <v>0.0</v>
      </c>
      <c r="D841" t="inlineStr">
        <is>
          <t>婉婉上班吃什么</t>
        </is>
      </c>
      <c r="E841" t="inlineStr">
        <is>
          <t>11434449706</t>
        </is>
      </c>
      <c r="F841" t="inlineStr">
        <is>
          <t>2026-03-10 11:27:16</t>
        </is>
      </c>
      <c r="G841" t="inlineStr">
        <is>
          <t>图文</t>
        </is>
      </c>
      <c r="H841" t="inlineStr">
        <is>
          <t>手剥虾仁 无冰衣无添加 低脂餐一人食 上班带饭 顺丰包邮 5盒装</t>
        </is>
      </c>
      <c r="I841" t="inlineStr">
        <is>
          <t>694baba01d450d00013662f0</t>
        </is>
      </c>
      <c r="J841" t="inlineStr">
        <is>
          <t/>
        </is>
      </c>
      <c r="K841" t="n">
        <v>0.0</v>
      </c>
      <c r="L841" t="n">
        <v>0.0</v>
      </c>
      <c r="M841" t="n">
        <v>0.0</v>
      </c>
      <c r="N841" t="inlineStr">
        <is>
          <t/>
        </is>
      </c>
      <c r="O841" t="n">
        <v>0.0</v>
      </c>
      <c r="P841" t="n">
        <v>0.0</v>
      </c>
      <c r="Q841" t="inlineStr">
        <is>
          <t/>
        </is>
      </c>
      <c r="R841" t="inlineStr">
        <is>
          <t/>
        </is>
      </c>
      <c r="S841" t="n">
        <v>0.0</v>
      </c>
      <c r="T841" t="n">
        <v>0.0</v>
      </c>
      <c r="U841" t="n">
        <v>0.0</v>
      </c>
      <c r="V841" t="n">
        <v>0.0</v>
      </c>
      <c r="W841" t="inlineStr">
        <is>
          <t/>
        </is>
      </c>
      <c r="X841" t="n">
        <v>0.0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inlineStr">
        <is>
          <t/>
        </is>
      </c>
      <c r="AL841" t="inlineStr">
        <is>
          <t/>
        </is>
      </c>
    </row>
    <row r="842">
      <c r="A842" t="inlineStr">
        <is>
          <t>控体后才知道，干净饮食可以这么省钱</t>
        </is>
      </c>
      <c r="B842" t="inlineStr">
        <is>
          <t>69aee3fb000000000e03cf07</t>
        </is>
      </c>
      <c r="C842" s="841" t="n">
        <f>HYPERLINK("https://www.xiaohongshu.com/explore/69aee3fb000000000e03cf07?xsec_token=TBy3i3TfmyKE7XGojG_cT9hcnfyMavqkpT5hxDZZeV_yY=&amp;xsec_source=pc_trdark","https://www.xiaohongshu.com/explore/69aee3fb000000000e03cf07?xsec_token=TBy3i3TfmyKE7XGojG_cT9hcnfyMavqkpT5hxDZZeV_yY=&amp;xsec_source=pc_trdark")</f>
        <v>0.0</v>
      </c>
      <c r="D842" t="inlineStr">
        <is>
          <t>鲜水湾</t>
        </is>
      </c>
      <c r="E842" t="inlineStr">
        <is>
          <t>49316638994</t>
        </is>
      </c>
      <c r="F842" t="inlineStr">
        <is>
          <t>2026-03-09 23:15:07</t>
        </is>
      </c>
      <c r="G842" t="inlineStr">
        <is>
          <t>图文</t>
        </is>
      </c>
      <c r="H842" t="inlineStr">
        <is>
          <t>大虾基围虾王牌大虾厄瓜多尔白虾盐冻虾仁海洋大虾送礼顺丰包邮</t>
        </is>
      </c>
      <c r="I842" t="inlineStr">
        <is>
          <t>690aeb7be379430001e686ac</t>
        </is>
      </c>
      <c r="J842" t="inlineStr">
        <is>
          <t/>
        </is>
      </c>
      <c r="K842" t="n">
        <v>0.0</v>
      </c>
      <c r="L842" t="n">
        <v>0.0</v>
      </c>
      <c r="M842" t="n">
        <v>0.0</v>
      </c>
      <c r="N842" t="inlineStr">
        <is>
          <t/>
        </is>
      </c>
      <c r="O842" t="n">
        <v>0.0</v>
      </c>
      <c r="P842" t="n">
        <v>0.0</v>
      </c>
      <c r="Q842" t="inlineStr">
        <is>
          <t/>
        </is>
      </c>
      <c r="R842" t="inlineStr">
        <is>
          <t/>
        </is>
      </c>
      <c r="S842" t="n">
        <v>0.0</v>
      </c>
      <c r="T842" t="n">
        <v>0.0</v>
      </c>
      <c r="U842" t="n">
        <v>0.0</v>
      </c>
      <c r="V842" t="n">
        <v>0.0</v>
      </c>
      <c r="W842" t="inlineStr">
        <is>
          <t/>
        </is>
      </c>
      <c r="X842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inlineStr">
        <is>
          <t/>
        </is>
      </c>
      <c r="AL842" t="inlineStr">
        <is>
          <t/>
        </is>
      </c>
    </row>
    <row r="843">
      <c r="A843" t="inlineStr">
        <is>
          <t>控体后才知道，干净饮食可以这么省钱🤣</t>
        </is>
      </c>
      <c r="B843" t="inlineStr">
        <is>
          <t>69aed383000000001a0367ca</t>
        </is>
      </c>
      <c r="C843" s="842" t="n">
        <f>HYPERLINK("https://www.xiaohongshu.com/explore/69aed383000000001a0367ca?xsec_token=TBy3i3TfmyKE7XGojG_cT9hd8jBQML7F38gjDJq9TaLWk=&amp;xsec_source=pc_trdark","https://www.xiaohongshu.com/explore/69aed383000000001a0367ca?xsec_token=TBy3i3TfmyKE7XGojG_cT9hd8jBQML7F38gjDJq9TaLWk=&amp;xsec_source=pc_trdark")</f>
        <v>0.0</v>
      </c>
      <c r="D843" t="inlineStr">
        <is>
          <t>婉婉上班吃什么</t>
        </is>
      </c>
      <c r="E843" t="inlineStr">
        <is>
          <t>11434449706</t>
        </is>
      </c>
      <c r="F843" t="inlineStr">
        <is>
          <t>2026-03-09 22:04:51</t>
        </is>
      </c>
      <c r="G843" t="inlineStr">
        <is>
          <t>图文</t>
        </is>
      </c>
      <c r="H843" t="inlineStr">
        <is>
          <t>大虾基围虾王牌大虾厄瓜多尔白虾盐冻虾仁海洋大虾送礼顺丰包邮</t>
        </is>
      </c>
      <c r="I843" t="inlineStr">
        <is>
          <t>690aeb7be379430001e686ac</t>
        </is>
      </c>
      <c r="J843" t="inlineStr">
        <is>
          <t/>
        </is>
      </c>
      <c r="K843" t="n">
        <v>0.0</v>
      </c>
      <c r="L843" t="n">
        <v>0.0</v>
      </c>
      <c r="M843" t="n">
        <v>0.0</v>
      </c>
      <c r="N843" t="inlineStr">
        <is>
          <t/>
        </is>
      </c>
      <c r="O843" t="n">
        <v>0.0</v>
      </c>
      <c r="P843" t="n">
        <v>0.0</v>
      </c>
      <c r="Q843" t="inlineStr">
        <is>
          <t/>
        </is>
      </c>
      <c r="R843" t="inlineStr">
        <is>
          <t/>
        </is>
      </c>
      <c r="S843" t="n">
        <v>0.0</v>
      </c>
      <c r="T843" t="n">
        <v>0.0</v>
      </c>
      <c r="U843" t="n">
        <v>0.0</v>
      </c>
      <c r="V843" t="n">
        <v>0.0</v>
      </c>
      <c r="W843" t="inlineStr">
        <is>
          <t/>
        </is>
      </c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inlineStr">
        <is>
          <t/>
        </is>
      </c>
      <c r="AL843" t="inlineStr">
        <is>
          <t/>
        </is>
      </c>
    </row>
    <row r="844">
      <c r="A844" t="inlineStr">
        <is>
          <t>盛明兰，你是陪我吃饭最多的人</t>
        </is>
      </c>
      <c r="B844" t="inlineStr">
        <is>
          <t>69ae94e4000000002801d845</t>
        </is>
      </c>
      <c r="C844" s="843" t="n">
        <f>HYPERLINK("https://www.xiaohongshu.com/explore/69ae94e4000000002801d845?xsec_token=TBy3i3TfmyKE7XGojG_cT9hdOu6K7BqHEZ6-e4cRhfuAA=&amp;xsec_source=pc_trdark","https://www.xiaohongshu.com/explore/69ae94e4000000002801d845?xsec_token=TBy3i3TfmyKE7XGojG_cT9hdOu6K7BqHEZ6-e4cRhfuAA=&amp;xsec_source=pc_trdark")</f>
        <v>0.0</v>
      </c>
      <c r="D844" t="inlineStr">
        <is>
          <t>鲜水湾</t>
        </is>
      </c>
      <c r="E844" t="inlineStr">
        <is>
          <t>49316638994</t>
        </is>
      </c>
      <c r="F844" t="inlineStr">
        <is>
          <t>2026-03-09 17:37:40</t>
        </is>
      </c>
      <c r="G844" t="inlineStr">
        <is>
          <t>图文</t>
        </is>
      </c>
      <c r="H844" t="inlineStr">
        <is>
          <t>大虾基围虾王牌大虾厄瓜多尔白虾盐冻虾仁海洋大虾送礼顺丰包邮</t>
        </is>
      </c>
      <c r="I844" t="inlineStr">
        <is>
          <t>690aeb7be379430001e686ac</t>
        </is>
      </c>
      <c r="J844" t="inlineStr">
        <is>
          <t/>
        </is>
      </c>
      <c r="K844" t="n">
        <v>0.0</v>
      </c>
      <c r="L844" t="n">
        <v>0.0</v>
      </c>
      <c r="M844" t="n">
        <v>0.0</v>
      </c>
      <c r="N844" t="inlineStr">
        <is>
          <t/>
        </is>
      </c>
      <c r="O844" t="n">
        <v>0.0</v>
      </c>
      <c r="P844" t="n">
        <v>0.0</v>
      </c>
      <c r="Q844" t="inlineStr">
        <is>
          <t/>
        </is>
      </c>
      <c r="R844" t="inlineStr">
        <is>
          <t/>
        </is>
      </c>
      <c r="S844" t="n">
        <v>0.0</v>
      </c>
      <c r="T844" t="n">
        <v>0.0</v>
      </c>
      <c r="U844" t="n">
        <v>0.0</v>
      </c>
      <c r="V844" t="n">
        <v>0.0</v>
      </c>
      <c r="W844" t="inlineStr">
        <is>
          <t/>
        </is>
      </c>
      <c r="X844" t="n">
        <v>0.0</v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n">
        <v>0.0</v>
      </c>
      <c r="AI844" t="n">
        <v>0.0</v>
      </c>
      <c r="AJ844" t="n">
        <v>0.0</v>
      </c>
      <c r="AK844" t="inlineStr">
        <is>
          <t/>
        </is>
      </c>
      <c r="AL844" t="inlineStr">
        <is>
          <t/>
        </is>
      </c>
    </row>
    <row r="845">
      <c r="A845" t="inlineStr">
        <is>
          <t>节后减脂无限回购，鲜水湾家的大虾</t>
        </is>
      </c>
      <c r="B845" t="inlineStr">
        <is>
          <t>69ae5965000000002801d96e</t>
        </is>
      </c>
      <c r="C845" s="844" t="n">
        <f>HYPERLINK("https://www.xiaohongshu.com/explore/69ae5965000000002801d96e?xsec_token=TBy3i3TfmyKE7XGojG_cT9hR9rsEXHVm9w5Ql6KJZHpQc=&amp;xsec_source=pc_trdark","https://www.xiaohongshu.com/explore/69ae5965000000002801d96e?xsec_token=TBy3i3TfmyKE7XGojG_cT9hR9rsEXHVm9w5Ql6KJZHpQc=&amp;xsec_source=pc_trdark")</f>
        <v>0.0</v>
      </c>
      <c r="D845" t="inlineStr">
        <is>
          <t>鲜水湾</t>
        </is>
      </c>
      <c r="E845" t="inlineStr">
        <is>
          <t>49316638994</t>
        </is>
      </c>
      <c r="F845" t="inlineStr">
        <is>
          <t>2026-03-09 13:23:49</t>
        </is>
      </c>
      <c r="G845" t="inlineStr">
        <is>
          <t>图文</t>
        </is>
      </c>
      <c r="H845" t="inlineStr">
        <is>
          <t>大虾基围虾王牌大虾厄瓜多尔白虾盐冻虾仁海洋大虾送礼顺丰包邮</t>
        </is>
      </c>
      <c r="I845" t="inlineStr">
        <is>
          <t>690aeb7be379430001e686ac</t>
        </is>
      </c>
      <c r="J845" t="inlineStr">
        <is>
          <t/>
        </is>
      </c>
      <c r="K845" t="n">
        <v>0.0</v>
      </c>
      <c r="L845" t="n">
        <v>0.0</v>
      </c>
      <c r="M845" t="n">
        <v>0.0</v>
      </c>
      <c r="N845" t="inlineStr">
        <is>
          <t/>
        </is>
      </c>
      <c r="O845" t="n">
        <v>0.0</v>
      </c>
      <c r="P845" t="n">
        <v>0.0</v>
      </c>
      <c r="Q845" t="inlineStr">
        <is>
          <t/>
        </is>
      </c>
      <c r="R845" t="inlineStr">
        <is>
          <t/>
        </is>
      </c>
      <c r="S845" t="n">
        <v>0.0</v>
      </c>
      <c r="T845" t="n">
        <v>0.0</v>
      </c>
      <c r="U845" t="n">
        <v>0.0</v>
      </c>
      <c r="V845" t="n">
        <v>0.0</v>
      </c>
      <c r="W845" t="inlineStr">
        <is>
          <t/>
        </is>
      </c>
      <c r="X845" t="n">
        <v>0.0</v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inlineStr">
        <is>
          <t/>
        </is>
      </c>
      <c r="AL845" t="inlineStr">
        <is>
          <t/>
        </is>
      </c>
    </row>
    <row r="846">
      <c r="A846" t="inlineStr">
        <is>
          <t>节后减脂无限回购，鲜水湾家的大虾</t>
        </is>
      </c>
      <c r="B846" t="inlineStr">
        <is>
          <t>69ae55a2000000000d00820d</t>
        </is>
      </c>
      <c r="C846" s="845" t="n">
        <f>HYPERLINK("https://www.xiaohongshu.com/explore/69ae55a2000000000d00820d?xsec_token=TBy3i3TfmyKE7XGojG_cT9hdf9pfpU21itFxSZePV62fE=&amp;xsec_source=pc_trdark","https://www.xiaohongshu.com/explore/69ae55a2000000000d00820d?xsec_token=TBy3i3TfmyKE7XGojG_cT9hdf9pfpU21itFxSZePV62fE=&amp;xsec_source=pc_trdark")</f>
        <v>0.0</v>
      </c>
      <c r="D846" t="inlineStr">
        <is>
          <t>婉婉上班吃什么</t>
        </is>
      </c>
      <c r="E846" t="inlineStr">
        <is>
          <t>11434449706</t>
        </is>
      </c>
      <c r="F846" t="inlineStr">
        <is>
          <t>2026-03-09 13:07:46</t>
        </is>
      </c>
      <c r="G846" t="inlineStr">
        <is>
          <t>图文</t>
        </is>
      </c>
      <c r="H846" t="inlineStr">
        <is>
          <t>大虾基围虾王牌大虾厄瓜多尔白虾盐冻虾仁海洋大虾送礼顺丰包邮</t>
        </is>
      </c>
      <c r="I846" t="inlineStr">
        <is>
          <t>690aeb7be379430001e686ac</t>
        </is>
      </c>
      <c r="J846" t="inlineStr">
        <is>
          <t/>
        </is>
      </c>
      <c r="K846" t="n">
        <v>0.0</v>
      </c>
      <c r="L846" t="n">
        <v>0.0</v>
      </c>
      <c r="M846" t="n">
        <v>0.0</v>
      </c>
      <c r="N846" t="inlineStr">
        <is>
          <t/>
        </is>
      </c>
      <c r="O846" t="n">
        <v>0.0</v>
      </c>
      <c r="P846" t="n">
        <v>0.0</v>
      </c>
      <c r="Q846" t="inlineStr">
        <is>
          <t/>
        </is>
      </c>
      <c r="R846" t="inlineStr">
        <is>
          <t/>
        </is>
      </c>
      <c r="S846" t="n">
        <v>0.0</v>
      </c>
      <c r="T846" t="n">
        <v>0.0</v>
      </c>
      <c r="U846" t="n">
        <v>0.0</v>
      </c>
      <c r="V846" t="n">
        <v>0.0</v>
      </c>
      <c r="W846" t="inlineStr">
        <is>
          <t/>
        </is>
      </c>
      <c r="X846" t="n">
        <v>0.0</v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n">
        <v>0.0</v>
      </c>
      <c r="AI846" t="n">
        <v>0.0</v>
      </c>
      <c r="AJ846" t="n">
        <v>0.0</v>
      </c>
      <c r="AK846" t="inlineStr">
        <is>
          <t/>
        </is>
      </c>
      <c r="AL846" t="inlineStr">
        <is>
          <t/>
        </is>
      </c>
    </row>
    <row r="847">
      <c r="A847" t="inlineStr">
        <is>
          <t>减脂党必囤！冷冻大虾真的太省心了</t>
        </is>
      </c>
      <c r="B847" t="inlineStr">
        <is>
          <t>69ae3512000000002801e740</t>
        </is>
      </c>
      <c r="C847" s="846" t="n">
        <f>HYPERLINK("https://www.xiaohongshu.com/explore/69ae3512000000002801e740?xsec_token=TBy3i3TfmyKE7XGojG_cT9hcspv3szCmlRgnXBF6up6JE=&amp;xsec_source=pc_trdark","https://www.xiaohongshu.com/explore/69ae3512000000002801e740?xsec_token=TBy3i3TfmyKE7XGojG_cT9hcspv3szCmlRgnXBF6up6JE=&amp;xsec_source=pc_trdark")</f>
        <v>0.0</v>
      </c>
      <c r="D847" t="inlineStr">
        <is>
          <t>婉婉上班吃什么</t>
        </is>
      </c>
      <c r="E847" t="inlineStr">
        <is>
          <t>11434449706</t>
        </is>
      </c>
      <c r="F847" t="inlineStr">
        <is>
          <t>2026-03-09 10:48:50</t>
        </is>
      </c>
      <c r="G847" t="inlineStr">
        <is>
          <t>图文</t>
        </is>
      </c>
      <c r="H847" t="inlineStr">
        <is>
          <t>大虾基围虾王牌大虾厄瓜多尔白虾盐冻虾仁海洋大虾送礼顺丰包邮</t>
        </is>
      </c>
      <c r="I847" t="inlineStr">
        <is>
          <t>690aeb7be379430001e686ac</t>
        </is>
      </c>
      <c r="J847" t="inlineStr">
        <is>
          <t/>
        </is>
      </c>
      <c r="K847" t="n">
        <v>0.0</v>
      </c>
      <c r="L847" t="n">
        <v>0.0</v>
      </c>
      <c r="M847" t="n">
        <v>0.0</v>
      </c>
      <c r="N847" t="inlineStr">
        <is>
          <t/>
        </is>
      </c>
      <c r="O847" t="n">
        <v>0.0</v>
      </c>
      <c r="P847" t="n">
        <v>0.0</v>
      </c>
      <c r="Q847" t="inlineStr">
        <is>
          <t/>
        </is>
      </c>
      <c r="R847" t="inlineStr">
        <is>
          <t/>
        </is>
      </c>
      <c r="S847" t="n">
        <v>0.0</v>
      </c>
      <c r="T847" t="n">
        <v>0.0</v>
      </c>
      <c r="U847" t="n">
        <v>0.0</v>
      </c>
      <c r="V847" t="n">
        <v>0.0</v>
      </c>
      <c r="W847" t="inlineStr">
        <is>
          <t/>
        </is>
      </c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n">
        <v>0.0</v>
      </c>
      <c r="AI847" t="n">
        <v>0.0</v>
      </c>
      <c r="AJ847" t="n">
        <v>0.0</v>
      </c>
      <c r="AK847" t="inlineStr">
        <is>
          <t/>
        </is>
      </c>
      <c r="AL847" t="inlineStr">
        <is>
          <t/>
        </is>
      </c>
    </row>
    <row r="848">
      <c r="A848" t="inlineStr">
        <is>
          <t>笑亖 从83斤瘦子同事那里偷师学到的好东西</t>
        </is>
      </c>
      <c r="B848" t="inlineStr">
        <is>
          <t>69ad9d28000000000e03ee6e</t>
        </is>
      </c>
      <c r="C848" s="847" t="n">
        <f>HYPERLINK("https://www.xiaohongshu.com/explore/69ad9d28000000000e03ee6e?xsec_token=TBsauhpT2AwjD8NBV7WI8gZPxXNnRn-1DelJg6E3GHPu4=&amp;xsec_source=pc_trdark","https://www.xiaohongshu.com/explore/69ad9d28000000000e03ee6e?xsec_token=TBsauhpT2AwjD8NBV7WI8gZPxXNnRn-1DelJg6E3GHPu4=&amp;xsec_source=pc_trdark")</f>
        <v>0.0</v>
      </c>
      <c r="D848" t="inlineStr">
        <is>
          <t>鲜水湾</t>
        </is>
      </c>
      <c r="E848" t="inlineStr">
        <is>
          <t>49316638994</t>
        </is>
      </c>
      <c r="F848" t="inlineStr">
        <is>
          <t>2026-03-09 00:00:40</t>
        </is>
      </c>
      <c r="G848" t="inlineStr">
        <is>
          <t>图文</t>
        </is>
      </c>
      <c r="H848" t="inlineStr">
        <is>
          <t>大虾基围虾王牌大虾厄瓜多尔白虾盐冻虾仁海洋大虾送礼顺丰包邮</t>
        </is>
      </c>
      <c r="I848" t="inlineStr">
        <is>
          <t>690aeb7be379430001e686ac</t>
        </is>
      </c>
      <c r="J848" t="inlineStr">
        <is>
          <t/>
        </is>
      </c>
      <c r="K848" t="n">
        <v>0.0</v>
      </c>
      <c r="L848" t="n">
        <v>0.0</v>
      </c>
      <c r="M848" t="n">
        <v>0.0</v>
      </c>
      <c r="N848" t="inlineStr">
        <is>
          <t/>
        </is>
      </c>
      <c r="O848" t="n">
        <v>0.0</v>
      </c>
      <c r="P848" t="n">
        <v>0.0</v>
      </c>
      <c r="Q848" t="inlineStr">
        <is>
          <t/>
        </is>
      </c>
      <c r="R848" t="inlineStr">
        <is>
          <t/>
        </is>
      </c>
      <c r="S848" t="n">
        <v>0.0</v>
      </c>
      <c r="T848" t="n">
        <v>0.0</v>
      </c>
      <c r="U848" t="n">
        <v>0.0</v>
      </c>
      <c r="V848" t="n">
        <v>0.0</v>
      </c>
      <c r="W848" t="inlineStr">
        <is>
          <t/>
        </is>
      </c>
      <c r="X848" t="n">
        <v>0.0</v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n">
        <v>0.0</v>
      </c>
      <c r="AI848" t="n">
        <v>0.0</v>
      </c>
      <c r="AJ848" t="n">
        <v>0.0</v>
      </c>
      <c r="AK848" t="inlineStr">
        <is>
          <t/>
        </is>
      </c>
      <c r="AL848" t="inlineStr">
        <is>
          <t/>
        </is>
      </c>
    </row>
    <row r="849">
      <c r="A849" t="inlineStr">
        <is>
          <t>笑亖 从83斤瘦子同事那里偷师学到的好东西</t>
        </is>
      </c>
      <c r="B849" t="inlineStr">
        <is>
          <t>69ad9c17000000002801e24f</t>
        </is>
      </c>
      <c r="C849" s="848" t="n">
        <f>HYPERLINK("https://www.xiaohongshu.com/explore/69ad9c17000000002801e24f?xsec_token=TBsauhpT2AwjD8NBV7WI8gZBIUdXJgtEYtaugRHxfhJwQ=&amp;xsec_source=pc_trdark","https://www.xiaohongshu.com/explore/69ad9c17000000002801e24f?xsec_token=TBsauhpT2AwjD8NBV7WI8gZBIUdXJgtEYtaugRHxfhJwQ=&amp;xsec_source=pc_trdark")</f>
        <v>0.0</v>
      </c>
      <c r="D849" t="inlineStr">
        <is>
          <t>婉婉上班吃什么</t>
        </is>
      </c>
      <c r="E849" t="inlineStr">
        <is>
          <t>11434449706</t>
        </is>
      </c>
      <c r="F849" t="inlineStr">
        <is>
          <t>2026-03-08 23:56:07</t>
        </is>
      </c>
      <c r="G849" t="inlineStr">
        <is>
          <t>图文</t>
        </is>
      </c>
      <c r="H849" t="inlineStr">
        <is>
          <t>大虾基围虾王牌大虾厄瓜多尔白虾盐冻虾仁海洋大虾送礼顺丰包邮</t>
        </is>
      </c>
      <c r="I849" t="inlineStr">
        <is>
          <t>690aeb7be379430001e686ac</t>
        </is>
      </c>
      <c r="J849" t="inlineStr">
        <is>
          <t/>
        </is>
      </c>
      <c r="K849" t="n">
        <v>0.0</v>
      </c>
      <c r="L849" t="n">
        <v>0.0</v>
      </c>
      <c r="M849" t="n">
        <v>0.0</v>
      </c>
      <c r="N849" t="inlineStr">
        <is>
          <t/>
        </is>
      </c>
      <c r="O849" t="n">
        <v>0.0</v>
      </c>
      <c r="P849" t="n">
        <v>0.0</v>
      </c>
      <c r="Q849" t="inlineStr">
        <is>
          <t/>
        </is>
      </c>
      <c r="R849" t="inlineStr">
        <is>
          <t/>
        </is>
      </c>
      <c r="S849" t="n">
        <v>0.0</v>
      </c>
      <c r="T849" t="n">
        <v>0.0</v>
      </c>
      <c r="U849" t="n">
        <v>0.0</v>
      </c>
      <c r="V849" t="n">
        <v>0.0</v>
      </c>
      <c r="W849" t="inlineStr">
        <is>
          <t/>
        </is>
      </c>
      <c r="X849" t="n">
        <v>0.0</v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n">
        <v>0.0</v>
      </c>
      <c r="AI849" t="n">
        <v>0.0</v>
      </c>
      <c r="AJ849" t="n">
        <v>0.0</v>
      </c>
      <c r="AK849" t="inlineStr">
        <is>
          <t/>
        </is>
      </c>
      <c r="AL849" t="inlineStr">
        <is>
          <t/>
        </is>
      </c>
    </row>
    <row r="850">
      <c r="A850" t="inlineStr">
        <is>
          <t>每天带一包大虾上班，同事说我很有钱</t>
        </is>
      </c>
      <c r="B850" t="inlineStr">
        <is>
          <t>69ad8a46000000001a028410</t>
        </is>
      </c>
      <c r="C850" s="849" t="n">
        <f>HYPERLINK("https://www.xiaohongshu.com/explore/69ad8a46000000001a028410?xsec_token=TBsauhpT2AwjD8NBV7WI8gZG4_d3pBV9ewITXn0FR4zAs=&amp;xsec_source=pc_trdark","https://www.xiaohongshu.com/explore/69ad8a46000000001a028410?xsec_token=TBsauhpT2AwjD8NBV7WI8gZG4_d3pBV9ewITXn0FR4zAs=&amp;xsec_source=pc_trdark")</f>
        <v>0.0</v>
      </c>
      <c r="D850" t="inlineStr">
        <is>
          <t>婉婉上班吃什么</t>
        </is>
      </c>
      <c r="E850" t="inlineStr">
        <is>
          <t>11434449706</t>
        </is>
      </c>
      <c r="F850" t="inlineStr">
        <is>
          <t>2026-03-08 22:40:06</t>
        </is>
      </c>
      <c r="G850" t="inlineStr">
        <is>
          <t>图文</t>
        </is>
      </c>
      <c r="H850" t="inlineStr">
        <is>
          <t>大虾基围虾王牌大虾厄瓜多尔白虾盐冻虾仁海洋大虾送礼顺丰包邮</t>
        </is>
      </c>
      <c r="I850" t="inlineStr">
        <is>
          <t>690aeb7be379430001e686ac</t>
        </is>
      </c>
      <c r="J850" t="inlineStr">
        <is>
          <t/>
        </is>
      </c>
      <c r="K850" t="n">
        <v>0.0</v>
      </c>
      <c r="L850" t="n">
        <v>0.0</v>
      </c>
      <c r="M850" t="n">
        <v>0.0</v>
      </c>
      <c r="N850" t="inlineStr">
        <is>
          <t/>
        </is>
      </c>
      <c r="O850" t="n">
        <v>0.0</v>
      </c>
      <c r="P850" t="n">
        <v>0.0</v>
      </c>
      <c r="Q850" t="inlineStr">
        <is>
          <t/>
        </is>
      </c>
      <c r="R850" t="inlineStr">
        <is>
          <t/>
        </is>
      </c>
      <c r="S850" t="n">
        <v>0.0</v>
      </c>
      <c r="T850" t="n">
        <v>0.0</v>
      </c>
      <c r="U850" t="n">
        <v>0.0</v>
      </c>
      <c r="V850" t="n">
        <v>0.0</v>
      </c>
      <c r="W850" t="inlineStr">
        <is>
          <t/>
        </is>
      </c>
      <c r="X850" t="n">
        <v>0.0</v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n">
        <v>0.0</v>
      </c>
      <c r="AI850" t="n">
        <v>0.0</v>
      </c>
      <c r="AJ850" t="n">
        <v>0.0</v>
      </c>
      <c r="AK850" t="inlineStr">
        <is>
          <t/>
        </is>
      </c>
      <c r="AL850" t="inlineStr">
        <is>
          <t/>
        </is>
      </c>
    </row>
    <row r="851">
      <c r="A851" t="inlineStr">
        <is>
          <t>区区69直接承包我一周的控体餐</t>
        </is>
      </c>
      <c r="B851" t="inlineStr">
        <is>
          <t>69ad6262000000001a01d058</t>
        </is>
      </c>
      <c r="C851" s="850" t="n">
        <f>HYPERLINK("https://www.xiaohongshu.com/explore/69ad6262000000001a01d058?xsec_token=TBsauhpT2AwjD8NBV7WI8gZLyQoplzODaQAmvUx3_clJU=&amp;xsec_source=pc_trdark","https://www.xiaohongshu.com/explore/69ad6262000000001a01d058?xsec_token=TBsauhpT2AwjD8NBV7WI8gZLyQoplzODaQAmvUx3_clJU=&amp;xsec_source=pc_trdark")</f>
        <v>0.0</v>
      </c>
      <c r="D851" t="inlineStr">
        <is>
          <t>鲜水湾</t>
        </is>
      </c>
      <c r="E851" t="inlineStr">
        <is>
          <t>49316638994</t>
        </is>
      </c>
      <c r="F851" t="inlineStr">
        <is>
          <t>2026-03-08 19:49:54</t>
        </is>
      </c>
      <c r="G851" t="inlineStr">
        <is>
          <t>图文</t>
        </is>
      </c>
      <c r="H851" t="inlineStr">
        <is>
          <t>大虾基围虾王牌大虾厄瓜多尔白虾盐冻虾仁海洋大虾送礼顺丰包邮</t>
        </is>
      </c>
      <c r="I851" t="inlineStr">
        <is>
          <t>690aeb7be379430001e686ac</t>
        </is>
      </c>
      <c r="J851" t="inlineStr">
        <is>
          <t/>
        </is>
      </c>
      <c r="K851" t="n">
        <v>0.0</v>
      </c>
      <c r="L851" t="n">
        <v>0.0</v>
      </c>
      <c r="M851" t="n">
        <v>0.0</v>
      </c>
      <c r="N851" t="inlineStr">
        <is>
          <t/>
        </is>
      </c>
      <c r="O851" t="n">
        <v>0.0</v>
      </c>
      <c r="P851" t="n">
        <v>0.0</v>
      </c>
      <c r="Q851" t="inlineStr">
        <is>
          <t/>
        </is>
      </c>
      <c r="R851" t="inlineStr">
        <is>
          <t/>
        </is>
      </c>
      <c r="S851" t="n">
        <v>0.0</v>
      </c>
      <c r="T851" t="n">
        <v>0.0</v>
      </c>
      <c r="U851" t="n">
        <v>0.0</v>
      </c>
      <c r="V851" t="n">
        <v>0.0</v>
      </c>
      <c r="W851" t="inlineStr">
        <is>
          <t/>
        </is>
      </c>
      <c r="X851" t="n">
        <v>0.0</v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n">
        <v>0.0</v>
      </c>
      <c r="AI851" t="n">
        <v>0.0</v>
      </c>
      <c r="AJ851" t="n">
        <v>0.0</v>
      </c>
      <c r="AK851" t="inlineStr">
        <is>
          <t/>
        </is>
      </c>
      <c r="AL851" t="inlineStr">
        <is>
          <t/>
        </is>
      </c>
    </row>
    <row r="852">
      <c r="A852" t="inlineStr">
        <is>
          <t>热量比鸡胸肉低，今年的控体主食mvp ！！</t>
        </is>
      </c>
      <c r="B852" t="inlineStr">
        <is>
          <t>69ad3fd1000000001a031f4b</t>
        </is>
      </c>
      <c r="C852" s="851" t="n">
        <f>HYPERLINK("https://www.xiaohongshu.com/explore/69ad3fd1000000001a031f4b?xsec_token=TBsauhpT2AwjD8NBV7WI8gZPE55zLGLPuY3FKDXnBrFJ4=&amp;xsec_source=pc_trdark","https://www.xiaohongshu.com/explore/69ad3fd1000000001a031f4b?xsec_token=TBsauhpT2AwjD8NBV7WI8gZPE55zLGLPuY3FKDXnBrFJ4=&amp;xsec_source=pc_trdark")</f>
        <v>0.0</v>
      </c>
      <c r="D852" t="inlineStr">
        <is>
          <t>鲜水湾</t>
        </is>
      </c>
      <c r="E852" t="inlineStr">
        <is>
          <t>49316638994</t>
        </is>
      </c>
      <c r="F852" t="inlineStr">
        <is>
          <t>2026-03-08 17:22:25</t>
        </is>
      </c>
      <c r="G852" t="inlineStr">
        <is>
          <t>图文</t>
        </is>
      </c>
      <c r="H852" t="inlineStr">
        <is>
          <t>手剥虾仁 无冰衣无添加 低脂餐一人食 上班带饭 顺丰包邮 5盒装</t>
        </is>
      </c>
      <c r="I852" t="inlineStr">
        <is>
          <t>694baba01d450d00013662f0</t>
        </is>
      </c>
      <c r="J852" t="inlineStr">
        <is>
          <t/>
        </is>
      </c>
      <c r="K852" t="n">
        <v>0.0</v>
      </c>
      <c r="L852" t="n">
        <v>0.0</v>
      </c>
      <c r="M852" t="n">
        <v>0.0</v>
      </c>
      <c r="N852" t="inlineStr">
        <is>
          <t/>
        </is>
      </c>
      <c r="O852" t="n">
        <v>0.0</v>
      </c>
      <c r="P852" t="n">
        <v>0.0</v>
      </c>
      <c r="Q852" t="inlineStr">
        <is>
          <t/>
        </is>
      </c>
      <c r="R852" t="inlineStr">
        <is>
          <t/>
        </is>
      </c>
      <c r="S852" t="n">
        <v>0.0</v>
      </c>
      <c r="T852" t="n">
        <v>0.0</v>
      </c>
      <c r="U852" t="n">
        <v>0.0</v>
      </c>
      <c r="V852" t="n">
        <v>0.0</v>
      </c>
      <c r="W852" t="inlineStr">
        <is>
          <t/>
        </is>
      </c>
      <c r="X852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n">
        <v>0.0</v>
      </c>
      <c r="AI852" t="n">
        <v>0.0</v>
      </c>
      <c r="AJ852" t="n">
        <v>0.0</v>
      </c>
      <c r="AK852" t="inlineStr">
        <is>
          <t/>
        </is>
      </c>
      <c r="AL852" t="inlineStr">
        <is>
          <t/>
        </is>
      </c>
    </row>
    <row r="853">
      <c r="A853" t="inlineStr">
        <is>
          <t>感谢网友推荐！年后控体真的太简单了</t>
        </is>
      </c>
      <c r="B853" t="inlineStr">
        <is>
          <t>69abdddf000000002801e216</t>
        </is>
      </c>
      <c r="C853" s="852" t="n">
        <f>HYPERLINK("https://www.xiaohongshu.com/explore/69abdddf000000002801e216?xsec_token=TBjk1R4L6FFMBESMYKkkhLfMbEK-S3v4SB0RGJYvdu88M=&amp;xsec_source=pc_trdark","https://www.xiaohongshu.com/explore/69abdddf000000002801e216?xsec_token=TBjk1R4L6FFMBESMYKkkhLfMbEK-S3v4SB0RGJYvdu88M=&amp;xsec_source=pc_trdark")</f>
        <v>0.0</v>
      </c>
      <c r="D853" t="inlineStr">
        <is>
          <t>鲜水湾</t>
        </is>
      </c>
      <c r="E853" t="inlineStr">
        <is>
          <t>49316638994</t>
        </is>
      </c>
      <c r="F853" t="inlineStr">
        <is>
          <t>2026-03-07 16:12:15</t>
        </is>
      </c>
      <c r="G853" t="inlineStr">
        <is>
          <t>图文</t>
        </is>
      </c>
      <c r="H853" t="inlineStr">
        <is>
          <t>大虾基围虾王牌大虾厄瓜多尔白虾盐冻虾仁海洋大虾送礼顺丰包邮</t>
        </is>
      </c>
      <c r="I853" t="inlineStr">
        <is>
          <t>690aeb7be379430001e686ac</t>
        </is>
      </c>
      <c r="J853" t="inlineStr">
        <is>
          <t/>
        </is>
      </c>
      <c r="K853" t="n">
        <v>0.0</v>
      </c>
      <c r="L853" t="n">
        <v>0.0</v>
      </c>
      <c r="M853" t="n">
        <v>0.0</v>
      </c>
      <c r="N853" t="inlineStr">
        <is>
          <t/>
        </is>
      </c>
      <c r="O853" t="n">
        <v>0.0</v>
      </c>
      <c r="P853" t="n">
        <v>0.0</v>
      </c>
      <c r="Q853" t="inlineStr">
        <is>
          <t/>
        </is>
      </c>
      <c r="R853" t="inlineStr">
        <is>
          <t/>
        </is>
      </c>
      <c r="S853" t="n">
        <v>0.0</v>
      </c>
      <c r="T853" t="n">
        <v>0.0</v>
      </c>
      <c r="U853" t="n">
        <v>0.0</v>
      </c>
      <c r="V853" t="n">
        <v>0.0</v>
      </c>
      <c r="W853" t="inlineStr">
        <is>
          <t/>
        </is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  <c r="AK853" t="inlineStr">
        <is>
          <t/>
        </is>
      </c>
      <c r="AL853" t="inlineStr">
        <is>
          <t/>
        </is>
      </c>
    </row>
    <row r="854">
      <c r="A854" t="inlineStr">
        <is>
          <t>听劝！控体期吃主食就选大虾仁🍤</t>
        </is>
      </c>
      <c r="B854" t="inlineStr">
        <is>
          <t>69abc58d000000001a030f4f</t>
        </is>
      </c>
      <c r="C854" s="853" t="n">
        <f>HYPERLINK("https://www.xiaohongshu.com/explore/69abc58d000000001a030f4f?xsec_token=TBjk1R4L6FFMBESMYKkkhLfEIWT-X8SGc3WLUCsTP5s_s=&amp;xsec_source=pc_trdark","https://www.xiaohongshu.com/explore/69abc58d000000001a030f4f?xsec_token=TBjk1R4L6FFMBESMYKkkhLfEIWT-X8SGc3WLUCsTP5s_s=&amp;xsec_source=pc_trdark")</f>
        <v>0.0</v>
      </c>
      <c r="D854" t="inlineStr">
        <is>
          <t>鲜水湾</t>
        </is>
      </c>
      <c r="E854" t="inlineStr">
        <is>
          <t>49316638994</t>
        </is>
      </c>
      <c r="F854" t="inlineStr">
        <is>
          <t>2026-03-07 14:28:29</t>
        </is>
      </c>
      <c r="G854" t="inlineStr">
        <is>
          <t>图文</t>
        </is>
      </c>
      <c r="H854" t="inlineStr">
        <is>
          <t>手剥虾仁 无冰衣无添加 低脂餐一人食 上班带饭 顺丰包邮 5盒装</t>
        </is>
      </c>
      <c r="I854" t="inlineStr">
        <is>
          <t>694baba01d450d00013662f0</t>
        </is>
      </c>
      <c r="J854" t="inlineStr">
        <is>
          <t/>
        </is>
      </c>
      <c r="K854" t="n">
        <v>0.0</v>
      </c>
      <c r="L854" t="n">
        <v>0.0</v>
      </c>
      <c r="M854" t="n">
        <v>0.0</v>
      </c>
      <c r="N854" t="inlineStr">
        <is>
          <t/>
        </is>
      </c>
      <c r="O854" t="n">
        <v>0.0</v>
      </c>
      <c r="P854" t="n">
        <v>0.0</v>
      </c>
      <c r="Q854" t="inlineStr">
        <is>
          <t/>
        </is>
      </c>
      <c r="R854" t="inlineStr">
        <is>
          <t/>
        </is>
      </c>
      <c r="S854" t="n">
        <v>0.0</v>
      </c>
      <c r="T854" t="n">
        <v>0.0</v>
      </c>
      <c r="U854" t="n">
        <v>0.0</v>
      </c>
      <c r="V854" t="n">
        <v>0.0</v>
      </c>
      <c r="W854" t="inlineStr">
        <is>
          <t/>
        </is>
      </c>
      <c r="X854" t="n">
        <v>0.0</v>
      </c>
      <c r="Y854" t="n">
        <v>0.0</v>
      </c>
      <c r="Z854" t="n">
        <v>0.0</v>
      </c>
      <c r="AA854" t="n">
        <v>0.0</v>
      </c>
      <c r="AB854" t="n">
        <v>0.0</v>
      </c>
      <c r="AC854" t="n">
        <v>0.0</v>
      </c>
      <c r="AD854" t="n">
        <v>0.0</v>
      </c>
      <c r="AE854" t="n">
        <v>0.0</v>
      </c>
      <c r="AF854" t="n">
        <v>0.0</v>
      </c>
      <c r="AG854" t="n">
        <v>0.0</v>
      </c>
      <c r="AH854" t="n">
        <v>0.0</v>
      </c>
      <c r="AI854" t="n">
        <v>0.0</v>
      </c>
      <c r="AJ854" t="n">
        <v>0.0</v>
      </c>
      <c r="AK854" t="inlineStr">
        <is>
          <t/>
        </is>
      </c>
      <c r="AL854" t="inlineStr">
        <is>
          <t/>
        </is>
      </c>
    </row>
    <row r="855">
      <c r="A855" t="inlineStr">
        <is>
          <t>坚持这样吃早餐，体态真的越来越稳了</t>
        </is>
      </c>
      <c r="B855" t="inlineStr">
        <is>
          <t>69abb441000000000e00fe5c</t>
        </is>
      </c>
      <c r="C855" s="854" t="n">
        <f>HYPERLINK("https://www.xiaohongshu.com/explore/69abb441000000000e00fe5c?xsec_token=TBjk1R4L6FFMBESMYKkkhLfGW_WKUdzp60NDXQthordL4=&amp;xsec_source=pc_trdark","https://www.xiaohongshu.com/explore/69abb441000000000e00fe5c?xsec_token=TBjk1R4L6FFMBESMYKkkhLfGW_WKUdzp60NDXQthordL4=&amp;xsec_source=pc_trdark")</f>
        <v>0.0</v>
      </c>
      <c r="D855" t="inlineStr">
        <is>
          <t>鲜水湾</t>
        </is>
      </c>
      <c r="E855" t="inlineStr">
        <is>
          <t>49316638994</t>
        </is>
      </c>
      <c r="F855" t="inlineStr">
        <is>
          <t>2026-03-07 13:14:41</t>
        </is>
      </c>
      <c r="G855" t="inlineStr">
        <is>
          <t>图文</t>
        </is>
      </c>
      <c r="H855" t="inlineStr">
        <is>
          <t>大虾基围虾王牌大虾厄瓜多尔白虾盐冻虾仁海洋大虾送礼顺丰包邮</t>
        </is>
      </c>
      <c r="I855" t="inlineStr">
        <is>
          <t>690aeb7be379430001e686ac</t>
        </is>
      </c>
      <c r="J855" t="inlineStr">
        <is>
          <t/>
        </is>
      </c>
      <c r="K855" t="n">
        <v>0.0</v>
      </c>
      <c r="L855" t="n">
        <v>0.0</v>
      </c>
      <c r="M855" t="n">
        <v>0.0</v>
      </c>
      <c r="N855" t="inlineStr">
        <is>
          <t/>
        </is>
      </c>
      <c r="O855" t="n">
        <v>0.0</v>
      </c>
      <c r="P855" t="n">
        <v>0.0</v>
      </c>
      <c r="Q855" t="inlineStr">
        <is>
          <t/>
        </is>
      </c>
      <c r="R855" t="inlineStr">
        <is>
          <t/>
        </is>
      </c>
      <c r="S855" t="n">
        <v>0.0</v>
      </c>
      <c r="T855" t="n">
        <v>0.0</v>
      </c>
      <c r="U855" t="n">
        <v>0.0</v>
      </c>
      <c r="V855" t="n">
        <v>0.0</v>
      </c>
      <c r="W855" t="inlineStr">
        <is>
          <t/>
        </is>
      </c>
      <c r="X855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inlineStr">
        <is>
          <t/>
        </is>
      </c>
      <c r="AL855" t="inlineStr">
        <is>
          <t/>
        </is>
      </c>
    </row>
    <row r="856">
      <c r="A856" t="inlineStr">
        <is>
          <t>瘦子同事带的饭一天比一天离谱</t>
        </is>
      </c>
      <c r="B856" t="inlineStr">
        <is>
          <t>69ab9111000000001a033291</t>
        </is>
      </c>
      <c r="C856" s="855" t="n">
        <f>HYPERLINK("https://www.xiaohongshu.com/explore/69ab9111000000001a033291?xsec_token=TBjk1R4L6FFMBESMYKkkhLfGlEQrOsvgjaGPFJO3HRj7U=&amp;xsec_source=pc_trdark","https://www.xiaohongshu.com/explore/69ab9111000000001a033291?xsec_token=TBjk1R4L6FFMBESMYKkkhLfGlEQrOsvgjaGPFJO3HRj7U=&amp;xsec_source=pc_trdark")</f>
        <v>0.0</v>
      </c>
      <c r="D856" t="inlineStr">
        <is>
          <t>鲜水湾</t>
        </is>
      </c>
      <c r="E856" t="inlineStr">
        <is>
          <t>49316638994</t>
        </is>
      </c>
      <c r="F856" t="inlineStr">
        <is>
          <t>2026-03-07 10:44:33</t>
        </is>
      </c>
      <c r="G856" t="inlineStr">
        <is>
          <t>图文</t>
        </is>
      </c>
      <c r="H856" t="inlineStr">
        <is>
          <t>大虾基围虾王牌大虾厄瓜多尔白虾盐冻虾仁海洋大虾送礼顺丰包邮</t>
        </is>
      </c>
      <c r="I856" t="inlineStr">
        <is>
          <t>690aeb7be379430001e686ac</t>
        </is>
      </c>
      <c r="J856" t="inlineStr">
        <is>
          <t/>
        </is>
      </c>
      <c r="K856" t="n">
        <v>0.0</v>
      </c>
      <c r="L856" t="n">
        <v>0.0</v>
      </c>
      <c r="M856" t="n">
        <v>0.0</v>
      </c>
      <c r="N856" t="inlineStr">
        <is>
          <t/>
        </is>
      </c>
      <c r="O856" t="n">
        <v>0.0</v>
      </c>
      <c r="P856" t="n">
        <v>0.0</v>
      </c>
      <c r="Q856" t="inlineStr">
        <is>
          <t/>
        </is>
      </c>
      <c r="R856" t="inlineStr">
        <is>
          <t/>
        </is>
      </c>
      <c r="S856" t="n">
        <v>0.0</v>
      </c>
      <c r="T856" t="n">
        <v>0.0</v>
      </c>
      <c r="U856" t="n">
        <v>0.0</v>
      </c>
      <c r="V856" t="n">
        <v>0.0</v>
      </c>
      <c r="W856" t="inlineStr">
        <is>
          <t/>
        </is>
      </c>
      <c r="X856" t="n">
        <v>0.0</v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inlineStr">
        <is>
          <t/>
        </is>
      </c>
      <c r="AL856" t="inlineStr">
        <is>
          <t/>
        </is>
      </c>
    </row>
    <row r="857">
      <c r="A857" t="inlineStr">
        <is>
          <t>感谢小红书！承包了我整年的低卡餐！</t>
        </is>
      </c>
      <c r="B857" t="inlineStr">
        <is>
          <t>69ab88fe000000002801cf73</t>
        </is>
      </c>
      <c r="C857" s="856" t="n">
        <f>HYPERLINK("https://www.xiaohongshu.com/explore/69ab88fe000000002801cf73?xsec_token=TBjk1R4L6FFMBESMYKkkhLfF9UscqApFScMnVpeTHk_u4=&amp;xsec_source=pc_trdark","https://www.xiaohongshu.com/explore/69ab88fe000000002801cf73?xsec_token=TBjk1R4L6FFMBESMYKkkhLfF9UscqApFScMnVpeTHk_u4=&amp;xsec_source=pc_trdark")</f>
        <v>0.0</v>
      </c>
      <c r="D857" t="inlineStr">
        <is>
          <t>婉婉上班吃什么</t>
        </is>
      </c>
      <c r="E857" t="inlineStr">
        <is>
          <t>11434449706</t>
        </is>
      </c>
      <c r="F857" t="inlineStr">
        <is>
          <t>2026-03-07 10:10:06</t>
        </is>
      </c>
      <c r="G857" t="inlineStr">
        <is>
          <t>图文</t>
        </is>
      </c>
      <c r="H857" t="inlineStr">
        <is>
          <t>手剥虾仁 无冰衣无添加 低脂餐一人食 上班带饭 顺丰包邮 5盒装</t>
        </is>
      </c>
      <c r="I857" t="inlineStr">
        <is>
          <t>694baba01d450d00013662f0</t>
        </is>
      </c>
      <c r="J857" t="inlineStr">
        <is>
          <t/>
        </is>
      </c>
      <c r="K857" t="n">
        <v>0.0</v>
      </c>
      <c r="L857" t="n">
        <v>0.0</v>
      </c>
      <c r="M857" t="n">
        <v>0.0</v>
      </c>
      <c r="N857" t="inlineStr">
        <is>
          <t/>
        </is>
      </c>
      <c r="O857" t="n">
        <v>0.0</v>
      </c>
      <c r="P857" t="n">
        <v>0.0</v>
      </c>
      <c r="Q857" t="inlineStr">
        <is>
          <t/>
        </is>
      </c>
      <c r="R857" t="inlineStr">
        <is>
          <t/>
        </is>
      </c>
      <c r="S857" t="n">
        <v>0.0</v>
      </c>
      <c r="T857" t="n">
        <v>0.0</v>
      </c>
      <c r="U857" t="n">
        <v>0.0</v>
      </c>
      <c r="V857" t="n">
        <v>0.0</v>
      </c>
      <c r="W857" t="inlineStr">
        <is>
          <t/>
        </is>
      </c>
      <c r="X857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inlineStr">
        <is>
          <t/>
        </is>
      </c>
      <c r="AL857" t="inlineStr">
        <is>
          <t/>
        </is>
      </c>
    </row>
    <row r="858">
      <c r="A858" t="inlineStr">
        <is>
          <t>讲真…我家大虾在小红书上真找不到平替</t>
        </is>
      </c>
      <c r="B858" t="inlineStr">
        <is>
          <t>69ab845b000000002801fb2a</t>
        </is>
      </c>
      <c r="C858" s="857" t="n">
        <f>HYPERLINK("https://www.xiaohongshu.com/explore/69ab845b000000002801fb2a?xsec_token=TBjk1R4L6FFMBESMYKkkhLfIl0MTwJbvMtmMnRl-KhgEM=&amp;xsec_source=pc_trdark","https://www.xiaohongshu.com/explore/69ab845b000000002801fb2a?xsec_token=TBjk1R4L6FFMBESMYKkkhLfIl0MTwJbvMtmMnRl-KhgEM=&amp;xsec_source=pc_trdark")</f>
        <v>0.0</v>
      </c>
      <c r="D858" t="inlineStr">
        <is>
          <t>鲜水湾</t>
        </is>
      </c>
      <c r="E858" t="inlineStr">
        <is>
          <t>49316638994</t>
        </is>
      </c>
      <c r="F858" t="inlineStr">
        <is>
          <t>2026-03-07 09:50:19</t>
        </is>
      </c>
      <c r="G858" t="inlineStr">
        <is>
          <t>图文</t>
        </is>
      </c>
      <c r="H858" t="inlineStr">
        <is>
          <t>大虾基围虾王牌大虾厄瓜多尔白虾盐冻虾仁海洋大虾送礼顺丰包邮</t>
        </is>
      </c>
      <c r="I858" t="inlineStr">
        <is>
          <t>690aeb7be379430001e686ac</t>
        </is>
      </c>
      <c r="J858" t="inlineStr">
        <is>
          <t/>
        </is>
      </c>
      <c r="K858" t="n">
        <v>0.0</v>
      </c>
      <c r="L858" t="n">
        <v>0.0</v>
      </c>
      <c r="M858" t="n">
        <v>0.0</v>
      </c>
      <c r="N858" t="inlineStr">
        <is>
          <t/>
        </is>
      </c>
      <c r="O858" t="n">
        <v>0.0</v>
      </c>
      <c r="P858" t="n">
        <v>0.0</v>
      </c>
      <c r="Q858" t="inlineStr">
        <is>
          <t/>
        </is>
      </c>
      <c r="R858" t="inlineStr">
        <is>
          <t/>
        </is>
      </c>
      <c r="S858" t="n">
        <v>0.0</v>
      </c>
      <c r="T858" t="n">
        <v>0.0</v>
      </c>
      <c r="U858" t="n">
        <v>0.0</v>
      </c>
      <c r="V858" t="n">
        <v>0.0</v>
      </c>
      <c r="W858" t="inlineStr">
        <is>
          <t/>
        </is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  <c r="AK858" t="inlineStr">
        <is>
          <t/>
        </is>
      </c>
      <c r="AL858" t="inlineStr">
        <is>
          <t/>
        </is>
      </c>
    </row>
    <row r="859">
      <c r="A859" t="inlineStr">
        <is>
          <t>破防了…😭减脂期的姐妹一定要试试这个！！</t>
        </is>
      </c>
      <c r="B859" t="inlineStr">
        <is>
          <t>69aabe5e000000000e00cd88</t>
        </is>
      </c>
      <c r="C859" s="858" t="n">
        <f>HYPERLINK("https://www.xiaohongshu.com/explore/69aabe5e000000000e00cd88?xsec_token=TB8xU8BGf5cxJmpLtWj3tacYoruRCmF_sTMahc9Et_Psw=&amp;xsec_source=pc_trdark","https://www.xiaohongshu.com/explore/69aabe5e000000000e00cd88?xsec_token=TB8xU8BGf5cxJmpLtWj3tacYoruRCmF_sTMahc9Et_Psw=&amp;xsec_source=pc_trdark")</f>
        <v>0.0</v>
      </c>
      <c r="D859" t="inlineStr">
        <is>
          <t>鲜水湾</t>
        </is>
      </c>
      <c r="E859" t="inlineStr">
        <is>
          <t>49316638994</t>
        </is>
      </c>
      <c r="F859" t="inlineStr">
        <is>
          <t>2026-03-06 19:45:34</t>
        </is>
      </c>
      <c r="G859" t="inlineStr">
        <is>
          <t>图文</t>
        </is>
      </c>
      <c r="H859" t="inlineStr">
        <is>
          <t>大虾基围虾王牌大虾厄瓜多尔白虾盐冻虾仁海洋大虾送礼顺丰包邮</t>
        </is>
      </c>
      <c r="I859" t="inlineStr">
        <is>
          <t>690aeb7be379430001e686ac</t>
        </is>
      </c>
      <c r="J859" t="inlineStr">
        <is>
          <t/>
        </is>
      </c>
      <c r="K859" t="n">
        <v>0.0</v>
      </c>
      <c r="L859" t="n">
        <v>0.0</v>
      </c>
      <c r="M859" t="n">
        <v>0.0</v>
      </c>
      <c r="N859" t="inlineStr">
        <is>
          <t/>
        </is>
      </c>
      <c r="O859" t="n">
        <v>0.0</v>
      </c>
      <c r="P859" t="n">
        <v>0.0</v>
      </c>
      <c r="Q859" t="inlineStr">
        <is>
          <t/>
        </is>
      </c>
      <c r="R859" t="inlineStr">
        <is>
          <t/>
        </is>
      </c>
      <c r="S859" t="n">
        <v>0.0</v>
      </c>
      <c r="T859" t="n">
        <v>0.0</v>
      </c>
      <c r="U859" t="n">
        <v>0.0</v>
      </c>
      <c r="V859" t="n">
        <v>0.0</v>
      </c>
      <c r="W859" t="inlineStr">
        <is>
          <t/>
        </is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0.0</v>
      </c>
      <c r="AK859" t="inlineStr">
        <is>
          <t/>
        </is>
      </c>
      <c r="AL859" t="inlineStr">
        <is>
          <t/>
        </is>
      </c>
    </row>
    <row r="860">
      <c r="A860" t="inlineStr">
        <is>
          <t>抱歉商超，找到大虾源头了</t>
        </is>
      </c>
      <c r="B860" t="inlineStr">
        <is>
          <t>69a951ca000000002801f02d</t>
        </is>
      </c>
      <c r="C860" s="859" t="n">
        <f>HYPERLINK("https://www.xiaohongshu.com/explore/69a951ca000000002801f02d?xsec_token=TBX1UPru9xmrqAy_hfS76Tmi5ljZYZRdVKLwikZIk2-r8=&amp;xsec_source=pc_trdark","https://www.xiaohongshu.com/explore/69a951ca000000002801f02d?xsec_token=TBX1UPru9xmrqAy_hfS76Tmi5ljZYZRdVKLwikZIk2-r8=&amp;xsec_source=pc_trdark")</f>
        <v>0.0</v>
      </c>
      <c r="D860" t="inlineStr">
        <is>
          <t>鲜水湾</t>
        </is>
      </c>
      <c r="E860" t="inlineStr">
        <is>
          <t>49316638994</t>
        </is>
      </c>
      <c r="F860" t="inlineStr">
        <is>
          <t>2026-03-05 17:50:02</t>
        </is>
      </c>
      <c r="G860" t="inlineStr">
        <is>
          <t>图文</t>
        </is>
      </c>
      <c r="H860" t="inlineStr">
        <is>
          <t>大虾基围虾王牌大虾厄瓜多尔白虾盐冻虾仁海洋大虾送礼顺丰包邮</t>
        </is>
      </c>
      <c r="I860" t="inlineStr">
        <is>
          <t>690aeb7be379430001e686ac</t>
        </is>
      </c>
      <c r="J860" t="inlineStr">
        <is>
          <t/>
        </is>
      </c>
      <c r="K860" t="n">
        <v>0.0</v>
      </c>
      <c r="L860" t="n">
        <v>0.0</v>
      </c>
      <c r="M860" t="n">
        <v>0.0</v>
      </c>
      <c r="N860" t="inlineStr">
        <is>
          <t/>
        </is>
      </c>
      <c r="O860" t="n">
        <v>0.0</v>
      </c>
      <c r="P860" t="n">
        <v>0.0</v>
      </c>
      <c r="Q860" t="inlineStr">
        <is>
          <t/>
        </is>
      </c>
      <c r="R860" t="inlineStr">
        <is>
          <t/>
        </is>
      </c>
      <c r="S860" t="n">
        <v>0.0</v>
      </c>
      <c r="T860" t="n">
        <v>0.0</v>
      </c>
      <c r="U860" t="n">
        <v>0.0</v>
      </c>
      <c r="V860" t="n">
        <v>0.0</v>
      </c>
      <c r="W860" t="inlineStr">
        <is>
          <t/>
        </is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n">
        <v>0.0</v>
      </c>
      <c r="AI860" t="n">
        <v>0.0</v>
      </c>
      <c r="AJ860" t="n">
        <v>0.0</v>
      </c>
      <c r="AK860" t="inlineStr">
        <is>
          <t/>
        </is>
      </c>
      <c r="AL860" t="inlineStr">
        <is>
          <t/>
        </is>
      </c>
    </row>
    <row r="861">
      <c r="A861" t="inlineStr">
        <is>
          <t>天塌了，不到70💰能囤一周的减脂餐</t>
        </is>
      </c>
      <c r="B861" t="inlineStr">
        <is>
          <t>69a92dbc000000001a037ae8</t>
        </is>
      </c>
      <c r="C861" s="860" t="n">
        <f>HYPERLINK("https://www.xiaohongshu.com/explore/69a92dbc000000001a037ae8?xsec_token=TBX1UPru9xmrqAy_hfS76TmlpRB1n-T_g9ciWxv8tt878=&amp;xsec_source=pc_trdark","https://www.xiaohongshu.com/explore/69a92dbc000000001a037ae8?xsec_token=TBX1UPru9xmrqAy_hfS76TmlpRB1n-T_g9ciWxv8tt878=&amp;xsec_source=pc_trdark")</f>
        <v>0.0</v>
      </c>
      <c r="D861" t="inlineStr">
        <is>
          <t>鲜水湾</t>
        </is>
      </c>
      <c r="E861" t="inlineStr">
        <is>
          <t>49316638994</t>
        </is>
      </c>
      <c r="F861" t="inlineStr">
        <is>
          <t>2026-03-05 15:16:12</t>
        </is>
      </c>
      <c r="G861" t="inlineStr">
        <is>
          <t>图文</t>
        </is>
      </c>
      <c r="H861" t="inlineStr">
        <is>
          <t>大虾基围虾王牌大虾厄瓜多尔白虾盐冻虾仁海洋大虾送礼顺丰包邮</t>
        </is>
      </c>
      <c r="I861" t="inlineStr">
        <is>
          <t>690aeb7be379430001e686ac</t>
        </is>
      </c>
      <c r="J861" t="inlineStr">
        <is>
          <t/>
        </is>
      </c>
      <c r="K861" t="n">
        <v>0.0</v>
      </c>
      <c r="L861" t="n">
        <v>0.0</v>
      </c>
      <c r="M861" t="n">
        <v>0.0</v>
      </c>
      <c r="N861" t="inlineStr">
        <is>
          <t/>
        </is>
      </c>
      <c r="O861" t="n">
        <v>0.0</v>
      </c>
      <c r="P861" t="n">
        <v>0.0</v>
      </c>
      <c r="Q861" t="inlineStr">
        <is>
          <t/>
        </is>
      </c>
      <c r="R861" t="inlineStr">
        <is>
          <t/>
        </is>
      </c>
      <c r="S861" t="n">
        <v>0.0</v>
      </c>
      <c r="T861" t="n">
        <v>0.0</v>
      </c>
      <c r="U861" t="n">
        <v>0.0</v>
      </c>
      <c r="V861" t="n">
        <v>0.0</v>
      </c>
      <c r="W861" t="inlineStr">
        <is>
          <t/>
        </is>
      </c>
      <c r="X861" t="n">
        <v>0.0</v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inlineStr">
        <is>
          <t/>
        </is>
      </c>
      <c r="AL861" t="inlineStr">
        <is>
          <t/>
        </is>
      </c>
    </row>
    <row r="862">
      <c r="A862" t="inlineStr">
        <is>
          <t>月薪3k也能实现三文鱼自由！减脂党闭眼冲</t>
        </is>
      </c>
      <c r="B862" t="inlineStr">
        <is>
          <t>69a8ec06000000002203217f</t>
        </is>
      </c>
      <c r="C862" s="861" t="n">
        <f>HYPERLINK("https://www.xiaohongshu.com/explore/69a8ec06000000002203217f?xsec_token=TBoPbpeIhQUL4QR6_LMsKnIUHSQSgX9HbTdBWveVp3JHw=&amp;xsec_source=pc_trdark","https://www.xiaohongshu.com/explore/69a8ec06000000002203217f?xsec_token=TBoPbpeIhQUL4QR6_LMsKnIUHSQSgX9HbTdBWveVp3JHw=&amp;xsec_source=pc_trdark")</f>
        <v>0.0</v>
      </c>
      <c r="D862" t="inlineStr">
        <is>
          <t>鲜水湾甄选</t>
        </is>
      </c>
      <c r="E862" t="inlineStr">
        <is>
          <t>27401929161</t>
        </is>
      </c>
      <c r="F862" t="inlineStr">
        <is>
          <t>2026-03-05 10:35:50</t>
        </is>
      </c>
      <c r="G862" t="inlineStr">
        <is>
          <t>图文</t>
        </is>
      </c>
      <c r="H862" t="inlineStr">
        <is>
          <t>智利三文鱼切块·整条三文鱼·深海鱼一人食健康饮食</t>
        </is>
      </c>
      <c r="I862" t="inlineStr">
        <is>
          <t>691ac562a524ee0001b51d7b</t>
        </is>
      </c>
      <c r="J862" t="inlineStr">
        <is>
          <t/>
        </is>
      </c>
      <c r="K862" t="n">
        <v>0.0</v>
      </c>
      <c r="L862" t="n">
        <v>0.0</v>
      </c>
      <c r="M862" t="n">
        <v>0.0</v>
      </c>
      <c r="N862" t="inlineStr">
        <is>
          <t/>
        </is>
      </c>
      <c r="O862" t="n">
        <v>0.0</v>
      </c>
      <c r="P862" t="n">
        <v>0.0</v>
      </c>
      <c r="Q862" t="inlineStr">
        <is>
          <t/>
        </is>
      </c>
      <c r="R862" t="inlineStr">
        <is>
          <t/>
        </is>
      </c>
      <c r="S862" t="n">
        <v>0.0</v>
      </c>
      <c r="T862" t="n">
        <v>0.0</v>
      </c>
      <c r="U862" t="n">
        <v>0.0</v>
      </c>
      <c r="V862" t="n">
        <v>0.0</v>
      </c>
      <c r="W862" t="inlineStr">
        <is>
          <t/>
        </is>
      </c>
      <c r="X862" t="n">
        <v>0.0</v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n">
        <v>0.0</v>
      </c>
      <c r="AI862" t="n">
        <v>0.0</v>
      </c>
      <c r="AJ862" t="n">
        <v>0.0</v>
      </c>
      <c r="AK862" t="inlineStr">
        <is>
          <t/>
        </is>
      </c>
      <c r="AL862" t="inlineStr">
        <is>
          <t/>
        </is>
      </c>
    </row>
    <row r="863">
      <c r="A863" t="inlineStr">
        <is>
          <t>年后掉秤！69块吃一周，大虾减脂太省心</t>
        </is>
      </c>
      <c r="B863" t="inlineStr">
        <is>
          <t>69a8d860000000001a036232</t>
        </is>
      </c>
      <c r="C863" s="862" t="n">
        <f>HYPERLINK("https://www.xiaohongshu.com/explore/69a8d860000000001a036232?xsec_token=TBoPbpeIhQUL4QR6_LMsKnIQo6_4cwtE2vPlk0PFTUeHs=&amp;xsec_source=pc_trdark","https://www.xiaohongshu.com/explore/69a8d860000000001a036232?xsec_token=TBoPbpeIhQUL4QR6_LMsKnIQo6_4cwtE2vPlk0PFTUeHs=&amp;xsec_source=pc_trdark")</f>
        <v>0.0</v>
      </c>
      <c r="D863" t="inlineStr">
        <is>
          <t>鲜水湾</t>
        </is>
      </c>
      <c r="E863" t="inlineStr">
        <is>
          <t>49316638994</t>
        </is>
      </c>
      <c r="F863" t="inlineStr">
        <is>
          <t>2026-03-05 09:12:01</t>
        </is>
      </c>
      <c r="G863" t="inlineStr">
        <is>
          <t>图文</t>
        </is>
      </c>
      <c r="H863" t="inlineStr">
        <is>
          <t>大虾基围虾王牌大虾厄瓜多尔白虾盐冻虾仁海洋大虾送礼顺丰包邮</t>
        </is>
      </c>
      <c r="I863" t="inlineStr">
        <is>
          <t>690aeb7be379430001e686ac</t>
        </is>
      </c>
      <c r="J863" t="inlineStr">
        <is>
          <t/>
        </is>
      </c>
      <c r="K863" t="n">
        <v>0.0</v>
      </c>
      <c r="L863" t="n">
        <v>0.0</v>
      </c>
      <c r="M863" t="n">
        <v>0.0</v>
      </c>
      <c r="N863" t="inlineStr">
        <is>
          <t/>
        </is>
      </c>
      <c r="O863" t="n">
        <v>0.0</v>
      </c>
      <c r="P863" t="n">
        <v>0.0</v>
      </c>
      <c r="Q863" t="inlineStr">
        <is>
          <t/>
        </is>
      </c>
      <c r="R863" t="inlineStr">
        <is>
          <t/>
        </is>
      </c>
      <c r="S863" t="n">
        <v>0.0</v>
      </c>
      <c r="T863" t="n">
        <v>0.0</v>
      </c>
      <c r="U863" t="n">
        <v>0.0</v>
      </c>
      <c r="V863" t="n">
        <v>0.0</v>
      </c>
      <c r="W863" t="inlineStr">
        <is>
          <t/>
        </is>
      </c>
      <c r="X863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n">
        <v>0.0</v>
      </c>
      <c r="AI863" t="n">
        <v>0.0</v>
      </c>
      <c r="AJ863" t="n">
        <v>0.0</v>
      </c>
      <c r="AK863" t="inlineStr">
        <is>
          <t/>
        </is>
      </c>
      <c r="AL863" t="inlineStr">
        <is>
          <t/>
        </is>
      </c>
    </row>
    <row r="864">
      <c r="A864" t="inlineStr">
        <is>
          <t>某姆没有！因为我为早八姐妹定制的小包装</t>
        </is>
      </c>
      <c r="B864" t="inlineStr">
        <is>
          <t>69a83e5d000000001a034aec</t>
        </is>
      </c>
      <c r="C864" s="863" t="n">
        <f>HYPERLINK("https://www.xiaohongshu.com/explore/69a83e5d000000001a034aec?xsec_token=TBoPbpeIhQUL4QR6_LMsKnIcmF2dFWD17Il9jWEgbYuGU=&amp;xsec_source=pc_trdark","https://www.xiaohongshu.com/explore/69a83e5d000000001a034aec?xsec_token=TBoPbpeIhQUL4QR6_LMsKnIcmF2dFWD17Il9jWEgbYuGU=&amp;xsec_source=pc_trdark")</f>
        <v>0.0</v>
      </c>
      <c r="D864" t="inlineStr">
        <is>
          <t>鲜水湾</t>
        </is>
      </c>
      <c r="E864" t="inlineStr">
        <is>
          <t>49316638994</t>
        </is>
      </c>
      <c r="F864" t="inlineStr">
        <is>
          <t>2026-03-04 22:14:53</t>
        </is>
      </c>
      <c r="G864" t="inlineStr">
        <is>
          <t>图文</t>
        </is>
      </c>
      <c r="H864" t="inlineStr">
        <is>
          <t>手剥虾仁 无冰衣无添加 低脂餐一人食 上班带饭 顺丰包邮 5盒装</t>
        </is>
      </c>
      <c r="I864" t="inlineStr">
        <is>
          <t>694baba01d450d00013662f0</t>
        </is>
      </c>
      <c r="J864" t="inlineStr">
        <is>
          <t/>
        </is>
      </c>
      <c r="K864" t="n">
        <v>0.0</v>
      </c>
      <c r="L864" t="n">
        <v>0.0</v>
      </c>
      <c r="M864" t="n">
        <v>0.0</v>
      </c>
      <c r="N864" t="inlineStr">
        <is>
          <t/>
        </is>
      </c>
      <c r="O864" t="n">
        <v>0.0</v>
      </c>
      <c r="P864" t="n">
        <v>0.0</v>
      </c>
      <c r="Q864" t="inlineStr">
        <is>
          <t/>
        </is>
      </c>
      <c r="R864" t="inlineStr">
        <is>
          <t/>
        </is>
      </c>
      <c r="S864" t="n">
        <v>0.0</v>
      </c>
      <c r="T864" t="n">
        <v>0.0</v>
      </c>
      <c r="U864" t="n">
        <v>0.0</v>
      </c>
      <c r="V864" t="n">
        <v>0.0</v>
      </c>
      <c r="W864" t="inlineStr">
        <is>
          <t/>
        </is>
      </c>
      <c r="X864" t="n">
        <v>0.0</v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0.0</v>
      </c>
      <c r="AH864" t="n">
        <v>0.0</v>
      </c>
      <c r="AI864" t="n">
        <v>0.0</v>
      </c>
      <c r="AJ864" t="n">
        <v>0.0</v>
      </c>
      <c r="AK864" t="inlineStr">
        <is>
          <t/>
        </is>
      </c>
      <c r="AL864" t="inlineStr">
        <is>
          <t/>
        </is>
      </c>
    </row>
    <row r="865">
      <c r="A865" t="inlineStr">
        <is>
          <t>意外发现掉秤最快的方法…</t>
        </is>
      </c>
      <c r="B865" t="inlineStr">
        <is>
          <t>69a8041f000000002801cde5</t>
        </is>
      </c>
      <c r="C865" s="864" t="n">
        <f>HYPERLINK("https://www.xiaohongshu.com/explore/69a8041f000000002801cde5?xsec_token=TBoPbpeIhQUL4QR6_LMsKnIXDW501mqSBlE-zf_1ALmyI=&amp;xsec_source=pc_trdark","https://www.xiaohongshu.com/explore/69a8041f000000002801cde5?xsec_token=TBoPbpeIhQUL4QR6_LMsKnIXDW501mqSBlE-zf_1ALmyI=&amp;xsec_source=pc_trdark")</f>
        <v>0.0</v>
      </c>
      <c r="D865" t="inlineStr">
        <is>
          <t>鲜水湾</t>
        </is>
      </c>
      <c r="E865" t="inlineStr">
        <is>
          <t>49316638994</t>
        </is>
      </c>
      <c r="F865" t="inlineStr">
        <is>
          <t>2026-03-04 18:06:23</t>
        </is>
      </c>
      <c r="G865" t="inlineStr">
        <is>
          <t>图文</t>
        </is>
      </c>
      <c r="H865" t="inlineStr">
        <is>
          <t>大虾基围虾王牌大虾厄瓜多尔白虾盐冻虾仁海洋大虾送礼顺丰包邮</t>
        </is>
      </c>
      <c r="I865" t="inlineStr">
        <is>
          <t>690aeb7be379430001e686ac</t>
        </is>
      </c>
      <c r="J865" t="inlineStr">
        <is>
          <t/>
        </is>
      </c>
      <c r="K865" t="n">
        <v>0.0</v>
      </c>
      <c r="L865" t="n">
        <v>0.0</v>
      </c>
      <c r="M865" t="n">
        <v>0.0</v>
      </c>
      <c r="N865" t="inlineStr">
        <is>
          <t/>
        </is>
      </c>
      <c r="O865" t="n">
        <v>0.0</v>
      </c>
      <c r="P865" t="n">
        <v>0.0</v>
      </c>
      <c r="Q865" t="inlineStr">
        <is>
          <t/>
        </is>
      </c>
      <c r="R865" t="inlineStr">
        <is>
          <t/>
        </is>
      </c>
      <c r="S865" t="n">
        <v>0.0</v>
      </c>
      <c r="T865" t="n">
        <v>0.0</v>
      </c>
      <c r="U865" t="n">
        <v>0.0</v>
      </c>
      <c r="V865" t="n">
        <v>0.0</v>
      </c>
      <c r="W865" t="inlineStr">
        <is>
          <t/>
        </is>
      </c>
      <c r="X865" t="n">
        <v>0.0</v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n">
        <v>0.0</v>
      </c>
      <c r="AI865" t="n">
        <v>0.0</v>
      </c>
      <c r="AJ865" t="n">
        <v>0.0</v>
      </c>
      <c r="AK865" t="inlineStr">
        <is>
          <t/>
        </is>
      </c>
      <c r="AL865" t="inlineStr">
        <is>
          <t/>
        </is>
      </c>
    </row>
    <row r="866">
      <c r="A866" t="inlineStr">
        <is>
          <t>当代减脂人的冰箱！无痛备菜！</t>
        </is>
      </c>
      <c r="B866" t="inlineStr">
        <is>
          <t>69a7f805000000000d009847</t>
        </is>
      </c>
      <c r="C866" s="865" t="n">
        <f>HYPERLINK("https://www.xiaohongshu.com/explore/69a7f805000000000d009847?xsec_token=TBfaHJOfbObHzNAqAc3bkGM3aKtHbBj0Voeot7tjR38rs=&amp;xsec_source=pc_trdark","https://www.xiaohongshu.com/explore/69a7f805000000000d009847?xsec_token=TBfaHJOfbObHzNAqAc3bkGM3aKtHbBj0Voeot7tjR38rs=&amp;xsec_source=pc_trdark")</f>
        <v>0.0</v>
      </c>
      <c r="D866" t="inlineStr">
        <is>
          <t>鲜水湾</t>
        </is>
      </c>
      <c r="E866" t="inlineStr">
        <is>
          <t>49316638994</t>
        </is>
      </c>
      <c r="F866" t="inlineStr">
        <is>
          <t>2026-03-04 17:14:46</t>
        </is>
      </c>
      <c r="G866" t="inlineStr">
        <is>
          <t>图文</t>
        </is>
      </c>
      <c r="H866" t="inlineStr">
        <is>
          <t>手剥虾仁 无冰衣无添加 低脂餐一人食 上班带饭 顺丰包邮 5盒装</t>
        </is>
      </c>
      <c r="I866" t="inlineStr">
        <is>
          <t>694baba01d450d00013662f0</t>
        </is>
      </c>
      <c r="J866" t="inlineStr">
        <is>
          <t/>
        </is>
      </c>
      <c r="K866" t="n">
        <v>0.0</v>
      </c>
      <c r="L866" t="n">
        <v>0.0</v>
      </c>
      <c r="M866" t="n">
        <v>0.0</v>
      </c>
      <c r="N866" t="inlineStr">
        <is>
          <t/>
        </is>
      </c>
      <c r="O866" t="n">
        <v>0.0</v>
      </c>
      <c r="P866" t="n">
        <v>0.0</v>
      </c>
      <c r="Q866" t="inlineStr">
        <is>
          <t/>
        </is>
      </c>
      <c r="R866" t="inlineStr">
        <is>
          <t/>
        </is>
      </c>
      <c r="S866" t="n">
        <v>0.0</v>
      </c>
      <c r="T866" t="n">
        <v>0.0</v>
      </c>
      <c r="U866" t="n">
        <v>0.0</v>
      </c>
      <c r="V866" t="n">
        <v>0.0</v>
      </c>
      <c r="W866" t="inlineStr">
        <is>
          <t/>
        </is>
      </c>
      <c r="X866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n">
        <v>0.0</v>
      </c>
      <c r="AI866" t="n">
        <v>0.0</v>
      </c>
      <c r="AJ866" t="n">
        <v>0.0</v>
      </c>
      <c r="AK866" t="inlineStr">
        <is>
          <t/>
        </is>
      </c>
      <c r="AL866" t="inlineStr">
        <is>
          <t/>
        </is>
      </c>
    </row>
    <row r="867">
      <c r="A867" t="inlineStr">
        <is>
          <t>自己赚钱后报复性吃虾吃到撑</t>
        </is>
      </c>
      <c r="B867" t="inlineStr">
        <is>
          <t>69a7da05000000001a02810a</t>
        </is>
      </c>
      <c r="C867" s="866" t="n">
        <f>HYPERLINK("https://www.xiaohongshu.com/explore/69a7da05000000001a02810a?xsec_token=TBfaHJOfbObHzNAqAc3bkGM4fKzf5VrkQIuOL4ZVI0_oE=&amp;xsec_source=pc_trdark","https://www.xiaohongshu.com/explore/69a7da05000000001a02810a?xsec_token=TBfaHJOfbObHzNAqAc3bkGM4fKzf5VrkQIuOL4ZVI0_oE=&amp;xsec_source=pc_trdark")</f>
        <v>0.0</v>
      </c>
      <c r="D867" t="inlineStr">
        <is>
          <t>鲜水湾</t>
        </is>
      </c>
      <c r="E867" t="inlineStr">
        <is>
          <t>49316638994</t>
        </is>
      </c>
      <c r="F867" t="inlineStr">
        <is>
          <t>2026-03-04 15:06:45</t>
        </is>
      </c>
      <c r="G867" t="inlineStr">
        <is>
          <t>图文</t>
        </is>
      </c>
      <c r="H867" t="inlineStr">
        <is>
          <t>大虾基围虾王牌大虾厄瓜多尔白虾盐冻虾仁海洋大虾送礼顺丰包邮</t>
        </is>
      </c>
      <c r="I867" t="inlineStr">
        <is>
          <t>690aeb7be379430001e686ac</t>
        </is>
      </c>
      <c r="J867" t="inlineStr">
        <is>
          <t/>
        </is>
      </c>
      <c r="K867" t="n">
        <v>0.0</v>
      </c>
      <c r="L867" t="n">
        <v>0.0</v>
      </c>
      <c r="M867" t="n">
        <v>0.0</v>
      </c>
      <c r="N867" t="inlineStr">
        <is>
          <t/>
        </is>
      </c>
      <c r="O867" t="n">
        <v>0.0</v>
      </c>
      <c r="P867" t="n">
        <v>0.0</v>
      </c>
      <c r="Q867" t="inlineStr">
        <is>
          <t/>
        </is>
      </c>
      <c r="R867" t="inlineStr">
        <is>
          <t/>
        </is>
      </c>
      <c r="S867" t="n">
        <v>0.0</v>
      </c>
      <c r="T867" t="n">
        <v>0.0</v>
      </c>
      <c r="U867" t="n">
        <v>0.0</v>
      </c>
      <c r="V867" t="n">
        <v>0.0</v>
      </c>
      <c r="W867" t="inlineStr">
        <is>
          <t/>
        </is>
      </c>
      <c r="X867" t="n">
        <v>0.0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n">
        <v>0.0</v>
      </c>
      <c r="AI867" t="n">
        <v>0.0</v>
      </c>
      <c r="AJ867" t="n">
        <v>0.0</v>
      </c>
      <c r="AK867" t="inlineStr">
        <is>
          <t/>
        </is>
      </c>
      <c r="AL867" t="inlineStr">
        <is>
          <t/>
        </is>
      </c>
    </row>
    <row r="868">
      <c r="A868" t="inlineStr">
        <is>
          <t>办公室同事说我每天吃虾减脂很奢侈</t>
        </is>
      </c>
      <c r="B868" t="inlineStr">
        <is>
          <t>69a7bcb7000000001a02cded</t>
        </is>
      </c>
      <c r="C868" s="867" t="n">
        <f>HYPERLINK("https://www.xiaohongshu.com/explore/69a7bcb7000000001a02cded?xsec_token=TBfaHJOfbObHzNAqAc3bkGM_9TgAkMXeM7t1RJx4giKXg=&amp;xsec_source=pc_trdark","https://www.xiaohongshu.com/explore/69a7bcb7000000001a02cded?xsec_token=TBfaHJOfbObHzNAqAc3bkGM_9TgAkMXeM7t1RJx4giKXg=&amp;xsec_source=pc_trdark")</f>
        <v>0.0</v>
      </c>
      <c r="D868" t="inlineStr">
        <is>
          <t>鲜水湾</t>
        </is>
      </c>
      <c r="E868" t="inlineStr">
        <is>
          <t>49316638994</t>
        </is>
      </c>
      <c r="F868" t="inlineStr">
        <is>
          <t>2026-03-04 13:01:43</t>
        </is>
      </c>
      <c r="G868" t="inlineStr">
        <is>
          <t>图文</t>
        </is>
      </c>
      <c r="H868" t="inlineStr">
        <is>
          <t>大虾基围虾王牌大虾厄瓜多尔白虾盐冻虾仁海洋大虾送礼顺丰包邮</t>
        </is>
      </c>
      <c r="I868" t="inlineStr">
        <is>
          <t>690aeb7be379430001e686ac</t>
        </is>
      </c>
      <c r="J868" t="inlineStr">
        <is>
          <t/>
        </is>
      </c>
      <c r="K868" t="n">
        <v>0.0</v>
      </c>
      <c r="L868" t="n">
        <v>0.0</v>
      </c>
      <c r="M868" t="n">
        <v>0.0</v>
      </c>
      <c r="N868" t="inlineStr">
        <is>
          <t/>
        </is>
      </c>
      <c r="O868" t="n">
        <v>0.0</v>
      </c>
      <c r="P868" t="n">
        <v>0.0</v>
      </c>
      <c r="Q868" t="inlineStr">
        <is>
          <t/>
        </is>
      </c>
      <c r="R868" t="inlineStr">
        <is>
          <t/>
        </is>
      </c>
      <c r="S868" t="n">
        <v>0.0</v>
      </c>
      <c r="T868" t="n">
        <v>0.0</v>
      </c>
      <c r="U868" t="n">
        <v>0.0</v>
      </c>
      <c r="V868" t="n">
        <v>0.0</v>
      </c>
      <c r="W868" t="inlineStr">
        <is>
          <t/>
        </is>
      </c>
      <c r="X868" t="n">
        <v>0.0</v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n">
        <v>0.0</v>
      </c>
      <c r="AI868" t="n">
        <v>0.0</v>
      </c>
      <c r="AJ868" t="n">
        <v>0.0</v>
      </c>
      <c r="AK868" t="inlineStr">
        <is>
          <t/>
        </is>
      </c>
      <c r="AL868" t="inlineStr">
        <is>
          <t/>
        </is>
      </c>
    </row>
    <row r="869">
      <c r="A869" t="inlineStr">
        <is>
          <t>算了不劝了……69一盒已是底线</t>
        </is>
      </c>
      <c r="B869" t="inlineStr">
        <is>
          <t>69a798ad000000000e03ca72</t>
        </is>
      </c>
      <c r="C869" s="868" t="n">
        <f>HYPERLINK("https://www.xiaohongshu.com/explore/69a798ad000000000e03ca72?xsec_token=TBfaHJOfbObHzNAqAc3bkGMxh-awWnzDU9S2sjWcB9UGQ=&amp;xsec_source=pc_trdark","https://www.xiaohongshu.com/explore/69a798ad000000000e03ca72?xsec_token=TBfaHJOfbObHzNAqAc3bkGMxh-awWnzDU9S2sjWcB9UGQ=&amp;xsec_source=pc_trdark")</f>
        <v>0.0</v>
      </c>
      <c r="D869" t="inlineStr">
        <is>
          <t>鲜水湾</t>
        </is>
      </c>
      <c r="E869" t="inlineStr">
        <is>
          <t>49316638994</t>
        </is>
      </c>
      <c r="F869" t="inlineStr">
        <is>
          <t>2026-03-04 10:27:57</t>
        </is>
      </c>
      <c r="G869" t="inlineStr">
        <is>
          <t>图文</t>
        </is>
      </c>
      <c r="H869" t="inlineStr">
        <is>
          <t>大虾基围虾王牌大虾厄瓜多尔白虾盐冻虾仁海洋大虾送礼顺丰包邮</t>
        </is>
      </c>
      <c r="I869" t="inlineStr">
        <is>
          <t>690aeb7be379430001e686ac</t>
        </is>
      </c>
      <c r="J869" t="inlineStr">
        <is>
          <t/>
        </is>
      </c>
      <c r="K869" t="n">
        <v>0.0</v>
      </c>
      <c r="L869" t="n">
        <v>0.0</v>
      </c>
      <c r="M869" t="n">
        <v>0.0</v>
      </c>
      <c r="N869" t="inlineStr">
        <is>
          <t/>
        </is>
      </c>
      <c r="O869" t="n">
        <v>0.0</v>
      </c>
      <c r="P869" t="n">
        <v>0.0</v>
      </c>
      <c r="Q869" t="inlineStr">
        <is>
          <t/>
        </is>
      </c>
      <c r="R869" t="inlineStr">
        <is>
          <t/>
        </is>
      </c>
      <c r="S869" t="n">
        <v>0.0</v>
      </c>
      <c r="T869" t="n">
        <v>0.0</v>
      </c>
      <c r="U869" t="n">
        <v>0.0</v>
      </c>
      <c r="V869" t="n">
        <v>0.0</v>
      </c>
      <c r="W869" t="inlineStr">
        <is>
          <t/>
        </is>
      </c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  <c r="AE869" t="n">
        <v>0.0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inlineStr">
        <is>
          <t/>
        </is>
      </c>
      <c r="AL869" t="inlineStr">
        <is>
          <t/>
        </is>
      </c>
    </row>
    <row r="870">
      <c r="A870" t="inlineStr">
        <is>
          <t>年后减脂计划，69块就能搞定一周</t>
        </is>
      </c>
      <c r="B870" t="inlineStr">
        <is>
          <t>69a78b72000000002801c960</t>
        </is>
      </c>
      <c r="C870" s="869" t="n">
        <f>HYPERLINK("https://www.xiaohongshu.com/explore/69a78b72000000002801c960?xsec_token=TBfaHJOfbObHzNAqAc3bkGM2JiQcNLUF_iPTQc7yf4c-0=&amp;xsec_source=pc_trdark","https://www.xiaohongshu.com/explore/69a78b72000000002801c960?xsec_token=TBfaHJOfbObHzNAqAc3bkGM2JiQcNLUF_iPTQc7yf4c-0=&amp;xsec_source=pc_trdark")</f>
        <v>0.0</v>
      </c>
      <c r="D870" t="inlineStr">
        <is>
          <t>鲜水湾</t>
        </is>
      </c>
      <c r="E870" t="inlineStr">
        <is>
          <t>49316638994</t>
        </is>
      </c>
      <c r="F870" t="inlineStr">
        <is>
          <t>2026-03-04 09:31:30</t>
        </is>
      </c>
      <c r="G870" t="inlineStr">
        <is>
          <t>图文</t>
        </is>
      </c>
      <c r="H870" t="inlineStr">
        <is>
          <t>大虾基围虾王牌大虾厄瓜多尔白虾盐冻虾仁海洋大虾送礼顺丰包邮</t>
        </is>
      </c>
      <c r="I870" t="inlineStr">
        <is>
          <t>690aeb7be379430001e686ac</t>
        </is>
      </c>
      <c r="J870" t="inlineStr">
        <is>
          <t/>
        </is>
      </c>
      <c r="K870" t="n">
        <v>0.0</v>
      </c>
      <c r="L870" t="n">
        <v>0.0</v>
      </c>
      <c r="M870" t="n">
        <v>0.0</v>
      </c>
      <c r="N870" t="inlineStr">
        <is>
          <t/>
        </is>
      </c>
      <c r="O870" t="n">
        <v>0.0</v>
      </c>
      <c r="P870" t="n">
        <v>0.0</v>
      </c>
      <c r="Q870" t="inlineStr">
        <is>
          <t/>
        </is>
      </c>
      <c r="R870" t="inlineStr">
        <is>
          <t/>
        </is>
      </c>
      <c r="S870" t="n">
        <v>0.0</v>
      </c>
      <c r="T870" t="n">
        <v>0.0</v>
      </c>
      <c r="U870" t="n">
        <v>0.0</v>
      </c>
      <c r="V870" t="n">
        <v>0.0</v>
      </c>
      <c r="W870" t="inlineStr">
        <is>
          <t/>
        </is>
      </c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n">
        <v>0.0</v>
      </c>
      <c r="AI870" t="n">
        <v>0.0</v>
      </c>
      <c r="AJ870" t="n">
        <v>0.0</v>
      </c>
      <c r="AK870" t="inlineStr">
        <is>
          <t/>
        </is>
      </c>
      <c r="AL870" t="inlineStr">
        <is>
          <t/>
        </is>
      </c>
    </row>
    <row r="871">
      <c r="A871" t="inlineStr">
        <is>
          <t>节后控体真花不了多少钱，69 够吃一周了</t>
        </is>
      </c>
      <c r="B871" t="inlineStr">
        <is>
          <t>69a6f10a000000002801ec20</t>
        </is>
      </c>
      <c r="C871" s="870" t="n">
        <f>HYPERLINK("https://www.xiaohongshu.com/explore/69a6f10a000000002801ec20?xsec_token=TBDC5ayGxbZoC8jUhTnn-Nf-WkL7n6O-dpivLEfOXhMsA=&amp;xsec_source=pc_trdark","https://www.xiaohongshu.com/explore/69a6f10a000000002801ec20?xsec_token=TBDC5ayGxbZoC8jUhTnn-Nf-WkL7n6O-dpivLEfOXhMsA=&amp;xsec_source=pc_trdark")</f>
        <v>0.0</v>
      </c>
      <c r="D871" t="inlineStr">
        <is>
          <t>鲜水湾</t>
        </is>
      </c>
      <c r="E871" t="inlineStr">
        <is>
          <t>49316638994</t>
        </is>
      </c>
      <c r="F871" t="inlineStr">
        <is>
          <t>2026-03-03 22:32:42</t>
        </is>
      </c>
      <c r="G871" t="inlineStr">
        <is>
          <t>图文</t>
        </is>
      </c>
      <c r="H871" t="inlineStr">
        <is>
          <t>大虾基围虾王牌大虾厄瓜多尔白虾盐冻虾仁海洋大虾送礼顺丰包邮</t>
        </is>
      </c>
      <c r="I871" t="inlineStr">
        <is>
          <t>690aeb7be379430001e686ac</t>
        </is>
      </c>
      <c r="J871" t="inlineStr">
        <is>
          <t/>
        </is>
      </c>
      <c r="K871" t="n">
        <v>0.0</v>
      </c>
      <c r="L871" t="n">
        <v>0.0</v>
      </c>
      <c r="M871" t="n">
        <v>0.0</v>
      </c>
      <c r="N871" t="inlineStr">
        <is>
          <t/>
        </is>
      </c>
      <c r="O871" t="n">
        <v>0.0</v>
      </c>
      <c r="P871" t="n">
        <v>0.0</v>
      </c>
      <c r="Q871" t="inlineStr">
        <is>
          <t/>
        </is>
      </c>
      <c r="R871" t="inlineStr">
        <is>
          <t/>
        </is>
      </c>
      <c r="S871" t="n">
        <v>0.0</v>
      </c>
      <c r="T871" t="n">
        <v>0.0</v>
      </c>
      <c r="U871" t="n">
        <v>0.0</v>
      </c>
      <c r="V871" t="n">
        <v>0.0</v>
      </c>
      <c r="W871" t="inlineStr">
        <is>
          <t/>
        </is>
      </c>
      <c r="X871" t="n">
        <v>0.0</v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n">
        <v>0.0</v>
      </c>
      <c r="AI871" t="n">
        <v>0.0</v>
      </c>
      <c r="AJ871" t="n">
        <v>0.0</v>
      </c>
      <c r="AK871" t="inlineStr">
        <is>
          <t/>
        </is>
      </c>
      <c r="AL871" t="inlineStr">
        <is>
          <t/>
        </is>
      </c>
    </row>
    <row r="872">
      <c r="A872" t="inlineStr">
        <is>
          <t>69一盒大虾怎么才能让减脂的姐妹看到</t>
        </is>
      </c>
      <c r="B872" t="inlineStr">
        <is>
          <t>69a6e5f8000000001a024b5f</t>
        </is>
      </c>
      <c r="C872" s="871" t="n">
        <f>HYPERLINK("https://www.xiaohongshu.com/explore/69a6e5f8000000001a024b5f?xsec_token=TBDC5ayGxbZoC8jUhTnn-Nf1Ew7hDD00WGHuLG5tW_4MI=&amp;xsec_source=pc_trdark","https://www.xiaohongshu.com/explore/69a6e5f8000000001a024b5f?xsec_token=TBDC5ayGxbZoC8jUhTnn-Nf1Ew7hDD00WGHuLG5tW_4MI=&amp;xsec_source=pc_trdark")</f>
        <v>0.0</v>
      </c>
      <c r="D872" t="inlineStr">
        <is>
          <t>鲜水湾</t>
        </is>
      </c>
      <c r="E872" t="inlineStr">
        <is>
          <t>49316638994</t>
        </is>
      </c>
      <c r="F872" t="inlineStr">
        <is>
          <t>2026-03-03 21:45:28</t>
        </is>
      </c>
      <c r="G872" t="inlineStr">
        <is>
          <t>图文</t>
        </is>
      </c>
      <c r="H872" t="inlineStr">
        <is>
          <t>大虾基围虾王牌大虾厄瓜多尔白虾盐冻虾仁海洋大虾送礼顺丰包邮</t>
        </is>
      </c>
      <c r="I872" t="inlineStr">
        <is>
          <t>690aeb7be379430001e686ac</t>
        </is>
      </c>
      <c r="J872" t="inlineStr">
        <is>
          <t/>
        </is>
      </c>
      <c r="K872" t="n">
        <v>0.0</v>
      </c>
      <c r="L872" t="n">
        <v>0.0</v>
      </c>
      <c r="M872" t="n">
        <v>0.0</v>
      </c>
      <c r="N872" t="inlineStr">
        <is>
          <t/>
        </is>
      </c>
      <c r="O872" t="n">
        <v>0.0</v>
      </c>
      <c r="P872" t="n">
        <v>0.0</v>
      </c>
      <c r="Q872" t="inlineStr">
        <is>
          <t/>
        </is>
      </c>
      <c r="R872" t="inlineStr">
        <is>
          <t/>
        </is>
      </c>
      <c r="S872" t="n">
        <v>0.0</v>
      </c>
      <c r="T872" t="n">
        <v>0.0</v>
      </c>
      <c r="U872" t="n">
        <v>0.0</v>
      </c>
      <c r="V872" t="n">
        <v>0.0</v>
      </c>
      <c r="W872" t="inlineStr">
        <is>
          <t/>
        </is>
      </c>
      <c r="X872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n">
        <v>0.0</v>
      </c>
      <c r="AI872" t="n">
        <v>0.0</v>
      </c>
      <c r="AJ872" t="n">
        <v>0.0</v>
      </c>
      <c r="AK872" t="inlineStr">
        <is>
          <t/>
        </is>
      </c>
      <c r="AL872" t="inlineStr">
        <is>
          <t/>
        </is>
      </c>
    </row>
    <row r="873">
      <c r="A873" t="inlineStr">
        <is>
          <t>我悟了！原来虾仁才是减脂界的天花板！</t>
        </is>
      </c>
      <c r="B873" t="inlineStr">
        <is>
          <t>69a69084000000000e00e583</t>
        </is>
      </c>
      <c r="C873" s="872" t="n">
        <f>HYPERLINK("https://www.xiaohongshu.com/explore/69a69084000000000e00e583?xsec_token=TBDC5ayGxbZoC8jUhTnn-Nf0-GYTQ3uzq3G755Zegi6vI=&amp;xsec_source=pc_trdark","https://www.xiaohongshu.com/explore/69a69084000000000e00e583?xsec_token=TBDC5ayGxbZoC8jUhTnn-Nf0-GYTQ3uzq3G755Zegi6vI=&amp;xsec_source=pc_trdark")</f>
        <v>0.0</v>
      </c>
      <c r="D873" t="inlineStr">
        <is>
          <t>鲜水湾</t>
        </is>
      </c>
      <c r="E873" t="inlineStr">
        <is>
          <t>49316638994</t>
        </is>
      </c>
      <c r="F873" t="inlineStr">
        <is>
          <t>2026-03-03 15:40:52</t>
        </is>
      </c>
      <c r="G873" t="inlineStr">
        <is>
          <t>图文</t>
        </is>
      </c>
      <c r="H873" t="inlineStr">
        <is>
          <t>手剥虾仁 无冰衣无添加 低脂餐一人食 上班带饭 顺丰包邮 5盒装</t>
        </is>
      </c>
      <c r="I873" t="inlineStr">
        <is>
          <t>694baba01d450d00013662f0</t>
        </is>
      </c>
      <c r="J873" t="inlineStr">
        <is>
          <t/>
        </is>
      </c>
      <c r="K873" t="n">
        <v>0.0</v>
      </c>
      <c r="L873" t="n">
        <v>0.0</v>
      </c>
      <c r="M873" t="n">
        <v>0.0</v>
      </c>
      <c r="N873" t="inlineStr">
        <is>
          <t/>
        </is>
      </c>
      <c r="O873" t="n">
        <v>0.0</v>
      </c>
      <c r="P873" t="n">
        <v>0.0</v>
      </c>
      <c r="Q873" t="inlineStr">
        <is>
          <t/>
        </is>
      </c>
      <c r="R873" t="inlineStr">
        <is>
          <t/>
        </is>
      </c>
      <c r="S873" t="n">
        <v>0.0</v>
      </c>
      <c r="T873" t="n">
        <v>0.0</v>
      </c>
      <c r="U873" t="n">
        <v>0.0</v>
      </c>
      <c r="V873" t="n">
        <v>0.0</v>
      </c>
      <c r="W873" t="inlineStr">
        <is>
          <t/>
        </is>
      </c>
      <c r="X873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inlineStr">
        <is>
          <t/>
        </is>
      </c>
      <c r="AL873" t="inlineStr">
        <is>
          <t/>
        </is>
      </c>
    </row>
    <row r="874">
      <c r="A874" t="inlineStr">
        <is>
          <t>对比香蕉就知道！这虾仁真的大</t>
        </is>
      </c>
      <c r="B874" t="inlineStr">
        <is>
          <t>69a58fe1000000002801fe1b</t>
        </is>
      </c>
      <c r="C874" s="873" t="n">
        <f>HYPERLINK("https://www.xiaohongshu.com/explore/69a58fe1000000002801fe1b?xsec_token=TBYlw7GbYDMDbP_5WWJv6Kp-JRrJM9gsiwKXZmHkDnO1M=&amp;xsec_source=pc_trdark","https://www.xiaohongshu.com/explore/69a58fe1000000002801fe1b?xsec_token=TBYlw7GbYDMDbP_5WWJv6Kp-JRrJM9gsiwKXZmHkDnO1M=&amp;xsec_source=pc_trdark")</f>
        <v>0.0</v>
      </c>
      <c r="D874" t="inlineStr">
        <is>
          <t>鲜水湾</t>
        </is>
      </c>
      <c r="E874" t="inlineStr">
        <is>
          <t>49316638994</t>
        </is>
      </c>
      <c r="F874" t="inlineStr">
        <is>
          <t>2026-03-02 21:25:53</t>
        </is>
      </c>
      <c r="G874" t="inlineStr">
        <is>
          <t>图文</t>
        </is>
      </c>
      <c r="H874" t="inlineStr">
        <is>
          <t>手剥虾仁 无冰衣无添加 低脂餐一人食 上班带饭 顺丰包邮 5盒装</t>
        </is>
      </c>
      <c r="I874" t="inlineStr">
        <is>
          <t>694baba01d450d00013662f0</t>
        </is>
      </c>
      <c r="J874" t="inlineStr">
        <is>
          <t/>
        </is>
      </c>
      <c r="K874" t="n">
        <v>0.0</v>
      </c>
      <c r="L874" t="n">
        <v>0.0</v>
      </c>
      <c r="M874" t="n">
        <v>0.0</v>
      </c>
      <c r="N874" t="inlineStr">
        <is>
          <t/>
        </is>
      </c>
      <c r="O874" t="n">
        <v>0.0</v>
      </c>
      <c r="P874" t="n">
        <v>0.0</v>
      </c>
      <c r="Q874" t="inlineStr">
        <is>
          <t/>
        </is>
      </c>
      <c r="R874" t="inlineStr">
        <is>
          <t/>
        </is>
      </c>
      <c r="S874" t="n">
        <v>0.0</v>
      </c>
      <c r="T874" t="n">
        <v>0.0</v>
      </c>
      <c r="U874" t="n">
        <v>0.0</v>
      </c>
      <c r="V874" t="n">
        <v>0.0</v>
      </c>
      <c r="W874" t="inlineStr">
        <is>
          <t/>
        </is>
      </c>
      <c r="X874" t="n">
        <v>0.0</v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n">
        <v>0.0</v>
      </c>
      <c r="AI874" t="n">
        <v>0.0</v>
      </c>
      <c r="AJ874" t="n">
        <v>0.0</v>
      </c>
      <c r="AK874" t="inlineStr">
        <is>
          <t/>
        </is>
      </c>
      <c r="AL874" t="inlineStr">
        <is>
          <t/>
        </is>
      </c>
    </row>
    <row r="875">
      <c r="A875" t="inlineStr">
        <is>
          <t>和老爸商量了，决定为早八人定制专属小包装</t>
        </is>
      </c>
      <c r="B875" t="inlineStr">
        <is>
          <t>69a55512000000000d00b2c7</t>
        </is>
      </c>
      <c r="C875" s="874" t="n">
        <f>HYPERLINK("https://www.xiaohongshu.com/explore/69a55512000000000d00b2c7?xsec_token=TBYlw7GbYDMDbP_5WWJv6Kp_NNvu9Wpo4DVcaq9O9R3Iw=&amp;xsec_source=pc_trdark","https://www.xiaohongshu.com/explore/69a55512000000000d00b2c7?xsec_token=TBYlw7GbYDMDbP_5WWJv6Kp_NNvu9Wpo4DVcaq9O9R3Iw=&amp;xsec_source=pc_trdark")</f>
        <v>0.0</v>
      </c>
      <c r="D875" t="inlineStr">
        <is>
          <t>鲜水湾</t>
        </is>
      </c>
      <c r="E875" t="inlineStr">
        <is>
          <t>49316638994</t>
        </is>
      </c>
      <c r="F875" t="inlineStr">
        <is>
          <t>2026-03-02 17:14:58</t>
        </is>
      </c>
      <c r="G875" t="inlineStr">
        <is>
          <t>图文</t>
        </is>
      </c>
      <c r="H875" t="inlineStr">
        <is>
          <t>手剥虾仁 无冰衣无添加 低脂餐一人食 上班带饭 顺丰包邮 5盒装</t>
        </is>
      </c>
      <c r="I875" t="inlineStr">
        <is>
          <t>694baba01d450d00013662f0</t>
        </is>
      </c>
      <c r="J875" t="inlineStr">
        <is>
          <t/>
        </is>
      </c>
      <c r="K875" t="n">
        <v>0.0</v>
      </c>
      <c r="L875" t="n">
        <v>0.0</v>
      </c>
      <c r="M875" t="n">
        <v>0.0</v>
      </c>
      <c r="N875" t="inlineStr">
        <is>
          <t/>
        </is>
      </c>
      <c r="O875" t="n">
        <v>0.0</v>
      </c>
      <c r="P875" t="n">
        <v>0.0</v>
      </c>
      <c r="Q875" t="inlineStr">
        <is>
          <t/>
        </is>
      </c>
      <c r="R875" t="inlineStr">
        <is>
          <t/>
        </is>
      </c>
      <c r="S875" t="n">
        <v>0.0</v>
      </c>
      <c r="T875" t="n">
        <v>0.0</v>
      </c>
      <c r="U875" t="n">
        <v>0.0</v>
      </c>
      <c r="V875" t="n">
        <v>0.0</v>
      </c>
      <c r="W875" t="inlineStr">
        <is>
          <t/>
        </is>
      </c>
      <c r="X875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n">
        <v>0.0</v>
      </c>
      <c r="AI875" t="n">
        <v>0.0</v>
      </c>
      <c r="AJ875" t="n">
        <v>0.0</v>
      </c>
      <c r="AK875" t="inlineStr">
        <is>
          <t/>
        </is>
      </c>
      <c r="AL875" t="inlineStr">
        <is>
          <t/>
        </is>
      </c>
    </row>
    <row r="876">
      <c r="A876" t="inlineStr">
        <is>
          <t>老妈商量后，推出0添加减脂专属小包</t>
        </is>
      </c>
      <c r="B876" t="inlineStr">
        <is>
          <t>69a53fd7000000001a02c36d</t>
        </is>
      </c>
      <c r="C876" s="875" t="n">
        <f>HYPERLINK("https://www.xiaohongshu.com/explore/69a53fd7000000001a02c36d?xsec_token=TBYlw7GbYDMDbP_5WWJv6Kpwmc-Ir5JvcOap5FZXn5rbM=&amp;xsec_source=pc_trdark","https://www.xiaohongshu.com/explore/69a53fd7000000001a02c36d?xsec_token=TBYlw7GbYDMDbP_5WWJv6Kpwmc-Ir5JvcOap5FZXn5rbM=&amp;xsec_source=pc_trdark")</f>
        <v>0.0</v>
      </c>
      <c r="D876" t="inlineStr">
        <is>
          <t>婉婉上班吃什么</t>
        </is>
      </c>
      <c r="E876" t="inlineStr">
        <is>
          <t>11434449706</t>
        </is>
      </c>
      <c r="F876" t="inlineStr">
        <is>
          <t>2026-03-02 15:44:23</t>
        </is>
      </c>
      <c r="G876" t="inlineStr">
        <is>
          <t>图文</t>
        </is>
      </c>
      <c r="H876" t="inlineStr">
        <is>
          <t>手剥虾仁 无冰衣无添加 低脂餐一人食 上班带饭 顺丰包邮 5盒装</t>
        </is>
      </c>
      <c r="I876" t="inlineStr">
        <is>
          <t>694baba01d450d00013662f0</t>
        </is>
      </c>
      <c r="J876" t="inlineStr">
        <is>
          <t/>
        </is>
      </c>
      <c r="K876" t="n">
        <v>0.0</v>
      </c>
      <c r="L876" t="n">
        <v>0.0</v>
      </c>
      <c r="M876" t="n">
        <v>0.0</v>
      </c>
      <c r="N876" t="inlineStr">
        <is>
          <t/>
        </is>
      </c>
      <c r="O876" t="n">
        <v>0.0</v>
      </c>
      <c r="P876" t="n">
        <v>0.0</v>
      </c>
      <c r="Q876" t="inlineStr">
        <is>
          <t/>
        </is>
      </c>
      <c r="R876" t="inlineStr">
        <is>
          <t/>
        </is>
      </c>
      <c r="S876" t="n">
        <v>0.0</v>
      </c>
      <c r="T876" t="n">
        <v>0.0</v>
      </c>
      <c r="U876" t="n">
        <v>0.0</v>
      </c>
      <c r="V876" t="n">
        <v>0.0</v>
      </c>
      <c r="W876" t="inlineStr">
        <is>
          <t/>
        </is>
      </c>
      <c r="X876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inlineStr">
        <is>
          <t/>
        </is>
      </c>
      <c r="AL876" t="inlineStr">
        <is>
          <t/>
        </is>
      </c>
    </row>
    <row r="877">
      <c r="A877" t="inlineStr">
        <is>
          <t>区区100块，结果够我吃半个月了！</t>
        </is>
      </c>
      <c r="B877" t="inlineStr">
        <is>
          <t>69a52f2d000000002801ee70</t>
        </is>
      </c>
      <c r="C877" s="876" t="n">
        <f>HYPERLINK("https://www.xiaohongshu.com/explore/69a52f2d000000002801ee70?xsec_token=TBYlw7GbYDMDbP_5WWJv6Kp1kLVFIMgEFfg5fNpzz4lOw=&amp;xsec_source=pc_trdark","https://www.xiaohongshu.com/explore/69a52f2d000000002801ee70?xsec_token=TBYlw7GbYDMDbP_5WWJv6Kp1kLVFIMgEFfg5fNpzz4lOw=&amp;xsec_source=pc_trdark")</f>
        <v>0.0</v>
      </c>
      <c r="D877" t="inlineStr">
        <is>
          <t>鲜水湾</t>
        </is>
      </c>
      <c r="E877" t="inlineStr">
        <is>
          <t>49316638994</t>
        </is>
      </c>
      <c r="F877" t="inlineStr">
        <is>
          <t>2026-03-02 14:33:17</t>
        </is>
      </c>
      <c r="G877" t="inlineStr">
        <is>
          <t>图文</t>
        </is>
      </c>
      <c r="H877" t="inlineStr">
        <is>
          <t>手剥虾仁 无冰衣无添加 低脂餐一人食 上班带饭 顺丰包邮 5盒装</t>
        </is>
      </c>
      <c r="I877" t="inlineStr">
        <is>
          <t>694baba01d450d00013662f0</t>
        </is>
      </c>
      <c r="J877" t="inlineStr">
        <is>
          <t/>
        </is>
      </c>
      <c r="K877" t="n">
        <v>0.0</v>
      </c>
      <c r="L877" t="n">
        <v>0.0</v>
      </c>
      <c r="M877" t="n">
        <v>0.0</v>
      </c>
      <c r="N877" t="inlineStr">
        <is>
          <t/>
        </is>
      </c>
      <c r="O877" t="n">
        <v>0.0</v>
      </c>
      <c r="P877" t="n">
        <v>0.0</v>
      </c>
      <c r="Q877" t="inlineStr">
        <is>
          <t/>
        </is>
      </c>
      <c r="R877" t="inlineStr">
        <is>
          <t/>
        </is>
      </c>
      <c r="S877" t="n">
        <v>0.0</v>
      </c>
      <c r="T877" t="n">
        <v>0.0</v>
      </c>
      <c r="U877" t="n">
        <v>0.0</v>
      </c>
      <c r="V877" t="n">
        <v>0.0</v>
      </c>
      <c r="W877" t="inlineStr">
        <is>
          <t/>
        </is>
      </c>
      <c r="X877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inlineStr">
        <is>
          <t/>
        </is>
      </c>
      <c r="AL877" t="inlineStr">
        <is>
          <t/>
        </is>
      </c>
    </row>
    <row r="878">
      <c r="A878" t="inlineStr">
        <is>
          <t>区区98块，结果够我吃一周的了</t>
        </is>
      </c>
      <c r="B878" t="inlineStr">
        <is>
          <t>69a51b22000000000d00a521</t>
        </is>
      </c>
      <c r="C878" s="877" t="n">
        <f>HYPERLINK("https://www.xiaohongshu.com/explore/69a51b22000000000d00a521?xsec_token=TBYlw7GbYDMDbP_5WWJv6Kp_Vaq8RQvuaATBaetyXqe8s=&amp;xsec_source=pc_trdark","https://www.xiaohongshu.com/explore/69a51b22000000000d00a521?xsec_token=TBYlw7GbYDMDbP_5WWJv6Kp_Vaq8RQvuaATBaetyXqe8s=&amp;xsec_source=pc_trdark")</f>
        <v>0.0</v>
      </c>
      <c r="D878" t="inlineStr">
        <is>
          <t>婉婉上班吃什么</t>
        </is>
      </c>
      <c r="E878" t="inlineStr">
        <is>
          <t>11434449706</t>
        </is>
      </c>
      <c r="F878" t="inlineStr">
        <is>
          <t>2026-03-02 13:07:46</t>
        </is>
      </c>
      <c r="G878" t="inlineStr">
        <is>
          <t>图文</t>
        </is>
      </c>
      <c r="H878" t="inlineStr">
        <is>
          <t>手剥虾仁 无冰衣无添加 低脂餐一人食 上班带饭 顺丰包邮 5盒装</t>
        </is>
      </c>
      <c r="I878" t="inlineStr">
        <is>
          <t>694baba01d450d00013662f0</t>
        </is>
      </c>
      <c r="J878" t="inlineStr">
        <is>
          <t/>
        </is>
      </c>
      <c r="K878" t="n">
        <v>0.0</v>
      </c>
      <c r="L878" t="n">
        <v>0.0</v>
      </c>
      <c r="M878" t="n">
        <v>0.0</v>
      </c>
      <c r="N878" t="inlineStr">
        <is>
          <t/>
        </is>
      </c>
      <c r="O878" t="n">
        <v>0.0</v>
      </c>
      <c r="P878" t="n">
        <v>0.0</v>
      </c>
      <c r="Q878" t="inlineStr">
        <is>
          <t/>
        </is>
      </c>
      <c r="R878" t="inlineStr">
        <is>
          <t/>
        </is>
      </c>
      <c r="S878" t="n">
        <v>0.0</v>
      </c>
      <c r="T878" t="n">
        <v>0.0</v>
      </c>
      <c r="U878" t="n">
        <v>0.0</v>
      </c>
      <c r="V878" t="n">
        <v>0.0</v>
      </c>
      <c r="W878" t="inlineStr">
        <is>
          <t/>
        </is>
      </c>
      <c r="X878" t="n">
        <v>0.0</v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inlineStr">
        <is>
          <t/>
        </is>
      </c>
      <c r="AL878" t="inlineStr">
        <is>
          <t/>
        </is>
      </c>
    </row>
    <row r="879">
      <c r="A879" t="inlineStr">
        <is>
          <t>和老爸商量，专为独居人定制了小包装</t>
        </is>
      </c>
      <c r="B879" t="inlineStr">
        <is>
          <t>69a4ffa10000000028022ff2</t>
        </is>
      </c>
      <c r="C879" s="878" t="n">
        <f>HYPERLINK("https://www.xiaohongshu.com/explore/69a4ffa10000000028022ff2?xsec_token=TBLmCJorSrUdBsABTJAPHFq8tNtMPjZQmBVjswHrZ0oOY=&amp;xsec_source=pc_trdark","https://www.xiaohongshu.com/explore/69a4ffa10000000028022ff2?xsec_token=TBLmCJorSrUdBsABTJAPHFq8tNtMPjZQmBVjswHrZ0oOY=&amp;xsec_source=pc_trdark")</f>
        <v>0.0</v>
      </c>
      <c r="D879" t="inlineStr">
        <is>
          <t>鲜水湾</t>
        </is>
      </c>
      <c r="E879" t="inlineStr">
        <is>
          <t>49316638994</t>
        </is>
      </c>
      <c r="F879" t="inlineStr">
        <is>
          <t>2026-03-02 11:10:25</t>
        </is>
      </c>
      <c r="G879" t="inlineStr">
        <is>
          <t>图文</t>
        </is>
      </c>
      <c r="H879" t="inlineStr">
        <is>
          <t>手剥虾仁 无冰衣无添加 低脂餐一人食 上班带饭 顺丰包邮 5盒装</t>
        </is>
      </c>
      <c r="I879" t="inlineStr">
        <is>
          <t>694baba01d450d00013662f0</t>
        </is>
      </c>
      <c r="J879" t="inlineStr">
        <is>
          <t/>
        </is>
      </c>
      <c r="K879" t="n">
        <v>0.0</v>
      </c>
      <c r="L879" t="n">
        <v>0.0</v>
      </c>
      <c r="M879" t="n">
        <v>0.0</v>
      </c>
      <c r="N879" t="inlineStr">
        <is>
          <t/>
        </is>
      </c>
      <c r="O879" t="n">
        <v>0.0</v>
      </c>
      <c r="P879" t="n">
        <v>0.0</v>
      </c>
      <c r="Q879" t="inlineStr">
        <is>
          <t/>
        </is>
      </c>
      <c r="R879" t="inlineStr">
        <is>
          <t/>
        </is>
      </c>
      <c r="S879" t="n">
        <v>0.0</v>
      </c>
      <c r="T879" t="n">
        <v>0.0</v>
      </c>
      <c r="U879" t="n">
        <v>0.0</v>
      </c>
      <c r="V879" t="n">
        <v>0.0</v>
      </c>
      <c r="W879" t="inlineStr">
        <is>
          <t/>
        </is>
      </c>
      <c r="X879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n">
        <v>0.0</v>
      </c>
      <c r="AI879" t="n">
        <v>0.0</v>
      </c>
      <c r="AJ879" t="n">
        <v>0.0</v>
      </c>
      <c r="AK879" t="inlineStr">
        <is>
          <t/>
        </is>
      </c>
      <c r="AL879" t="inlineStr">
        <is>
          <t/>
        </is>
      </c>
    </row>
    <row r="880">
      <c r="A880" t="inlineStr">
        <is>
          <t>热量比鸡胸肉低，年后控体就吃它！</t>
        </is>
      </c>
      <c r="B880" t="inlineStr">
        <is>
          <t>69a457ed000000001a0290ce</t>
        </is>
      </c>
      <c r="C880" s="879" t="n">
        <f>HYPERLINK("https://www.xiaohongshu.com/explore/69a457ed000000001a0290ce?xsec_token=TBLmCJorSrUdBsABTJAPHFq1lq-mbk-h_Cz2m56oZR4BE=&amp;xsec_source=pc_trdark","https://www.xiaohongshu.com/explore/69a457ed000000001a0290ce?xsec_token=TBLmCJorSrUdBsABTJAPHFq1lq-mbk-h_Cz2m56oZR4BE=&amp;xsec_source=pc_trdark")</f>
        <v>0.0</v>
      </c>
      <c r="D880" t="inlineStr">
        <is>
          <t>婉婉上班吃什么</t>
        </is>
      </c>
      <c r="E880" t="inlineStr">
        <is>
          <t>11434449706</t>
        </is>
      </c>
      <c r="F880" t="inlineStr">
        <is>
          <t>2026-03-01 23:14:53</t>
        </is>
      </c>
      <c r="G880" t="inlineStr">
        <is>
          <t>图文</t>
        </is>
      </c>
      <c r="H880" t="inlineStr">
        <is>
          <t>大虾基围虾王牌大虾厄瓜多尔白虾盐冻虾仁海洋大虾送礼顺丰包邮</t>
        </is>
      </c>
      <c r="I880" t="inlineStr">
        <is>
          <t>690aeb7be379430001e686ac</t>
        </is>
      </c>
      <c r="J880" t="inlineStr">
        <is>
          <t/>
        </is>
      </c>
      <c r="K880" t="n">
        <v>0.0</v>
      </c>
      <c r="L880" t="n">
        <v>0.0</v>
      </c>
      <c r="M880" t="n">
        <v>0.0</v>
      </c>
      <c r="N880" t="inlineStr">
        <is>
          <t/>
        </is>
      </c>
      <c r="O880" t="n">
        <v>0.0</v>
      </c>
      <c r="P880" t="n">
        <v>0.0</v>
      </c>
      <c r="Q880" t="inlineStr">
        <is>
          <t/>
        </is>
      </c>
      <c r="R880" t="inlineStr">
        <is>
          <t/>
        </is>
      </c>
      <c r="S880" t="n">
        <v>0.0</v>
      </c>
      <c r="T880" t="n">
        <v>0.0</v>
      </c>
      <c r="U880" t="n">
        <v>0.0</v>
      </c>
      <c r="V880" t="n">
        <v>0.0</v>
      </c>
      <c r="W880" t="inlineStr">
        <is>
          <t/>
        </is>
      </c>
      <c r="X880" t="n">
        <v>0.0</v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n">
        <v>0.0</v>
      </c>
      <c r="AI880" t="n">
        <v>0.0</v>
      </c>
      <c r="AJ880" t="n">
        <v>0.0</v>
      </c>
      <c r="AK880" t="inlineStr">
        <is>
          <t/>
        </is>
      </c>
      <c r="AL880" t="inlineStr">
        <is>
          <t/>
        </is>
      </c>
    </row>
    <row r="881">
      <c r="A881" t="inlineStr">
        <is>
          <t>以为98元没多少，结果够我吃一周的了</t>
        </is>
      </c>
      <c r="B881" t="inlineStr">
        <is>
          <t>69a424e6000000000e00e78a</t>
        </is>
      </c>
      <c r="C881" s="880" t="n">
        <f>HYPERLINK("https://www.xiaohongshu.com/explore/69a424e6000000000e00e78a?xsec_token=TBLmCJorSrUdBsABTJAPHFq0Hp_RaMSV5JBH3LrWHsRV0=&amp;xsec_source=pc_trdark","https://www.xiaohongshu.com/explore/69a424e6000000000e00e78a?xsec_token=TBLmCJorSrUdBsABTJAPHFq0Hp_RaMSV5JBH3LrWHsRV0=&amp;xsec_source=pc_trdark")</f>
        <v>0.0</v>
      </c>
      <c r="D881" t="inlineStr">
        <is>
          <t>鲜水湾</t>
        </is>
      </c>
      <c r="E881" t="inlineStr">
        <is>
          <t>49316638994</t>
        </is>
      </c>
      <c r="F881" t="inlineStr">
        <is>
          <t>2026-03-01 19:37:10</t>
        </is>
      </c>
      <c r="G881" t="inlineStr">
        <is>
          <t>图文</t>
        </is>
      </c>
      <c r="H881" t="inlineStr">
        <is>
          <t>手剥虾仁 无冰衣无添加 低脂餐一人食 上班带饭 顺丰包邮 5盒装</t>
        </is>
      </c>
      <c r="I881" t="inlineStr">
        <is>
          <t>694baba01d450d00013662f0</t>
        </is>
      </c>
      <c r="J881" t="inlineStr">
        <is>
          <t/>
        </is>
      </c>
      <c r="K881" t="n">
        <v>0.0</v>
      </c>
      <c r="L881" t="n">
        <v>0.0</v>
      </c>
      <c r="M881" t="n">
        <v>0.0</v>
      </c>
      <c r="N881" t="inlineStr">
        <is>
          <t/>
        </is>
      </c>
      <c r="O881" t="n">
        <v>0.0</v>
      </c>
      <c r="P881" t="n">
        <v>0.0</v>
      </c>
      <c r="Q881" t="inlineStr">
        <is>
          <t/>
        </is>
      </c>
      <c r="R881" t="inlineStr">
        <is>
          <t/>
        </is>
      </c>
      <c r="S881" t="n">
        <v>0.0</v>
      </c>
      <c r="T881" t="n">
        <v>0.0</v>
      </c>
      <c r="U881" t="n">
        <v>0.0</v>
      </c>
      <c r="V881" t="n">
        <v>0.0</v>
      </c>
      <c r="W881" t="inlineStr">
        <is>
          <t/>
        </is>
      </c>
      <c r="X881" t="n">
        <v>0.0</v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  <c r="AK881" t="inlineStr">
        <is>
          <t/>
        </is>
      </c>
      <c r="AL881" t="inlineStr">
        <is>
          <t/>
        </is>
      </c>
    </row>
    <row r="882">
      <c r="A882" t="inlineStr">
        <is>
          <t>年后控体，我就这样吃！</t>
        </is>
      </c>
      <c r="B882" t="inlineStr">
        <is>
          <t>69a419b000000000280237c4</t>
        </is>
      </c>
      <c r="C882" s="881" t="n">
        <f>HYPERLINK("https://www.xiaohongshu.com/explore/69a419b000000000280237c4?xsec_token=TBLmCJorSrUdBsABTJAPHFq5SKBPfNY6USjtOw_i8nMiI=&amp;xsec_source=pc_trdark","https://www.xiaohongshu.com/explore/69a419b000000000280237c4?xsec_token=TBLmCJorSrUdBsABTJAPHFq5SKBPfNY6USjtOw_i8nMiI=&amp;xsec_source=pc_trdark")</f>
        <v>0.0</v>
      </c>
      <c r="D882" t="inlineStr">
        <is>
          <t>鲜水湾</t>
        </is>
      </c>
      <c r="E882" t="inlineStr">
        <is>
          <t>49316638994</t>
        </is>
      </c>
      <c r="F882" t="inlineStr">
        <is>
          <t>2026-03-01 18:49:20</t>
        </is>
      </c>
      <c r="G882" t="inlineStr">
        <is>
          <t>图文</t>
        </is>
      </c>
      <c r="H882" t="inlineStr">
        <is>
          <t>手剥虾仁 无冰衣无添加 低脂餐一人食 上班带饭 顺丰包邮 5盒装</t>
        </is>
      </c>
      <c r="I882" t="inlineStr">
        <is>
          <t>694baba01d450d00013662f0</t>
        </is>
      </c>
      <c r="J882" t="inlineStr">
        <is>
          <t/>
        </is>
      </c>
      <c r="K882" t="n">
        <v>0.0</v>
      </c>
      <c r="L882" t="n">
        <v>0.0</v>
      </c>
      <c r="M882" t="n">
        <v>0.0</v>
      </c>
      <c r="N882" t="inlineStr">
        <is>
          <t/>
        </is>
      </c>
      <c r="O882" t="n">
        <v>0.0</v>
      </c>
      <c r="P882" t="n">
        <v>0.0</v>
      </c>
      <c r="Q882" t="inlineStr">
        <is>
          <t/>
        </is>
      </c>
      <c r="R882" t="inlineStr">
        <is>
          <t/>
        </is>
      </c>
      <c r="S882" t="n">
        <v>0.0</v>
      </c>
      <c r="T882" t="n">
        <v>0.0</v>
      </c>
      <c r="U882" t="n">
        <v>0.0</v>
      </c>
      <c r="V882" t="n">
        <v>0.0</v>
      </c>
      <c r="W882" t="inlineStr">
        <is>
          <t/>
        </is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inlineStr">
        <is>
          <t/>
        </is>
      </c>
      <c r="AL882" t="inlineStr">
        <is>
          <t/>
        </is>
      </c>
    </row>
    <row r="883">
      <c r="A883" t="inlineStr">
        <is>
          <t>和老爸商量了，专为独居人定制专属小包装</t>
        </is>
      </c>
      <c r="B883" t="inlineStr">
        <is>
          <t>69a41359000000000d009e6c</t>
        </is>
      </c>
      <c r="C883" s="882" t="n">
        <f>HYPERLINK("https://www.xiaohongshu.com/explore/69a41359000000000d009e6c?xsec_token=TBLmCJorSrUdBsABTJAPHFqyDTVU_Xkx2Sb78lsuUuAHA=&amp;xsec_source=pc_trdark","https://www.xiaohongshu.com/explore/69a41359000000000d009e6c?xsec_token=TBLmCJorSrUdBsABTJAPHFqyDTVU_Xkx2Sb78lsuUuAHA=&amp;xsec_source=pc_trdark")</f>
        <v>0.0</v>
      </c>
      <c r="D883" t="inlineStr">
        <is>
          <t>鲜水湾</t>
        </is>
      </c>
      <c r="E883" t="inlineStr">
        <is>
          <t>49316638994</t>
        </is>
      </c>
      <c r="F883" t="inlineStr">
        <is>
          <t>2026-03-01 18:22:17</t>
        </is>
      </c>
      <c r="G883" t="inlineStr">
        <is>
          <t>图文</t>
        </is>
      </c>
      <c r="H883" t="inlineStr">
        <is>
          <t>手剥虾仁 无冰衣无添加 低脂餐一人食 上班带饭 顺丰包邮 5盒装</t>
        </is>
      </c>
      <c r="I883" t="inlineStr">
        <is>
          <t>694baba01d450d00013662f0</t>
        </is>
      </c>
      <c r="J883" t="inlineStr">
        <is>
          <t/>
        </is>
      </c>
      <c r="K883" t="n">
        <v>0.0</v>
      </c>
      <c r="L883" t="n">
        <v>0.0</v>
      </c>
      <c r="M883" t="n">
        <v>0.0</v>
      </c>
      <c r="N883" t="inlineStr">
        <is>
          <t/>
        </is>
      </c>
      <c r="O883" t="n">
        <v>0.0</v>
      </c>
      <c r="P883" t="n">
        <v>0.0</v>
      </c>
      <c r="Q883" t="inlineStr">
        <is>
          <t/>
        </is>
      </c>
      <c r="R883" t="inlineStr">
        <is>
          <t/>
        </is>
      </c>
      <c r="S883" t="n">
        <v>0.0</v>
      </c>
      <c r="T883" t="n">
        <v>0.0</v>
      </c>
      <c r="U883" t="n">
        <v>0.0</v>
      </c>
      <c r="V883" t="n">
        <v>0.0</v>
      </c>
      <c r="W883" t="inlineStr">
        <is>
          <t/>
        </is>
      </c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n">
        <v>0.0</v>
      </c>
      <c r="AI883" t="n">
        <v>0.0</v>
      </c>
      <c r="AJ883" t="n">
        <v>0.0</v>
      </c>
      <c r="AK883" t="inlineStr">
        <is>
          <t/>
        </is>
      </c>
      <c r="AL883" t="inlineStr">
        <is>
          <t/>
        </is>
      </c>
    </row>
    <row r="884">
      <c r="A884" t="inlineStr">
        <is>
          <t/>
        </is>
      </c>
      <c r="B884" t="inlineStr">
        <is>
          <t>69a3f84c000000002800bd4b</t>
        </is>
      </c>
      <c r="C884" s="883" t="n">
        <f>HYPERLINK("https://www.xiaohongshu.com/explore/69a3f84c000000002800bd4b?xsec_token=TBQqoumW0Nt1tHlYiIHSjG9vAOQp4ItSDrBkjjzGMp9qU=&amp;xsec_source=pc_trdark","https://www.xiaohongshu.com/explore/69a3f84c000000002800bd4b?xsec_token=TBQqoumW0Nt1tHlYiIHSjG9vAOQp4ItSDrBkjjzGMp9qU=&amp;xsec_source=pc_trdark")</f>
        <v>0.0</v>
      </c>
      <c r="D884" t="inlineStr">
        <is>
          <t>鲜水湾</t>
        </is>
      </c>
      <c r="E884" t="inlineStr">
        <is>
          <t>49316638994</t>
        </is>
      </c>
      <c r="F884" t="inlineStr">
        <is>
          <t>2026-03-01 16:26:52</t>
        </is>
      </c>
      <c r="G884" t="inlineStr">
        <is>
          <t>图文</t>
        </is>
      </c>
      <c r="H884" t="inlineStr">
        <is>
          <t>手剥虾仁 无冰衣无添加 低脂餐一人食 上班带饭 顺丰包邮 5盒装</t>
        </is>
      </c>
      <c r="I884" t="inlineStr">
        <is>
          <t>694baba01d450d00013662f0</t>
        </is>
      </c>
      <c r="J884" t="inlineStr">
        <is>
          <t/>
        </is>
      </c>
      <c r="K884" t="n">
        <v>0.0</v>
      </c>
      <c r="L884" t="n">
        <v>0.0</v>
      </c>
      <c r="M884" t="n">
        <v>0.0</v>
      </c>
      <c r="N884" t="inlineStr">
        <is>
          <t/>
        </is>
      </c>
      <c r="O884" t="n">
        <v>0.0</v>
      </c>
      <c r="P884" t="n">
        <v>0.0</v>
      </c>
      <c r="Q884" t="inlineStr">
        <is>
          <t/>
        </is>
      </c>
      <c r="R884" t="inlineStr">
        <is>
          <t/>
        </is>
      </c>
      <c r="S884" t="n">
        <v>0.0</v>
      </c>
      <c r="T884" t="n">
        <v>0.0</v>
      </c>
      <c r="U884" t="n">
        <v>0.0</v>
      </c>
      <c r="V884" t="n">
        <v>0.0</v>
      </c>
      <c r="W884" t="inlineStr">
        <is>
          <t/>
        </is>
      </c>
      <c r="X884" t="n">
        <v>0.0</v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n">
        <v>0.0</v>
      </c>
      <c r="AI884" t="n">
        <v>0.0</v>
      </c>
      <c r="AJ884" t="n">
        <v>0.0</v>
      </c>
      <c r="AK884" t="inlineStr">
        <is>
          <t/>
        </is>
      </c>
      <c r="AL884" t="inlineStr">
        <is>
          <t/>
        </is>
      </c>
    </row>
    <row r="885">
      <c r="A885" t="inlineStr">
        <is>
          <t>讲真…手剥虾仁就是我控体期的大帮手！！</t>
        </is>
      </c>
      <c r="B885" t="inlineStr">
        <is>
          <t>69a29adb000000000e03ed32</t>
        </is>
      </c>
      <c r="C885" s="884" t="n">
        <f>HYPERLINK("https://www.xiaohongshu.com/explore/69a29adb000000000e03ed32?xsec_token=TBUws-qSGfQm7WfIK5gxFwZ58oPwybM5jy3eJgiFWHDuw=&amp;xsec_source=pc_trdark","https://www.xiaohongshu.com/explore/69a29adb000000000e03ed32?xsec_token=TBUws-qSGfQm7WfIK5gxFwZ58oPwybM5jy3eJgiFWHDuw=&amp;xsec_source=pc_trdark")</f>
        <v>0.0</v>
      </c>
      <c r="D885" t="inlineStr">
        <is>
          <t>鲜水湾</t>
        </is>
      </c>
      <c r="E885" t="inlineStr">
        <is>
          <t>49316638994</t>
        </is>
      </c>
      <c r="F885" t="inlineStr">
        <is>
          <t>2026-02-28 15:35:55</t>
        </is>
      </c>
      <c r="G885" t="inlineStr">
        <is>
          <t>图文</t>
        </is>
      </c>
      <c r="H885" t="inlineStr">
        <is>
          <t>手剥虾仁 无冰衣无添加 低脂餐一人食 上班带饭 顺丰包邮 5盒装</t>
        </is>
      </c>
      <c r="I885" t="inlineStr">
        <is>
          <t>694baba01d450d00013662f0</t>
        </is>
      </c>
      <c r="J885" t="inlineStr">
        <is>
          <t/>
        </is>
      </c>
      <c r="K885" t="n">
        <v>0.0</v>
      </c>
      <c r="L885" t="n">
        <v>0.0</v>
      </c>
      <c r="M885" t="n">
        <v>0.0</v>
      </c>
      <c r="N885" t="inlineStr">
        <is>
          <t/>
        </is>
      </c>
      <c r="O885" t="n">
        <v>0.0</v>
      </c>
      <c r="P885" t="n">
        <v>0.0</v>
      </c>
      <c r="Q885" t="inlineStr">
        <is>
          <t/>
        </is>
      </c>
      <c r="R885" t="inlineStr">
        <is>
          <t/>
        </is>
      </c>
      <c r="S885" t="n">
        <v>0.0</v>
      </c>
      <c r="T885" t="n">
        <v>0.0</v>
      </c>
      <c r="U885" t="n">
        <v>0.0</v>
      </c>
      <c r="V885" t="n">
        <v>0.0</v>
      </c>
      <c r="W885" t="inlineStr">
        <is>
          <t/>
        </is>
      </c>
      <c r="X885" t="n">
        <v>0.0</v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n">
        <v>0.0</v>
      </c>
      <c r="AI885" t="n">
        <v>0.0</v>
      </c>
      <c r="AJ885" t="n">
        <v>0.0</v>
      </c>
      <c r="AK885" t="inlineStr">
        <is>
          <t/>
        </is>
      </c>
      <c r="AL885" t="inlineStr">
        <is>
          <t/>
        </is>
      </c>
    </row>
    <row r="886">
      <c r="A886" t="inlineStr">
        <is>
          <t>答应我，年后控体就吃这个手剥大虾仁！！</t>
        </is>
      </c>
      <c r="B886" t="inlineStr">
        <is>
          <t>69a28994000000002801ca50</t>
        </is>
      </c>
      <c r="C886" s="885" t="n">
        <f>HYPERLINK("https://www.xiaohongshu.com/explore/69a28994000000002801ca50?xsec_token=TBUws-qSGfQm7WfIK5gxFwZ-XeexN-N8XHYW0C_3PSaSY=&amp;xsec_source=pc_trdark","https://www.xiaohongshu.com/explore/69a28994000000002801ca50?xsec_token=TBUws-qSGfQm7WfIK5gxFwZ-XeexN-N8XHYW0C_3PSaSY=&amp;xsec_source=pc_trdark")</f>
        <v>0.0</v>
      </c>
      <c r="D886" t="inlineStr">
        <is>
          <t>鲜水湾</t>
        </is>
      </c>
      <c r="E886" t="inlineStr">
        <is>
          <t>49316638994</t>
        </is>
      </c>
      <c r="F886" t="inlineStr">
        <is>
          <t>2026-02-28 14:22:12</t>
        </is>
      </c>
      <c r="G886" t="inlineStr">
        <is>
          <t>图文</t>
        </is>
      </c>
      <c r="H886" t="inlineStr">
        <is>
          <t>手剥虾仁 无冰衣无添加 低脂餐一人食 上班带饭 顺丰包邮 5盒装</t>
        </is>
      </c>
      <c r="I886" t="inlineStr">
        <is>
          <t>694baba01d450d00013662f0</t>
        </is>
      </c>
      <c r="J886" t="inlineStr">
        <is>
          <t/>
        </is>
      </c>
      <c r="K886" t="n">
        <v>0.0</v>
      </c>
      <c r="L886" t="n">
        <v>0.0</v>
      </c>
      <c r="M886" t="n">
        <v>0.0</v>
      </c>
      <c r="N886" t="inlineStr">
        <is>
          <t/>
        </is>
      </c>
      <c r="O886" t="n">
        <v>0.0</v>
      </c>
      <c r="P886" t="n">
        <v>0.0</v>
      </c>
      <c r="Q886" t="inlineStr">
        <is>
          <t/>
        </is>
      </c>
      <c r="R886" t="inlineStr">
        <is>
          <t/>
        </is>
      </c>
      <c r="S886" t="n">
        <v>0.0</v>
      </c>
      <c r="T886" t="n">
        <v>0.0</v>
      </c>
      <c r="U886" t="n">
        <v>0.0</v>
      </c>
      <c r="V886" t="n">
        <v>0.0</v>
      </c>
      <c r="W886" t="inlineStr">
        <is>
          <t/>
        </is>
      </c>
      <c r="X886" t="n">
        <v>0.0</v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  <c r="AE886" t="n">
        <v>0.0</v>
      </c>
      <c r="AF886" t="n">
        <v>0.0</v>
      </c>
      <c r="AG886" t="n">
        <v>0.0</v>
      </c>
      <c r="AH886" t="n">
        <v>0.0</v>
      </c>
      <c r="AI886" t="n">
        <v>0.0</v>
      </c>
      <c r="AJ886" t="n">
        <v>0.0</v>
      </c>
      <c r="AK886" t="inlineStr">
        <is>
          <t/>
        </is>
      </c>
      <c r="AL886" t="inlineStr">
        <is>
          <t/>
        </is>
      </c>
    </row>
    <row r="887">
      <c r="A887" t="inlineStr">
        <is>
          <t>年后控体，区区100多竟然够我吃一周！</t>
        </is>
      </c>
      <c r="B887" t="inlineStr">
        <is>
          <t>69a27ea40000000028022315</t>
        </is>
      </c>
      <c r="C887" s="886" t="n">
        <f>HYPERLINK("https://www.xiaohongshu.com/explore/69a27ea40000000028022315?xsec_token=TBUws-qSGfQm7WfIK5gxFwZ4tpOeF-KX4Q2pM0DtznF9A=&amp;xsec_source=pc_trdark","https://www.xiaohongshu.com/explore/69a27ea40000000028022315?xsec_token=TBUws-qSGfQm7WfIK5gxFwZ4tpOeF-KX4Q2pM0DtznF9A=&amp;xsec_source=pc_trdark")</f>
        <v>0.0</v>
      </c>
      <c r="D887" t="inlineStr">
        <is>
          <t>鲜水湾</t>
        </is>
      </c>
      <c r="E887" t="inlineStr">
        <is>
          <t>49316638994</t>
        </is>
      </c>
      <c r="F887" t="inlineStr">
        <is>
          <t>2026-02-28 13:35:33</t>
        </is>
      </c>
      <c r="G887" t="inlineStr">
        <is>
          <t>图文</t>
        </is>
      </c>
      <c r="H887" t="inlineStr">
        <is>
          <t>手剥虾仁 无冰衣无添加 低脂餐一人食 上班带饭 顺丰包邮 5盒装</t>
        </is>
      </c>
      <c r="I887" t="inlineStr">
        <is>
          <t>694baba01d450d00013662f0</t>
        </is>
      </c>
      <c r="J887" t="inlineStr">
        <is>
          <t/>
        </is>
      </c>
      <c r="K887" t="n">
        <v>0.0</v>
      </c>
      <c r="L887" t="n">
        <v>0.0</v>
      </c>
      <c r="M887" t="n">
        <v>0.0</v>
      </c>
      <c r="N887" t="inlineStr">
        <is>
          <t/>
        </is>
      </c>
      <c r="O887" t="n">
        <v>0.0</v>
      </c>
      <c r="P887" t="n">
        <v>0.0</v>
      </c>
      <c r="Q887" t="inlineStr">
        <is>
          <t/>
        </is>
      </c>
      <c r="R887" t="inlineStr">
        <is>
          <t/>
        </is>
      </c>
      <c r="S887" t="n">
        <v>0.0</v>
      </c>
      <c r="T887" t="n">
        <v>0.0</v>
      </c>
      <c r="U887" t="n">
        <v>0.0</v>
      </c>
      <c r="V887" t="n">
        <v>0.0</v>
      </c>
      <c r="W887" t="inlineStr">
        <is>
          <t/>
        </is>
      </c>
      <c r="X887" t="n">
        <v>0.0</v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n">
        <v>0.0</v>
      </c>
      <c r="AI887" t="n">
        <v>0.0</v>
      </c>
      <c r="AJ887" t="n">
        <v>0.0</v>
      </c>
      <c r="AK887" t="inlineStr">
        <is>
          <t/>
        </is>
      </c>
      <c r="AL887" t="inlineStr">
        <is>
          <t/>
        </is>
      </c>
    </row>
    <row r="888">
      <c r="A888" t="inlineStr">
        <is>
          <t>减脂带饭太香了！一周掉6斤还省500块</t>
        </is>
      </c>
      <c r="B888" t="inlineStr">
        <is>
          <t>69a27887000000001a03020d</t>
        </is>
      </c>
      <c r="C888" s="887" t="n">
        <f>HYPERLINK("https://www.xiaohongshu.com/explore/69a27887000000001a03020d?xsec_token=TBUws-qSGfQm7WfIK5gxFwZ8FdwWMgvpaqUTzQavddLn4=&amp;xsec_source=pc_trdark","https://www.xiaohongshu.com/explore/69a27887000000001a03020d?xsec_token=TBUws-qSGfQm7WfIK5gxFwZ8FdwWMgvpaqUTzQavddLn4=&amp;xsec_source=pc_trdark")</f>
        <v>0.0</v>
      </c>
      <c r="D888" t="inlineStr">
        <is>
          <t>鲜水湾</t>
        </is>
      </c>
      <c r="E888" t="inlineStr">
        <is>
          <t>49316638994</t>
        </is>
      </c>
      <c r="F888" t="inlineStr">
        <is>
          <t>2026-02-28 13:09:27</t>
        </is>
      </c>
      <c r="G888" t="inlineStr">
        <is>
          <t>图文</t>
        </is>
      </c>
      <c r="H888" t="inlineStr">
        <is>
          <t>手剥虾仁 无冰衣无添加 低脂餐一人食 上班带饭 顺丰包邮 5盒装</t>
        </is>
      </c>
      <c r="I888" t="inlineStr">
        <is>
          <t>694baba01d450d00013662f0</t>
        </is>
      </c>
      <c r="J888" t="inlineStr">
        <is>
          <t/>
        </is>
      </c>
      <c r="K888" t="n">
        <v>0.0</v>
      </c>
      <c r="L888" t="n">
        <v>0.0</v>
      </c>
      <c r="M888" t="n">
        <v>0.0</v>
      </c>
      <c r="N888" t="inlineStr">
        <is>
          <t/>
        </is>
      </c>
      <c r="O888" t="n">
        <v>0.0</v>
      </c>
      <c r="P888" t="n">
        <v>0.0</v>
      </c>
      <c r="Q888" t="inlineStr">
        <is>
          <t/>
        </is>
      </c>
      <c r="R888" t="inlineStr">
        <is>
          <t/>
        </is>
      </c>
      <c r="S888" t="n">
        <v>0.0</v>
      </c>
      <c r="T888" t="n">
        <v>0.0</v>
      </c>
      <c r="U888" t="n">
        <v>0.0</v>
      </c>
      <c r="V888" t="n">
        <v>0.0</v>
      </c>
      <c r="W888" t="inlineStr">
        <is>
          <t/>
        </is>
      </c>
      <c r="X888" t="n">
        <v>0.0</v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n">
        <v>0.0</v>
      </c>
      <c r="AI888" t="n">
        <v>0.0</v>
      </c>
      <c r="AJ888" t="n">
        <v>0.0</v>
      </c>
      <c r="AK888" t="inlineStr">
        <is>
          <t/>
        </is>
      </c>
      <c r="AL888" t="inlineStr">
        <is>
          <t/>
        </is>
      </c>
    </row>
    <row r="889">
      <c r="A889" t="inlineStr">
        <is>
          <t>58元吃一周！打工人闭眼冲的高性价比虾仁</t>
        </is>
      </c>
      <c r="B889" t="inlineStr">
        <is>
          <t>69a25ce9000000000e00c0fb</t>
        </is>
      </c>
      <c r="C889" s="888" t="n">
        <f>HYPERLINK("https://www.xiaohongshu.com/explore/69a25ce9000000000e00c0fb?xsec_token=TBUws-qSGfQm7WfIK5gxFwZ8t68tICOWomcVNbSKDuDXo=&amp;xsec_source=pc_trdark","https://www.xiaohongshu.com/explore/69a25ce9000000000e00c0fb?xsec_token=TBUws-qSGfQm7WfIK5gxFwZ8t68tICOWomcVNbSKDuDXo=&amp;xsec_source=pc_trdark")</f>
        <v>0.0</v>
      </c>
      <c r="D889" t="inlineStr">
        <is>
          <t>鲜水湾</t>
        </is>
      </c>
      <c r="E889" t="inlineStr">
        <is>
          <t>49316638994</t>
        </is>
      </c>
      <c r="F889" t="inlineStr">
        <is>
          <t>2026-02-28 11:11:37</t>
        </is>
      </c>
      <c r="G889" t="inlineStr">
        <is>
          <t>图文</t>
        </is>
      </c>
      <c r="H889" t="inlineStr">
        <is>
          <t>手剥虾仁 无冰衣无添加 低脂餐一人食 上班带饭 顺丰包邮 5盒装</t>
        </is>
      </c>
      <c r="I889" t="inlineStr">
        <is>
          <t>694baba01d450d00013662f0</t>
        </is>
      </c>
      <c r="J889" t="inlineStr">
        <is>
          <t/>
        </is>
      </c>
      <c r="K889" t="n">
        <v>0.0</v>
      </c>
      <c r="L889" t="n">
        <v>0.0</v>
      </c>
      <c r="M889" t="n">
        <v>0.0</v>
      </c>
      <c r="N889" t="inlineStr">
        <is>
          <t/>
        </is>
      </c>
      <c r="O889" t="n">
        <v>0.0</v>
      </c>
      <c r="P889" t="n">
        <v>0.0</v>
      </c>
      <c r="Q889" t="inlineStr">
        <is>
          <t/>
        </is>
      </c>
      <c r="R889" t="inlineStr">
        <is>
          <t/>
        </is>
      </c>
      <c r="S889" t="n">
        <v>0.0</v>
      </c>
      <c r="T889" t="n">
        <v>0.0</v>
      </c>
      <c r="U889" t="n">
        <v>0.0</v>
      </c>
      <c r="V889" t="n">
        <v>0.0</v>
      </c>
      <c r="W889" t="inlineStr">
        <is>
          <t/>
        </is>
      </c>
      <c r="X889" t="n">
        <v>0.0</v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n">
        <v>0.0</v>
      </c>
      <c r="AI889" t="n">
        <v>0.0</v>
      </c>
      <c r="AJ889" t="n">
        <v>0.0</v>
      </c>
      <c r="AK889" t="inlineStr">
        <is>
          <t/>
        </is>
      </c>
      <c r="AL889" t="inlineStr">
        <is>
          <t/>
        </is>
      </c>
    </row>
    <row r="890">
      <c r="A890" t="inlineStr">
        <is>
          <t>办公室同事说我每天吃虾仁减脂很奢侈！</t>
        </is>
      </c>
      <c r="B890" t="inlineStr">
        <is>
          <t>69a25159000000001a01f71b</t>
        </is>
      </c>
      <c r="C890" s="889" t="n">
        <f>HYPERLINK("https://www.xiaohongshu.com/explore/69a25159000000001a01f71b?xsec_token=TBUws-qSGfQm7WfIK5gxFwZ7xVCnym_yvsCHgY-PnK_20=&amp;xsec_source=pc_trdark","https://www.xiaohongshu.com/explore/69a25159000000001a01f71b?xsec_token=TBUws-qSGfQm7WfIK5gxFwZ7xVCnym_yvsCHgY-PnK_20=&amp;xsec_source=pc_trdark")</f>
        <v>0.0</v>
      </c>
      <c r="D890" t="inlineStr">
        <is>
          <t>鲜水湾</t>
        </is>
      </c>
      <c r="E890" t="inlineStr">
        <is>
          <t>49316638994</t>
        </is>
      </c>
      <c r="F890" t="inlineStr">
        <is>
          <t>2026-02-28 10:22:17</t>
        </is>
      </c>
      <c r="G890" t="inlineStr">
        <is>
          <t>图文</t>
        </is>
      </c>
      <c r="H890" t="inlineStr">
        <is>
          <t>手剥虾仁 无冰衣无添加 低脂餐一人食 上班带饭 顺丰包邮 5盒装</t>
        </is>
      </c>
      <c r="I890" t="inlineStr">
        <is>
          <t>694baba01d450d00013662f0</t>
        </is>
      </c>
      <c r="J890" t="inlineStr">
        <is>
          <t/>
        </is>
      </c>
      <c r="K890" t="n">
        <v>0.0</v>
      </c>
      <c r="L890" t="n">
        <v>0.0</v>
      </c>
      <c r="M890" t="n">
        <v>0.0</v>
      </c>
      <c r="N890" t="inlineStr">
        <is>
          <t/>
        </is>
      </c>
      <c r="O890" t="n">
        <v>0.0</v>
      </c>
      <c r="P890" t="n">
        <v>0.0</v>
      </c>
      <c r="Q890" t="inlineStr">
        <is>
          <t/>
        </is>
      </c>
      <c r="R890" t="inlineStr">
        <is>
          <t/>
        </is>
      </c>
      <c r="S890" t="n">
        <v>0.0</v>
      </c>
      <c r="T890" t="n">
        <v>0.0</v>
      </c>
      <c r="U890" t="n">
        <v>0.0</v>
      </c>
      <c r="V890" t="n">
        <v>0.0</v>
      </c>
      <c r="W890" t="inlineStr">
        <is>
          <t/>
        </is>
      </c>
      <c r="X890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inlineStr">
        <is>
          <t/>
        </is>
      </c>
      <c r="AL890" t="inlineStr">
        <is>
          <t/>
        </is>
      </c>
    </row>
    <row r="891">
      <c r="A891" t="inlineStr">
        <is>
          <t>说一个撑死人但热量很低的东西</t>
        </is>
      </c>
      <c r="B891" t="inlineStr">
        <is>
          <t>69a1579a000000001a02c7db</t>
        </is>
      </c>
      <c r="C891" s="890" t="n">
        <f>HYPERLINK("https://www.xiaohongshu.com/explore/69a1579a000000001a02c7db?xsec_token=TBk7Tu9foWGIsieMmGc2tlwqr8bBKDkj0-BDl6x5WukJU=&amp;xsec_source=pc_trdark","https://www.xiaohongshu.com/explore/69a1579a000000001a02c7db?xsec_token=TBk7Tu9foWGIsieMmGc2tlwqr8bBKDkj0-BDl6x5WukJU=&amp;xsec_source=pc_trdark")</f>
        <v>0.0</v>
      </c>
      <c r="D891" t="inlineStr">
        <is>
          <t>鲜水湾</t>
        </is>
      </c>
      <c r="E891" t="inlineStr">
        <is>
          <t>49316638994</t>
        </is>
      </c>
      <c r="F891" t="inlineStr">
        <is>
          <t>2026-02-27 16:36:42</t>
        </is>
      </c>
      <c r="G891" t="inlineStr">
        <is>
          <t>图文</t>
        </is>
      </c>
      <c r="H891" t="inlineStr">
        <is>
          <t>手剥虾仁 无冰衣无添加 低脂餐一人食 上班带饭 顺丰包邮 5盒装</t>
        </is>
      </c>
      <c r="I891" t="inlineStr">
        <is>
          <t>694baba01d450d00013662f0</t>
        </is>
      </c>
      <c r="J891" t="inlineStr">
        <is>
          <t/>
        </is>
      </c>
      <c r="K891" t="n">
        <v>0.0</v>
      </c>
      <c r="L891" t="n">
        <v>0.0</v>
      </c>
      <c r="M891" t="n">
        <v>0.0</v>
      </c>
      <c r="N891" t="inlineStr">
        <is>
          <t/>
        </is>
      </c>
      <c r="O891" t="n">
        <v>0.0</v>
      </c>
      <c r="P891" t="n">
        <v>0.0</v>
      </c>
      <c r="Q891" t="inlineStr">
        <is>
          <t/>
        </is>
      </c>
      <c r="R891" t="inlineStr">
        <is>
          <t/>
        </is>
      </c>
      <c r="S891" t="n">
        <v>0.0</v>
      </c>
      <c r="T891" t="n">
        <v>0.0</v>
      </c>
      <c r="U891" t="n">
        <v>0.0</v>
      </c>
      <c r="V891" t="n">
        <v>0.0</v>
      </c>
      <c r="W891" t="inlineStr">
        <is>
          <t/>
        </is>
      </c>
      <c r="X891" t="n">
        <v>0.0</v>
      </c>
      <c r="Y891" t="n">
        <v>0.0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  <c r="AE891" t="n">
        <v>0.0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inlineStr">
        <is>
          <t/>
        </is>
      </c>
      <c r="AL891" t="inlineStr">
        <is>
          <t/>
        </is>
      </c>
    </row>
    <row r="892">
      <c r="A892" t="inlineStr">
        <is>
          <t>减脂界的天花板🦐… 低卡高蛋白的神仙食材‼️</t>
        </is>
      </c>
      <c r="B892" t="inlineStr">
        <is>
          <t>69a13fec000000000e03d4db</t>
        </is>
      </c>
      <c r="C892" s="891" t="n">
        <f>HYPERLINK("https://www.xiaohongshu.com/explore/69a13fec000000000e03d4db?xsec_token=TBk7Tu9foWGIsieMmGc2tlwjEOD4OCZs9l6eUaeWjGmL8=&amp;xsec_source=pc_trdark","https://www.xiaohongshu.com/explore/69a13fec000000000e03d4db?xsec_token=TBk7Tu9foWGIsieMmGc2tlwjEOD4OCZs9l6eUaeWjGmL8=&amp;xsec_source=pc_trdark")</f>
        <v>0.0</v>
      </c>
      <c r="D892" t="inlineStr">
        <is>
          <t>鲜水湾</t>
        </is>
      </c>
      <c r="E892" t="inlineStr">
        <is>
          <t>49316638994</t>
        </is>
      </c>
      <c r="F892" t="inlineStr">
        <is>
          <t>2026-02-27 14:55:40</t>
        </is>
      </c>
      <c r="G892" t="inlineStr">
        <is>
          <t>图文</t>
        </is>
      </c>
      <c r="H892" t="inlineStr">
        <is>
          <t>手剥虾仁 无冰衣无添加 低脂餐一人食 上班带饭 顺丰包邮 5盒装</t>
        </is>
      </c>
      <c r="I892" t="inlineStr">
        <is>
          <t>694baba01d450d00013662f0</t>
        </is>
      </c>
      <c r="J892" t="inlineStr">
        <is>
          <t/>
        </is>
      </c>
      <c r="K892" t="n">
        <v>0.0</v>
      </c>
      <c r="L892" t="n">
        <v>0.0</v>
      </c>
      <c r="M892" t="n">
        <v>0.0</v>
      </c>
      <c r="N892" t="inlineStr">
        <is>
          <t/>
        </is>
      </c>
      <c r="O892" t="n">
        <v>0.0</v>
      </c>
      <c r="P892" t="n">
        <v>0.0</v>
      </c>
      <c r="Q892" t="inlineStr">
        <is>
          <t/>
        </is>
      </c>
      <c r="R892" t="inlineStr">
        <is>
          <t/>
        </is>
      </c>
      <c r="S892" t="n">
        <v>0.0</v>
      </c>
      <c r="T892" t="n">
        <v>0.0</v>
      </c>
      <c r="U892" t="n">
        <v>0.0</v>
      </c>
      <c r="V892" t="n">
        <v>0.0</v>
      </c>
      <c r="W892" t="inlineStr">
        <is>
          <t/>
        </is>
      </c>
      <c r="X892" t="n">
        <v>0.0</v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inlineStr">
        <is>
          <t/>
        </is>
      </c>
      <c r="AL892" t="inlineStr">
        <is>
          <t/>
        </is>
      </c>
    </row>
    <row r="893">
      <c r="A893" t="inlineStr">
        <is>
          <t>发现年轻人真低估了100块的购买力...</t>
        </is>
      </c>
      <c r="B893" t="inlineStr">
        <is>
          <t>69a0149b000000001a02cdb4</t>
        </is>
      </c>
      <c r="C893" s="892" t="n">
        <f>HYPERLINK("https://www.xiaohongshu.com/explore/69a0149b000000001a02cdb4?xsec_token=TBGIgfrKGy2wDtxaQW-J26GSVYYnaplB3-D8-HLx2DgVE=&amp;xsec_source=pc_trdark","https://www.xiaohongshu.com/explore/69a0149b000000001a02cdb4?xsec_token=TBGIgfrKGy2wDtxaQW-J26GSVYYnaplB3-D8-HLx2DgVE=&amp;xsec_source=pc_trdark")</f>
        <v>0.0</v>
      </c>
      <c r="D893" t="inlineStr">
        <is>
          <t>鲜水湾</t>
        </is>
      </c>
      <c r="E893" t="inlineStr">
        <is>
          <t>49316638994</t>
        </is>
      </c>
      <c r="F893" t="inlineStr">
        <is>
          <t>2026-02-26 17:38:35</t>
        </is>
      </c>
      <c r="G893" t="inlineStr">
        <is>
          <t>图文</t>
        </is>
      </c>
      <c r="H893" t="inlineStr">
        <is>
          <t>智利三文鱼切块·整条三文鱼·深海鱼一人食健康饮食</t>
        </is>
      </c>
      <c r="I893" t="inlineStr">
        <is>
          <t>691ac562a524ee0001b51d7b</t>
        </is>
      </c>
      <c r="J893" t="inlineStr">
        <is>
          <t/>
        </is>
      </c>
      <c r="K893" t="n">
        <v>0.0</v>
      </c>
      <c r="L893" t="n">
        <v>0.0</v>
      </c>
      <c r="M893" t="n">
        <v>0.0</v>
      </c>
      <c r="N893" t="inlineStr">
        <is>
          <t/>
        </is>
      </c>
      <c r="O893" t="n">
        <v>0.0</v>
      </c>
      <c r="P893" t="n">
        <v>0.0</v>
      </c>
      <c r="Q893" t="inlineStr">
        <is>
          <t/>
        </is>
      </c>
      <c r="R893" t="inlineStr">
        <is>
          <t/>
        </is>
      </c>
      <c r="S893" t="n">
        <v>0.0</v>
      </c>
      <c r="T893" t="n">
        <v>0.0</v>
      </c>
      <c r="U893" t="n">
        <v>0.0</v>
      </c>
      <c r="V893" t="n">
        <v>0.0</v>
      </c>
      <c r="W893" t="inlineStr">
        <is>
          <t/>
        </is>
      </c>
      <c r="X893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n">
        <v>0.0</v>
      </c>
      <c r="AI893" t="n">
        <v>0.0</v>
      </c>
      <c r="AJ893" t="n">
        <v>0.0</v>
      </c>
      <c r="AK893" t="inlineStr">
        <is>
          <t/>
        </is>
      </c>
      <c r="AL893" t="inlineStr">
        <is>
          <t/>
        </is>
      </c>
    </row>
    <row r="894">
      <c r="A894" t="inlineStr">
        <is>
          <t>和老爸商量了，专为减脂人推出的小包装</t>
        </is>
      </c>
      <c r="B894" t="inlineStr">
        <is>
          <t>699ffa9a000000001a0256e5</t>
        </is>
      </c>
      <c r="C894" s="893" t="n">
        <f>HYPERLINK("https://www.xiaohongshu.com/explore/699ffa9a000000001a0256e5?xsec_token=TBmPrNsEp7sytnt8BzCMtNTT2Nw9Ds1BbOaU-rSrKDxl8=&amp;xsec_source=pc_trdark","https://www.xiaohongshu.com/explore/699ffa9a000000001a0256e5?xsec_token=TBmPrNsEp7sytnt8BzCMtNTT2Nw9Ds1BbOaU-rSrKDxl8=&amp;xsec_source=pc_trdark")</f>
        <v>0.0</v>
      </c>
      <c r="D894" t="inlineStr">
        <is>
          <t>鲜水湾</t>
        </is>
      </c>
      <c r="E894" t="inlineStr">
        <is>
          <t>49316638994</t>
        </is>
      </c>
      <c r="F894" t="inlineStr">
        <is>
          <t>2026-02-26 15:47:38</t>
        </is>
      </c>
      <c r="G894" t="inlineStr">
        <is>
          <t>图文</t>
        </is>
      </c>
      <c r="H894" t="inlineStr">
        <is>
          <t>手剥虾仁 无冰衣无添加 低脂餐一人食 上班带饭 顺丰包邮 5盒装</t>
        </is>
      </c>
      <c r="I894" t="inlineStr">
        <is>
          <t>694baba01d450d00013662f0</t>
        </is>
      </c>
      <c r="J894" t="inlineStr">
        <is>
          <t/>
        </is>
      </c>
      <c r="K894" t="n">
        <v>0.0</v>
      </c>
      <c r="L894" t="n">
        <v>0.0</v>
      </c>
      <c r="M894" t="n">
        <v>0.0</v>
      </c>
      <c r="N894" t="inlineStr">
        <is>
          <t/>
        </is>
      </c>
      <c r="O894" t="n">
        <v>0.0</v>
      </c>
      <c r="P894" t="n">
        <v>0.0</v>
      </c>
      <c r="Q894" t="inlineStr">
        <is>
          <t/>
        </is>
      </c>
      <c r="R894" t="inlineStr">
        <is>
          <t/>
        </is>
      </c>
      <c r="S894" t="n">
        <v>0.0</v>
      </c>
      <c r="T894" t="n">
        <v>0.0</v>
      </c>
      <c r="U894" t="n">
        <v>0.0</v>
      </c>
      <c r="V894" t="n">
        <v>0.0</v>
      </c>
      <c r="W894" t="inlineStr">
        <is>
          <t/>
        </is>
      </c>
      <c r="X894" t="n">
        <v>0.0</v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n">
        <v>0.0</v>
      </c>
      <c r="AI894" t="n">
        <v>0.0</v>
      </c>
      <c r="AJ894" t="n">
        <v>0.0</v>
      </c>
      <c r="AK894" t="inlineStr">
        <is>
          <t/>
        </is>
      </c>
      <c r="AL894" t="inlineStr">
        <is>
          <t/>
        </is>
      </c>
    </row>
    <row r="895">
      <c r="A895" t="inlineStr">
        <is>
          <t>老吃家才懂得快乐！寿司甜虾太好吃啦</t>
        </is>
      </c>
      <c r="B895" t="inlineStr">
        <is>
          <t>699fd8ca000000002303929a</t>
        </is>
      </c>
      <c r="C895" s="894" t="n">
        <f>HYPERLINK("https://www.xiaohongshu.com/explore/699fd8ca000000002303929a?xsec_token=TBmPrNsEp7sytnt8BzCMtNTZj2EATODNkWEDVdNJV_P3A=&amp;xsec_source=pc_trdark","https://www.xiaohongshu.com/explore/699fd8ca000000002303929a?xsec_token=TBmPrNsEp7sytnt8BzCMtNTZj2EATODNkWEDVdNJV_P3A=&amp;xsec_source=pc_trdark")</f>
        <v>0.0</v>
      </c>
      <c r="D895" t="inlineStr">
        <is>
          <t>鲜水湾甄选</t>
        </is>
      </c>
      <c r="E895" t="inlineStr">
        <is>
          <t>27401929161</t>
        </is>
      </c>
      <c r="F895" t="inlineStr">
        <is>
          <t>2026-02-26 13:23:22</t>
        </is>
      </c>
      <c r="G895" t="inlineStr">
        <is>
          <t>图文</t>
        </is>
      </c>
      <c r="H895" t="inlineStr">
        <is>
          <t>北极甜虾头籽甜虾元宝虾北极熊冰虾孕妈妈宝宝辅食顺丰</t>
        </is>
      </c>
      <c r="I895" t="inlineStr">
        <is>
          <t>6953717eb8f0bb000115158d</t>
        </is>
      </c>
      <c r="J895" t="inlineStr">
        <is>
          <t/>
        </is>
      </c>
      <c r="K895" t="n">
        <v>0.0</v>
      </c>
      <c r="L895" t="n">
        <v>0.0</v>
      </c>
      <c r="M895" t="n">
        <v>0.0</v>
      </c>
      <c r="N895" t="inlineStr">
        <is>
          <t/>
        </is>
      </c>
      <c r="O895" t="n">
        <v>0.0</v>
      </c>
      <c r="P895" t="n">
        <v>0.0</v>
      </c>
      <c r="Q895" t="inlineStr">
        <is>
          <t/>
        </is>
      </c>
      <c r="R895" t="inlineStr">
        <is>
          <t/>
        </is>
      </c>
      <c r="S895" t="n">
        <v>0.0</v>
      </c>
      <c r="T895" t="n">
        <v>0.0</v>
      </c>
      <c r="U895" t="n">
        <v>0.0</v>
      </c>
      <c r="V895" t="n">
        <v>0.0</v>
      </c>
      <c r="W895" t="inlineStr">
        <is>
          <t/>
        </is>
      </c>
      <c r="X895" t="n">
        <v>0.0</v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n">
        <v>0.0</v>
      </c>
      <c r="AI895" t="n">
        <v>0.0</v>
      </c>
      <c r="AJ895" t="n">
        <v>0.0</v>
      </c>
      <c r="AK895" t="inlineStr">
        <is>
          <t/>
        </is>
      </c>
      <c r="AL895" t="inlineStr">
        <is>
          <t/>
        </is>
      </c>
    </row>
    <row r="896">
      <c r="A896" t="inlineStr">
        <is>
          <t>年后控体，我就这样吃！</t>
        </is>
      </c>
      <c r="B896" t="inlineStr">
        <is>
          <t>699fd576000000001a020e66</t>
        </is>
      </c>
      <c r="C896" s="895" t="n">
        <f>HYPERLINK("https://www.xiaohongshu.com/explore/699fd576000000001a020e66?xsec_token=TBmPrNsEp7sytnt8BzCMtNTQgQ3Vb5xIjTVs5OPmtWhyI=&amp;xsec_source=pc_trdark","https://www.xiaohongshu.com/explore/699fd576000000001a020e66?xsec_token=TBmPrNsEp7sytnt8BzCMtNTQgQ3Vb5xIjTVs5OPmtWhyI=&amp;xsec_source=pc_trdark")</f>
        <v>0.0</v>
      </c>
      <c r="D896" t="inlineStr">
        <is>
          <t>鲜水湾</t>
        </is>
      </c>
      <c r="E896" t="inlineStr">
        <is>
          <t>49316638994</t>
        </is>
      </c>
      <c r="F896" t="inlineStr">
        <is>
          <t>2026-02-26 13:09:11</t>
        </is>
      </c>
      <c r="G896" t="inlineStr">
        <is>
          <t>图文</t>
        </is>
      </c>
      <c r="H896" t="inlineStr">
        <is>
          <t>手剥虾仁 无冰衣无添加 低脂餐一人食 上班带饭 顺丰包邮 5盒装</t>
        </is>
      </c>
      <c r="I896" t="inlineStr">
        <is>
          <t>694baba01d450d00013662f0</t>
        </is>
      </c>
      <c r="J896" t="inlineStr">
        <is>
          <t/>
        </is>
      </c>
      <c r="K896" t="n">
        <v>0.0</v>
      </c>
      <c r="L896" t="n">
        <v>0.0</v>
      </c>
      <c r="M896" t="n">
        <v>0.0</v>
      </c>
      <c r="N896" t="inlineStr">
        <is>
          <t/>
        </is>
      </c>
      <c r="O896" t="n">
        <v>0.0</v>
      </c>
      <c r="P896" t="n">
        <v>0.0</v>
      </c>
      <c r="Q896" t="inlineStr">
        <is>
          <t/>
        </is>
      </c>
      <c r="R896" t="inlineStr">
        <is>
          <t/>
        </is>
      </c>
      <c r="S896" t="n">
        <v>0.0</v>
      </c>
      <c r="T896" t="n">
        <v>0.0</v>
      </c>
      <c r="U896" t="n">
        <v>0.0</v>
      </c>
      <c r="V896" t="n">
        <v>0.0</v>
      </c>
      <c r="W896" t="inlineStr">
        <is>
          <t/>
        </is>
      </c>
      <c r="X896" t="n">
        <v>0.0</v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n">
        <v>0.0</v>
      </c>
      <c r="AI896" t="n">
        <v>0.0</v>
      </c>
      <c r="AJ896" t="n">
        <v>0.0</v>
      </c>
      <c r="AK896" t="inlineStr">
        <is>
          <t/>
        </is>
      </c>
      <c r="AL896" t="inlineStr">
        <is>
          <t/>
        </is>
      </c>
    </row>
    <row r="897">
      <c r="A897" t="inlineStr">
        <is>
          <t>管理期快乐主食，热量比鸡胸肉还低！！</t>
        </is>
      </c>
      <c r="B897" t="inlineStr">
        <is>
          <t>699fa53f000000000e00c7f9</t>
        </is>
      </c>
      <c r="C897" s="896" t="n">
        <f>HYPERLINK("https://www.xiaohongshu.com/explore/699fa53f000000000e00c7f9?xsec_token=TBmPrNsEp7sytnt8BzCMtNTYR-3h72DyI7DMt9dUng1xU=&amp;xsec_source=pc_trdark","https://www.xiaohongshu.com/explore/699fa53f000000000e00c7f9?xsec_token=TBmPrNsEp7sytnt8BzCMtNTYR-3h72DyI7DMt9dUng1xU=&amp;xsec_source=pc_trdark")</f>
        <v>0.0</v>
      </c>
      <c r="D897" t="inlineStr">
        <is>
          <t>鲜水湾</t>
        </is>
      </c>
      <c r="E897" t="inlineStr">
        <is>
          <t>49316638994</t>
        </is>
      </c>
      <c r="F897" t="inlineStr">
        <is>
          <t>2026-02-26 09:43:27</t>
        </is>
      </c>
      <c r="G897" t="inlineStr">
        <is>
          <t>图文</t>
        </is>
      </c>
      <c r="H897" t="inlineStr">
        <is>
          <t>大虾基围虾王牌大虾厄瓜多尔白虾盐冻虾仁海洋大虾送礼顺丰包邮</t>
        </is>
      </c>
      <c r="I897" t="inlineStr">
        <is>
          <t>690aeb7be379430001e686ac</t>
        </is>
      </c>
      <c r="J897" t="inlineStr">
        <is>
          <t/>
        </is>
      </c>
      <c r="K897" t="n">
        <v>0.0</v>
      </c>
      <c r="L897" t="n">
        <v>0.0</v>
      </c>
      <c r="M897" t="n">
        <v>0.0</v>
      </c>
      <c r="N897" t="inlineStr">
        <is>
          <t/>
        </is>
      </c>
      <c r="O897" t="n">
        <v>0.0</v>
      </c>
      <c r="P897" t="n">
        <v>0.0</v>
      </c>
      <c r="Q897" t="inlineStr">
        <is>
          <t/>
        </is>
      </c>
      <c r="R897" t="inlineStr">
        <is>
          <t/>
        </is>
      </c>
      <c r="S897" t="n">
        <v>0.0</v>
      </c>
      <c r="T897" t="n">
        <v>0.0</v>
      </c>
      <c r="U897" t="n">
        <v>0.0</v>
      </c>
      <c r="V897" t="n">
        <v>0.0</v>
      </c>
      <c r="W897" t="inlineStr">
        <is>
          <t/>
        </is>
      </c>
      <c r="X897" t="n">
        <v>0.0</v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n">
        <v>0.0</v>
      </c>
      <c r="AI897" t="n">
        <v>0.0</v>
      </c>
      <c r="AJ897" t="n">
        <v>0.0</v>
      </c>
      <c r="AK897" t="inlineStr">
        <is>
          <t/>
        </is>
      </c>
      <c r="AL897" t="inlineStr">
        <is>
          <t/>
        </is>
      </c>
    </row>
    <row r="898">
      <c r="A898" t="inlineStr">
        <is>
          <t>第一次直观感受到 70 块钱的威力</t>
        </is>
      </c>
      <c r="B898" t="inlineStr">
        <is>
          <t>699ec416000000001a03214d</t>
        </is>
      </c>
      <c r="C898" s="897" t="n">
        <f>HYPERLINK("https://www.xiaohongshu.com/explore/699ec416000000001a03214d?xsec_token=TBggKgSP0tIUAtqBAPfP3mLfAUR-Rz_K3CwxcaHMVC0-E=&amp;xsec_source=pc_trdark","https://www.xiaohongshu.com/explore/699ec416000000001a03214d?xsec_token=TBggKgSP0tIUAtqBAPfP3mLfAUR-Rz_K3CwxcaHMVC0-E=&amp;xsec_source=pc_trdark")</f>
        <v>0.0</v>
      </c>
      <c r="D898" t="inlineStr">
        <is>
          <t>鲜水湾</t>
        </is>
      </c>
      <c r="E898" t="inlineStr">
        <is>
          <t>49316638994</t>
        </is>
      </c>
      <c r="F898" t="inlineStr">
        <is>
          <t>2026-02-25 17:42:46</t>
        </is>
      </c>
      <c r="G898" t="inlineStr">
        <is>
          <t>图文</t>
        </is>
      </c>
      <c r="H898" t="inlineStr">
        <is>
          <t>大虾基围虾王牌大虾厄瓜多尔白虾盐冻虾仁海洋大虾送礼顺丰包邮</t>
        </is>
      </c>
      <c r="I898" t="inlineStr">
        <is>
          <t>690aeb7be379430001e686ac</t>
        </is>
      </c>
      <c r="J898" t="inlineStr">
        <is>
          <t/>
        </is>
      </c>
      <c r="K898" t="n">
        <v>0.0</v>
      </c>
      <c r="L898" t="n">
        <v>0.0</v>
      </c>
      <c r="M898" t="n">
        <v>0.0</v>
      </c>
      <c r="N898" t="inlineStr">
        <is>
          <t/>
        </is>
      </c>
      <c r="O898" t="n">
        <v>0.0</v>
      </c>
      <c r="P898" t="n">
        <v>0.0</v>
      </c>
      <c r="Q898" t="inlineStr">
        <is>
          <t/>
        </is>
      </c>
      <c r="R898" t="inlineStr">
        <is>
          <t/>
        </is>
      </c>
      <c r="S898" t="n">
        <v>0.0</v>
      </c>
      <c r="T898" t="n">
        <v>0.0</v>
      </c>
      <c r="U898" t="n">
        <v>0.0</v>
      </c>
      <c r="V898" t="n">
        <v>0.0</v>
      </c>
      <c r="W898" t="inlineStr">
        <is>
          <t/>
        </is>
      </c>
      <c r="X898" t="n">
        <v>0.0</v>
      </c>
      <c r="Y898" t="n">
        <v>0.0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  <c r="AE898" t="n">
        <v>0.0</v>
      </c>
      <c r="AF898" t="n">
        <v>0.0</v>
      </c>
      <c r="AG898" t="n">
        <v>0.0</v>
      </c>
      <c r="AH898" t="n">
        <v>0.0</v>
      </c>
      <c r="AI898" t="n">
        <v>0.0</v>
      </c>
      <c r="AJ898" t="n">
        <v>0.0</v>
      </c>
      <c r="AK898" t="inlineStr">
        <is>
          <t/>
        </is>
      </c>
      <c r="AL898" t="inlineStr">
        <is>
          <t/>
        </is>
      </c>
    </row>
    <row r="899">
      <c r="A899" t="inlineStr">
        <is>
          <t>干干净净的大虾，年后控体又稳了👍🏻</t>
        </is>
      </c>
      <c r="B899" t="inlineStr">
        <is>
          <t>699eb76a000000001a01d105</t>
        </is>
      </c>
      <c r="C899" s="898" t="n">
        <f>HYPERLINK("https://www.xiaohongshu.com/explore/699eb76a000000001a01d105?xsec_token=TBggKgSP0tIUAtqBAPfP3mLUtD7ffnX5hrr4yU8gTva3M=&amp;xsec_source=pc_trdark","https://www.xiaohongshu.com/explore/699eb76a000000001a01d105?xsec_token=TBggKgSP0tIUAtqBAPfP3mLUtD7ffnX5hrr4yU8gTva3M=&amp;xsec_source=pc_trdark")</f>
        <v>0.0</v>
      </c>
      <c r="D899" t="inlineStr">
        <is>
          <t>鲜水湾</t>
        </is>
      </c>
      <c r="E899" t="inlineStr">
        <is>
          <t>49316638994</t>
        </is>
      </c>
      <c r="F899" t="inlineStr">
        <is>
          <t>2026-02-25 16:48:42</t>
        </is>
      </c>
      <c r="G899" t="inlineStr">
        <is>
          <t>图文</t>
        </is>
      </c>
      <c r="H899" t="inlineStr">
        <is>
          <t>大虾基围虾王牌大虾厄瓜多尔白虾盐冻虾仁海洋大虾送礼顺丰包邮</t>
        </is>
      </c>
      <c r="I899" t="inlineStr">
        <is>
          <t>690aeb7be379430001e686ac</t>
        </is>
      </c>
      <c r="J899" t="inlineStr">
        <is>
          <t/>
        </is>
      </c>
      <c r="K899" t="n">
        <v>0.0</v>
      </c>
      <c r="L899" t="n">
        <v>0.0</v>
      </c>
      <c r="M899" t="n">
        <v>0.0</v>
      </c>
      <c r="N899" t="inlineStr">
        <is>
          <t/>
        </is>
      </c>
      <c r="O899" t="n">
        <v>0.0</v>
      </c>
      <c r="P899" t="n">
        <v>0.0</v>
      </c>
      <c r="Q899" t="inlineStr">
        <is>
          <t/>
        </is>
      </c>
      <c r="R899" t="inlineStr">
        <is>
          <t/>
        </is>
      </c>
      <c r="S899" t="n">
        <v>0.0</v>
      </c>
      <c r="T899" t="n">
        <v>0.0</v>
      </c>
      <c r="U899" t="n">
        <v>0.0</v>
      </c>
      <c r="V899" t="n">
        <v>0.0</v>
      </c>
      <c r="W899" t="inlineStr">
        <is>
          <t/>
        </is>
      </c>
      <c r="X899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n">
        <v>0.0</v>
      </c>
      <c r="AH899" t="n">
        <v>0.0</v>
      </c>
      <c r="AI899" t="n">
        <v>0.0</v>
      </c>
      <c r="AJ899" t="n">
        <v>0.0</v>
      </c>
      <c r="AK899" t="inlineStr">
        <is>
          <t/>
        </is>
      </c>
      <c r="AL899" t="inlineStr">
        <is>
          <t/>
        </is>
      </c>
    </row>
    <row r="900">
      <c r="A900" t="inlineStr">
        <is>
          <t>瘦女淡饭🥣</t>
        </is>
      </c>
      <c r="B900" t="inlineStr">
        <is>
          <t>699ea65a000000001a030d01</t>
        </is>
      </c>
      <c r="C900" s="899" t="n">
        <f>HYPERLINK("https://www.xiaohongshu.com/explore/699ea65a000000001a030d01?xsec_token=TBggKgSP0tIUAtqBAPfP3mLfT0CLhuH5UVikjbYsB5rhs=&amp;xsec_source=pc_trdark","https://www.xiaohongshu.com/explore/699ea65a000000001a030d01?xsec_token=TBggKgSP0tIUAtqBAPfP3mLfT0CLhuH5UVikjbYsB5rhs=&amp;xsec_source=pc_trdark")</f>
        <v>0.0</v>
      </c>
      <c r="D900" t="inlineStr">
        <is>
          <t>鲜水湾</t>
        </is>
      </c>
      <c r="E900" t="inlineStr">
        <is>
          <t>49316638994</t>
        </is>
      </c>
      <c r="F900" t="inlineStr">
        <is>
          <t>2026-02-25 15:35:54</t>
        </is>
      </c>
      <c r="G900" t="inlineStr">
        <is>
          <t>图文</t>
        </is>
      </c>
      <c r="H900" t="inlineStr">
        <is>
          <t>大虾基围虾王牌大虾厄瓜多尔白虾盐冻虾仁海洋大虾送礼顺丰包邮</t>
        </is>
      </c>
      <c r="I900" t="inlineStr">
        <is>
          <t>690aeb7be379430001e686ac</t>
        </is>
      </c>
      <c r="J900" t="inlineStr">
        <is>
          <t/>
        </is>
      </c>
      <c r="K900" t="n">
        <v>0.0</v>
      </c>
      <c r="L900" t="n">
        <v>0.0</v>
      </c>
      <c r="M900" t="n">
        <v>0.0</v>
      </c>
      <c r="N900" t="inlineStr">
        <is>
          <t/>
        </is>
      </c>
      <c r="O900" t="n">
        <v>0.0</v>
      </c>
      <c r="P900" t="n">
        <v>0.0</v>
      </c>
      <c r="Q900" t="inlineStr">
        <is>
          <t/>
        </is>
      </c>
      <c r="R900" t="inlineStr">
        <is>
          <t/>
        </is>
      </c>
      <c r="S900" t="n">
        <v>0.0</v>
      </c>
      <c r="T900" t="n">
        <v>0.0</v>
      </c>
      <c r="U900" t="n">
        <v>0.0</v>
      </c>
      <c r="V900" t="n">
        <v>0.0</v>
      </c>
      <c r="W900" t="inlineStr">
        <is>
          <t/>
        </is>
      </c>
      <c r="X900" t="n">
        <v>0.0</v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  <c r="AK900" t="inlineStr">
        <is>
          <t/>
        </is>
      </c>
      <c r="AL900" t="inlineStr">
        <is>
          <t/>
        </is>
      </c>
    </row>
    <row r="901">
      <c r="A901" t="inlineStr">
        <is>
          <t>热量比鸡胸肉还低，年后控体就吃它！</t>
        </is>
      </c>
      <c r="B901" t="inlineStr">
        <is>
          <t>699e9161000000001a02a851</t>
        </is>
      </c>
      <c r="C901" s="900" t="n">
        <f>HYPERLINK("https://www.xiaohongshu.com/explore/699e9161000000001a02a851?xsec_token=TBggKgSP0tIUAtqBAPfP3mLfen2SEZ9nxre24UDSyJD2g=&amp;xsec_source=pc_trdark","https://www.xiaohongshu.com/explore/699e9161000000001a02a851?xsec_token=TBggKgSP0tIUAtqBAPfP3mLfen2SEZ9nxre24UDSyJD2g=&amp;xsec_source=pc_trdark")</f>
        <v>0.0</v>
      </c>
      <c r="D901" t="inlineStr">
        <is>
          <t>鲜水湾</t>
        </is>
      </c>
      <c r="E901" t="inlineStr">
        <is>
          <t>49316638994</t>
        </is>
      </c>
      <c r="F901" t="inlineStr">
        <is>
          <t>2026-02-25 14:06:25</t>
        </is>
      </c>
      <c r="G901" t="inlineStr">
        <is>
          <t>图文</t>
        </is>
      </c>
      <c r="H901" t="inlineStr">
        <is>
          <t>大虾基围虾王牌大虾厄瓜多尔白虾盐冻虾仁海洋大虾送礼顺丰包邮</t>
        </is>
      </c>
      <c r="I901" t="inlineStr">
        <is>
          <t>690aeb7be379430001e686ac</t>
        </is>
      </c>
      <c r="J901" t="inlineStr">
        <is>
          <t/>
        </is>
      </c>
      <c r="K901" t="n">
        <v>0.0</v>
      </c>
      <c r="L901" t="n">
        <v>0.0</v>
      </c>
      <c r="M901" t="n">
        <v>0.0</v>
      </c>
      <c r="N901" t="inlineStr">
        <is>
          <t/>
        </is>
      </c>
      <c r="O901" t="n">
        <v>0.0</v>
      </c>
      <c r="P901" t="n">
        <v>0.0</v>
      </c>
      <c r="Q901" t="inlineStr">
        <is>
          <t/>
        </is>
      </c>
      <c r="R901" t="inlineStr">
        <is>
          <t/>
        </is>
      </c>
      <c r="S901" t="n">
        <v>0.0</v>
      </c>
      <c r="T901" t="n">
        <v>0.0</v>
      </c>
      <c r="U901" t="n">
        <v>0.0</v>
      </c>
      <c r="V901" t="n">
        <v>0.0</v>
      </c>
      <c r="W901" t="inlineStr">
        <is>
          <t/>
        </is>
      </c>
      <c r="X901" t="n">
        <v>0.0</v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  <c r="AE901" t="n">
        <v>0.0</v>
      </c>
      <c r="AF901" t="n">
        <v>0.0</v>
      </c>
      <c r="AG901" t="n">
        <v>0.0</v>
      </c>
      <c r="AH901" t="n">
        <v>0.0</v>
      </c>
      <c r="AI901" t="n">
        <v>0.0</v>
      </c>
      <c r="AJ901" t="n">
        <v>0.0</v>
      </c>
      <c r="AK901" t="inlineStr">
        <is>
          <t/>
        </is>
      </c>
      <c r="AL901" t="inlineStr">
        <is>
          <t/>
        </is>
      </c>
    </row>
    <row r="902">
      <c r="A902" t="inlineStr">
        <is>
          <t>适合年后打工人的干净碳水出现了</t>
        </is>
      </c>
      <c r="B902" t="inlineStr">
        <is>
          <t>699e52ff000000000d00b62c</t>
        </is>
      </c>
      <c r="C902" s="901" t="n">
        <f>HYPERLINK("https://www.xiaohongshu.com/explore/699e52ff000000000d00b62c?xsec_token=TBggKgSP0tIUAtqBAPfP3mLbkFIcSncH0gYVbsSgMIb-4=&amp;xsec_source=pc_trdark","https://www.xiaohongshu.com/explore/699e52ff000000000d00b62c?xsec_token=TBggKgSP0tIUAtqBAPfP3mLbkFIcSncH0gYVbsSgMIb-4=&amp;xsec_source=pc_trdark")</f>
        <v>0.0</v>
      </c>
      <c r="D902" t="inlineStr">
        <is>
          <t>鲜水湾</t>
        </is>
      </c>
      <c r="E902" t="inlineStr">
        <is>
          <t>49316638994</t>
        </is>
      </c>
      <c r="F902" t="inlineStr">
        <is>
          <t>2026-02-25 09:40:15</t>
        </is>
      </c>
      <c r="G902" t="inlineStr">
        <is>
          <t>图文</t>
        </is>
      </c>
      <c r="H902" t="inlineStr">
        <is>
          <t>大虾基围虾王牌大虾厄瓜多尔白虾盐冻虾仁海洋大虾送礼顺丰包邮</t>
        </is>
      </c>
      <c r="I902" t="inlineStr">
        <is>
          <t>690aeb7be379430001e686ac</t>
        </is>
      </c>
      <c r="J902" t="inlineStr">
        <is>
          <t/>
        </is>
      </c>
      <c r="K902" t="n">
        <v>0.0</v>
      </c>
      <c r="L902" t="n">
        <v>0.0</v>
      </c>
      <c r="M902" t="n">
        <v>0.0</v>
      </c>
      <c r="N902" t="inlineStr">
        <is>
          <t/>
        </is>
      </c>
      <c r="O902" t="n">
        <v>0.0</v>
      </c>
      <c r="P902" t="n">
        <v>0.0</v>
      </c>
      <c r="Q902" t="inlineStr">
        <is>
          <t/>
        </is>
      </c>
      <c r="R902" t="inlineStr">
        <is>
          <t/>
        </is>
      </c>
      <c r="S902" t="n">
        <v>0.0</v>
      </c>
      <c r="T902" t="n">
        <v>0.0</v>
      </c>
      <c r="U902" t="n">
        <v>0.0</v>
      </c>
      <c r="V902" t="n">
        <v>0.0</v>
      </c>
      <c r="W902" t="inlineStr">
        <is>
          <t/>
        </is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n">
        <v>0.0</v>
      </c>
      <c r="AI902" t="n">
        <v>0.0</v>
      </c>
      <c r="AJ902" t="n">
        <v>0.0</v>
      </c>
      <c r="AK902" t="inlineStr">
        <is>
          <t/>
        </is>
      </c>
      <c r="AL902" t="inlineStr">
        <is>
          <t/>
        </is>
      </c>
    </row>
    <row r="903">
      <c r="A903" t="inlineStr">
        <is>
          <t>适合年后打工人的干净碳水出现了</t>
        </is>
      </c>
      <c r="B903" t="inlineStr">
        <is>
          <t>699e4b9e000000002603e3ac</t>
        </is>
      </c>
      <c r="C903" s="902" t="n">
        <f>HYPERLINK("https://www.xiaohongshu.com/explore/699e4b9e000000002603e3ac?xsec_token=TBggKgSP0tIUAtqBAPfP3mLXuNWFU7-rK5oPBa-Ib7KfQ=&amp;xsec_source=pc_trdark","https://www.xiaohongshu.com/explore/699e4b9e000000002603e3ac?xsec_token=TBggKgSP0tIUAtqBAPfP3mLXuNWFU7-rK5oPBa-Ib7KfQ=&amp;xsec_source=pc_trdark")</f>
        <v>0.0</v>
      </c>
      <c r="D903" t="inlineStr">
        <is>
          <t>鲜水湾甄选</t>
        </is>
      </c>
      <c r="E903" t="inlineStr">
        <is>
          <t>27401929161</t>
        </is>
      </c>
      <c r="F903" t="inlineStr">
        <is>
          <t>2026-02-25 09:08:46</t>
        </is>
      </c>
      <c r="G903" t="inlineStr">
        <is>
          <t>图文</t>
        </is>
      </c>
      <c r="H903" t="inlineStr">
        <is>
          <t>大虾基围虾王牌大虾厄瓜多尔白虾盐冻虾仁海洋大虾送礼顺丰包邮</t>
        </is>
      </c>
      <c r="I903" t="inlineStr">
        <is>
          <t>690aeb7be379430001e686ac</t>
        </is>
      </c>
      <c r="J903" t="inlineStr">
        <is>
          <t/>
        </is>
      </c>
      <c r="K903" t="n">
        <v>0.0</v>
      </c>
      <c r="L903" t="n">
        <v>0.0</v>
      </c>
      <c r="M903" t="n">
        <v>0.0</v>
      </c>
      <c r="N903" t="inlineStr">
        <is>
          <t/>
        </is>
      </c>
      <c r="O903" t="n">
        <v>0.0</v>
      </c>
      <c r="P903" t="n">
        <v>0.0</v>
      </c>
      <c r="Q903" t="inlineStr">
        <is>
          <t/>
        </is>
      </c>
      <c r="R903" t="inlineStr">
        <is>
          <t/>
        </is>
      </c>
      <c r="S903" t="n">
        <v>0.0</v>
      </c>
      <c r="T903" t="n">
        <v>0.0</v>
      </c>
      <c r="U903" t="n">
        <v>0.0</v>
      </c>
      <c r="V903" t="n">
        <v>0.0</v>
      </c>
      <c r="W903" t="inlineStr">
        <is>
          <t/>
        </is>
      </c>
      <c r="X903" t="n">
        <v>0.0</v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n">
        <v>0.0</v>
      </c>
      <c r="AI903" t="n">
        <v>0.0</v>
      </c>
      <c r="AJ903" t="n">
        <v>0.0</v>
      </c>
      <c r="AK903" t="inlineStr">
        <is>
          <t/>
        </is>
      </c>
      <c r="AL903" t="inlineStr">
        <is>
          <t/>
        </is>
      </c>
    </row>
    <row r="904">
      <c r="A904" t="inlineStr">
        <is>
          <t>果然是超市买不到的口感！！</t>
        </is>
      </c>
      <c r="B904" t="inlineStr">
        <is>
          <t>699d6e4f000000000e03c29c</t>
        </is>
      </c>
      <c r="C904" s="903" t="n">
        <f>HYPERLINK("https://www.xiaohongshu.com/explore/699d6e4f000000000e03c29c?xsec_token=TBeFZqWudA4ECFcaumXjqu0NhsQ3I0hlnhfhZOGAfEneQ=&amp;xsec_source=pc_trdark","https://www.xiaohongshu.com/explore/699d6e4f000000000e03c29c?xsec_token=TBeFZqWudA4ECFcaumXjqu0NhsQ3I0hlnhfhZOGAfEneQ=&amp;xsec_source=pc_trdark")</f>
        <v>0.0</v>
      </c>
      <c r="D904" t="inlineStr">
        <is>
          <t>鲜水湾</t>
        </is>
      </c>
      <c r="E904" t="inlineStr">
        <is>
          <t>49316638994</t>
        </is>
      </c>
      <c r="F904" t="inlineStr">
        <is>
          <t>2026-02-24 17:24:31</t>
        </is>
      </c>
      <c r="G904" t="inlineStr">
        <is>
          <t>图文</t>
        </is>
      </c>
      <c r="H904" t="inlineStr">
        <is>
          <t>大虾基围虾王牌大虾厄瓜多尔白虾盐冻虾仁海洋大虾送礼顺丰包邮</t>
        </is>
      </c>
      <c r="I904" t="inlineStr">
        <is>
          <t>690aeb7be379430001e686ac</t>
        </is>
      </c>
      <c r="J904" t="inlineStr">
        <is>
          <t/>
        </is>
      </c>
      <c r="K904" t="n">
        <v>0.0</v>
      </c>
      <c r="L904" t="n">
        <v>0.0</v>
      </c>
      <c r="M904" t="n">
        <v>0.0</v>
      </c>
      <c r="N904" t="inlineStr">
        <is>
          <t/>
        </is>
      </c>
      <c r="O904" t="n">
        <v>0.0</v>
      </c>
      <c r="P904" t="n">
        <v>0.0</v>
      </c>
      <c r="Q904" t="inlineStr">
        <is>
          <t/>
        </is>
      </c>
      <c r="R904" t="inlineStr">
        <is>
          <t/>
        </is>
      </c>
      <c r="S904" t="n">
        <v>0.0</v>
      </c>
      <c r="T904" t="n">
        <v>0.0</v>
      </c>
      <c r="U904" t="n">
        <v>0.0</v>
      </c>
      <c r="V904" t="n">
        <v>0.0</v>
      </c>
      <c r="W904" t="inlineStr">
        <is>
          <t/>
        </is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inlineStr">
        <is>
          <t/>
        </is>
      </c>
      <c r="AL904" t="inlineStr">
        <is>
          <t/>
        </is>
      </c>
    </row>
    <row r="905">
      <c r="A905" t="inlineStr">
        <is>
          <t>继续回购，区区69就搞定一周减脂餐～</t>
        </is>
      </c>
      <c r="B905" t="inlineStr">
        <is>
          <t>699d3bed000000000e03d6a7</t>
        </is>
      </c>
      <c r="C905" s="904" t="n">
        <f>HYPERLINK("https://www.xiaohongshu.com/explore/699d3bed000000000e03d6a7?xsec_token=TBeFZqWudA4ECFcaumXjqu0PN5vvK74rRMyla_lNUiTZI=&amp;xsec_source=pc_trdark","https://www.xiaohongshu.com/explore/699d3bed000000000e03d6a7?xsec_token=TBeFZqWudA4ECFcaumXjqu0PN5vvK74rRMyla_lNUiTZI=&amp;xsec_source=pc_trdark")</f>
        <v>0.0</v>
      </c>
      <c r="D905" t="inlineStr">
        <is>
          <t>鲜水湾</t>
        </is>
      </c>
      <c r="E905" t="inlineStr">
        <is>
          <t>49316638994</t>
        </is>
      </c>
      <c r="F905" t="inlineStr">
        <is>
          <t>2026-02-24 13:49:33</t>
        </is>
      </c>
      <c r="G905" t="inlineStr">
        <is>
          <t>图文</t>
        </is>
      </c>
      <c r="H905" t="inlineStr">
        <is>
          <t>大虾基围虾王牌大虾厄瓜多尔白虾盐冻虾仁海洋大虾送礼顺丰包邮</t>
        </is>
      </c>
      <c r="I905" t="inlineStr">
        <is>
          <t>690aeb7be379430001e686ac</t>
        </is>
      </c>
      <c r="J905" t="inlineStr">
        <is>
          <t/>
        </is>
      </c>
      <c r="K905" t="n">
        <v>0.0</v>
      </c>
      <c r="L905" t="n">
        <v>0.0</v>
      </c>
      <c r="M905" t="n">
        <v>0.0</v>
      </c>
      <c r="N905" t="inlineStr">
        <is>
          <t/>
        </is>
      </c>
      <c r="O905" t="n">
        <v>0.0</v>
      </c>
      <c r="P905" t="n">
        <v>0.0</v>
      </c>
      <c r="Q905" t="inlineStr">
        <is>
          <t/>
        </is>
      </c>
      <c r="R905" t="inlineStr">
        <is>
          <t/>
        </is>
      </c>
      <c r="S905" t="n">
        <v>0.0</v>
      </c>
      <c r="T905" t="n">
        <v>0.0</v>
      </c>
      <c r="U905" t="n">
        <v>0.0</v>
      </c>
      <c r="V905" t="n">
        <v>0.0</v>
      </c>
      <c r="W905" t="inlineStr">
        <is>
          <t/>
        </is>
      </c>
      <c r="X905" t="n">
        <v>0.0</v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0.0</v>
      </c>
      <c r="AK905" t="inlineStr">
        <is>
          <t/>
        </is>
      </c>
      <c r="AL905" t="inlineStr">
        <is>
          <t/>
        </is>
      </c>
    </row>
    <row r="906">
      <c r="A906" t="inlineStr">
        <is>
          <t>年后减脂真不多，区区69块够吃一周了!</t>
        </is>
      </c>
      <c r="B906" t="inlineStr">
        <is>
          <t>699d3854000000001a02580e</t>
        </is>
      </c>
      <c r="C906" s="905" t="n">
        <f>HYPERLINK("https://www.xiaohongshu.com/explore/699d3854000000001a02580e?xsec_token=TBeFZqWudA4ECFcaumXjqu0PtoMl0gr7cybqsjyWxf1Ww=&amp;xsec_source=pc_trdark","https://www.xiaohongshu.com/explore/699d3854000000001a02580e?xsec_token=TBeFZqWudA4ECFcaumXjqu0PtoMl0gr7cybqsjyWxf1Ww=&amp;xsec_source=pc_trdark")</f>
        <v>0.0</v>
      </c>
      <c r="D906" t="inlineStr">
        <is>
          <t>鲜水湾</t>
        </is>
      </c>
      <c r="E906" t="inlineStr">
        <is>
          <t>49316638994</t>
        </is>
      </c>
      <c r="F906" t="inlineStr">
        <is>
          <t>2026-02-24 13:34:12</t>
        </is>
      </c>
      <c r="G906" t="inlineStr">
        <is>
          <t>图文</t>
        </is>
      </c>
      <c r="H906" t="inlineStr">
        <is>
          <t>大虾基围虾王牌大虾厄瓜多尔白虾盐冻虾仁海洋大虾送礼顺丰包邮</t>
        </is>
      </c>
      <c r="I906" t="inlineStr">
        <is>
          <t>690aeb7be379430001e686ac</t>
        </is>
      </c>
      <c r="J906" t="inlineStr">
        <is>
          <t/>
        </is>
      </c>
      <c r="K906" t="n">
        <v>0.0</v>
      </c>
      <c r="L906" t="n">
        <v>0.0</v>
      </c>
      <c r="M906" t="n">
        <v>0.0</v>
      </c>
      <c r="N906" t="inlineStr">
        <is>
          <t/>
        </is>
      </c>
      <c r="O906" t="n">
        <v>0.0</v>
      </c>
      <c r="P906" t="n">
        <v>0.0</v>
      </c>
      <c r="Q906" t="inlineStr">
        <is>
          <t/>
        </is>
      </c>
      <c r="R906" t="inlineStr">
        <is>
          <t/>
        </is>
      </c>
      <c r="S906" t="n">
        <v>0.0</v>
      </c>
      <c r="T906" t="n">
        <v>0.0</v>
      </c>
      <c r="U906" t="n">
        <v>0.0</v>
      </c>
      <c r="V906" t="n">
        <v>0.0</v>
      </c>
      <c r="W906" t="inlineStr">
        <is>
          <t/>
        </is>
      </c>
      <c r="X906" t="n">
        <v>0.0</v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n">
        <v>0.0</v>
      </c>
      <c r="AI906" t="n">
        <v>0.0</v>
      </c>
      <c r="AJ906" t="n">
        <v>0.0</v>
      </c>
      <c r="AK906" t="inlineStr">
        <is>
          <t/>
        </is>
      </c>
      <c r="AL906" t="inlineStr">
        <is>
          <t/>
        </is>
      </c>
    </row>
    <row r="907">
      <c r="A907" t="inlineStr">
        <is>
          <t>冬天上班就这么吃，裤子都穿不住了</t>
        </is>
      </c>
      <c r="B907" t="inlineStr">
        <is>
          <t>69998adb000000001a0298c7</t>
        </is>
      </c>
      <c r="C907" s="906" t="n">
        <f>HYPERLINK("https://www.xiaohongshu.com/explore/69998adb000000001a0298c7?xsec_token=TBAfDGKDuzeCZ7_t6xBolPunj4US8MG6VrW6Te24ux3vc=&amp;xsec_source=pc_trdark","https://www.xiaohongshu.com/explore/69998adb000000001a0298c7?xsec_token=TBAfDGKDuzeCZ7_t6xBolPunj4US8MG6VrW6Te24ux3vc=&amp;xsec_source=pc_trdark")</f>
        <v>0.0</v>
      </c>
      <c r="D907" t="inlineStr">
        <is>
          <t>鲜水湾</t>
        </is>
      </c>
      <c r="E907" t="inlineStr">
        <is>
          <t>49316638994</t>
        </is>
      </c>
      <c r="F907" t="inlineStr">
        <is>
          <t>2026-02-21 18:37:15</t>
        </is>
      </c>
      <c r="G907" t="inlineStr">
        <is>
          <t>图文</t>
        </is>
      </c>
      <c r="H907" t="inlineStr">
        <is>
          <t>大虾基围虾王牌大虾厄瓜多尔白虾盐冻虾仁海洋大虾送礼顺丰包邮</t>
        </is>
      </c>
      <c r="I907" t="inlineStr">
        <is>
          <t>690aeb7be379430001e686ac</t>
        </is>
      </c>
      <c r="J907" t="inlineStr">
        <is>
          <t/>
        </is>
      </c>
      <c r="K907" t="n">
        <v>0.0</v>
      </c>
      <c r="L907" t="n">
        <v>0.0</v>
      </c>
      <c r="M907" t="n">
        <v>0.0</v>
      </c>
      <c r="N907" t="inlineStr">
        <is>
          <t/>
        </is>
      </c>
      <c r="O907" t="n">
        <v>0.0</v>
      </c>
      <c r="P907" t="n">
        <v>0.0</v>
      </c>
      <c r="Q907" t="inlineStr">
        <is>
          <t/>
        </is>
      </c>
      <c r="R907" t="inlineStr">
        <is>
          <t/>
        </is>
      </c>
      <c r="S907" t="n">
        <v>0.0</v>
      </c>
      <c r="T907" t="n">
        <v>0.0</v>
      </c>
      <c r="U907" t="n">
        <v>0.0</v>
      </c>
      <c r="V907" t="n">
        <v>0.0</v>
      </c>
      <c r="W907" t="inlineStr">
        <is>
          <t/>
        </is>
      </c>
      <c r="X907" t="n">
        <v>0.0</v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  <c r="AK907" t="inlineStr">
        <is>
          <t/>
        </is>
      </c>
      <c r="AL907" t="inlineStr">
        <is>
          <t/>
        </is>
      </c>
    </row>
    <row r="908">
      <c r="A908" t="inlineStr">
        <is>
          <t>我私教都在吃的高蛋白三文鱼，绝了！</t>
        </is>
      </c>
      <c r="B908" t="inlineStr">
        <is>
          <t>698ec44b000000001a0270c5</t>
        </is>
      </c>
      <c r="C908" s="907" t="n">
        <f>HYPERLINK("https://www.xiaohongshu.com/explore/698ec44b000000001a0270c5?xsec_token=TBNIhd8Wg4_l-WeAs5DLBNd1P-GAp89CM_CuklhTyX0rU=&amp;xsec_source=pc_trdark","https://www.xiaohongshu.com/explore/698ec44b000000001a0270c5?xsec_token=TBNIhd8Wg4_l-WeAs5DLBNd1P-GAp89CM_CuklhTyX0rU=&amp;xsec_source=pc_trdark")</f>
        <v>0.0</v>
      </c>
      <c r="D908" t="inlineStr">
        <is>
          <t>鲜水湾</t>
        </is>
      </c>
      <c r="E908" t="inlineStr">
        <is>
          <t>49316638994</t>
        </is>
      </c>
      <c r="F908" t="inlineStr">
        <is>
          <t>2026-02-13 14:27:23</t>
        </is>
      </c>
      <c r="G908" t="inlineStr">
        <is>
          <t>图文</t>
        </is>
      </c>
      <c r="H908" t="inlineStr">
        <is>
          <t>智利三文鱼切块·整条三文鱼·深海鱼一人食健康饮食</t>
        </is>
      </c>
      <c r="I908" t="inlineStr">
        <is>
          <t>691ac562a524ee0001b51d7b</t>
        </is>
      </c>
      <c r="J908" t="inlineStr">
        <is>
          <t/>
        </is>
      </c>
      <c r="K908" t="n">
        <v>0.0</v>
      </c>
      <c r="L908" t="n">
        <v>0.0</v>
      </c>
      <c r="M908" t="n">
        <v>0.0</v>
      </c>
      <c r="N908" t="inlineStr">
        <is>
          <t/>
        </is>
      </c>
      <c r="O908" t="n">
        <v>0.0</v>
      </c>
      <c r="P908" t="n">
        <v>0.0</v>
      </c>
      <c r="Q908" t="inlineStr">
        <is>
          <t/>
        </is>
      </c>
      <c r="R908" t="inlineStr">
        <is>
          <t/>
        </is>
      </c>
      <c r="S908" t="n">
        <v>0.0</v>
      </c>
      <c r="T908" t="n">
        <v>0.0</v>
      </c>
      <c r="U908" t="n">
        <v>0.0</v>
      </c>
      <c r="V908" t="n">
        <v>0.0</v>
      </c>
      <c r="W908" t="inlineStr">
        <is>
          <t/>
        </is>
      </c>
      <c r="X908" t="n">
        <v>0.0</v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n">
        <v>0.0</v>
      </c>
      <c r="AI908" t="n">
        <v>0.0</v>
      </c>
      <c r="AJ908" t="n">
        <v>0.0</v>
      </c>
      <c r="AK908" t="inlineStr">
        <is>
          <t/>
        </is>
      </c>
      <c r="AL908" t="inlineStr">
        <is>
          <t/>
        </is>
      </c>
    </row>
    <row r="909">
      <c r="A909" t="inlineStr">
        <is>
          <t>这个整条三文鱼还是太超前了</t>
        </is>
      </c>
      <c r="B909" t="inlineStr">
        <is>
          <t>698c4a7f000000001a0245b9</t>
        </is>
      </c>
      <c r="C909" s="908" t="n">
        <f>HYPERLINK("https://www.xiaohongshu.com/explore/698c4a7f000000001a0245b9?xsec_token=TBpbSmv2Dvzozu0JyB91ReC66B6SXpbUkYoSr5rurwqSQ=&amp;xsec_source=pc_trdark","https://www.xiaohongshu.com/explore/698c4a7f000000001a0245b9?xsec_token=TBpbSmv2Dvzozu0JyB91ReC66B6SXpbUkYoSr5rurwqSQ=&amp;xsec_source=pc_trdark")</f>
        <v>0.0</v>
      </c>
      <c r="D909" t="inlineStr">
        <is>
          <t>鲜水湾</t>
        </is>
      </c>
      <c r="E909" t="inlineStr">
        <is>
          <t>49316638994</t>
        </is>
      </c>
      <c r="F909" t="inlineStr">
        <is>
          <t>2026-02-11 17:23:11</t>
        </is>
      </c>
      <c r="G909" t="inlineStr">
        <is>
          <t>图文</t>
        </is>
      </c>
      <c r="H909" t="inlineStr">
        <is>
          <t>智利三文鱼切块·整条三文鱼·深海鱼一人食健康饮食</t>
        </is>
      </c>
      <c r="I909" t="inlineStr">
        <is>
          <t>691ac562a524ee0001b51d7b</t>
        </is>
      </c>
      <c r="J909" t="inlineStr">
        <is>
          <t/>
        </is>
      </c>
      <c r="K909" t="n">
        <v>0.0</v>
      </c>
      <c r="L909" t="n">
        <v>0.0</v>
      </c>
      <c r="M909" t="n">
        <v>0.0</v>
      </c>
      <c r="N909" t="inlineStr">
        <is>
          <t/>
        </is>
      </c>
      <c r="O909" t="n">
        <v>0.0</v>
      </c>
      <c r="P909" t="n">
        <v>0.0</v>
      </c>
      <c r="Q909" t="inlineStr">
        <is>
          <t/>
        </is>
      </c>
      <c r="R909" t="inlineStr">
        <is>
          <t/>
        </is>
      </c>
      <c r="S909" t="n">
        <v>0.0</v>
      </c>
      <c r="T909" t="n">
        <v>0.0</v>
      </c>
      <c r="U909" t="n">
        <v>0.0</v>
      </c>
      <c r="V909" t="n">
        <v>0.0</v>
      </c>
      <c r="W909" t="inlineStr">
        <is>
          <t/>
        </is>
      </c>
      <c r="X909" t="n">
        <v>0.0</v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n">
        <v>0.0</v>
      </c>
      <c r="AI909" t="n">
        <v>0.0</v>
      </c>
      <c r="AJ909" t="n">
        <v>0.0</v>
      </c>
      <c r="AK909" t="inlineStr">
        <is>
          <t/>
        </is>
      </c>
      <c r="AL909" t="inlineStr">
        <is>
          <t/>
        </is>
      </c>
    </row>
    <row r="910">
      <c r="A910" t="inlineStr">
        <is>
          <t>今年不送烟酒了！整条三文鱼，长辈都说太高级</t>
        </is>
      </c>
      <c r="B910" t="inlineStr">
        <is>
          <t>698c1349000000002801ff47</t>
        </is>
      </c>
      <c r="C910" s="909" t="n">
        <f>HYPERLINK("https://www.xiaohongshu.com/explore/698c1349000000002801ff47?xsec_token=TBpbSmv2Dvzozu0JyB91ReCzbSBE-1-TQJzqMrWZBehkY=&amp;xsec_source=pc_trdark","https://www.xiaohongshu.com/explore/698c1349000000002801ff47?xsec_token=TBpbSmv2Dvzozu0JyB91ReCzbSBE-1-TQJzqMrWZBehkY=&amp;xsec_source=pc_trdark")</f>
        <v>0.0</v>
      </c>
      <c r="D910" t="inlineStr">
        <is>
          <t>鲜水湾</t>
        </is>
      </c>
      <c r="E910" t="inlineStr">
        <is>
          <t>49316638994</t>
        </is>
      </c>
      <c r="F910" t="inlineStr">
        <is>
          <t>2026-02-11 13:27:37</t>
        </is>
      </c>
      <c r="G910" t="inlineStr">
        <is>
          <t>图文</t>
        </is>
      </c>
      <c r="H910" t="inlineStr">
        <is>
          <t>智利三文鱼切块·整条三文鱼·深海鱼一人食健康饮食</t>
        </is>
      </c>
      <c r="I910" t="inlineStr">
        <is>
          <t>691ac562a524ee0001b51d7b</t>
        </is>
      </c>
      <c r="J910" t="inlineStr">
        <is>
          <t/>
        </is>
      </c>
      <c r="K910" t="n">
        <v>0.0</v>
      </c>
      <c r="L910" t="n">
        <v>0.0</v>
      </c>
      <c r="M910" t="n">
        <v>0.0</v>
      </c>
      <c r="N910" t="inlineStr">
        <is>
          <t/>
        </is>
      </c>
      <c r="O910" t="n">
        <v>0.0</v>
      </c>
      <c r="P910" t="n">
        <v>0.0</v>
      </c>
      <c r="Q910" t="inlineStr">
        <is>
          <t/>
        </is>
      </c>
      <c r="R910" t="inlineStr">
        <is>
          <t/>
        </is>
      </c>
      <c r="S910" t="n">
        <v>0.0</v>
      </c>
      <c r="T910" t="n">
        <v>0.0</v>
      </c>
      <c r="U910" t="n">
        <v>0.0</v>
      </c>
      <c r="V910" t="n">
        <v>0.0</v>
      </c>
      <c r="W910" t="inlineStr">
        <is>
          <t/>
        </is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n">
        <v>0.0</v>
      </c>
      <c r="AI910" t="n">
        <v>0.0</v>
      </c>
      <c r="AJ910" t="n">
        <v>0.0</v>
      </c>
      <c r="AK910" t="inlineStr">
        <is>
          <t/>
        </is>
      </c>
      <c r="AL910" t="inlineStr">
        <is>
          <t/>
        </is>
      </c>
    </row>
    <row r="911">
      <c r="A911" t="inlineStr">
        <is>
          <t>威海文旅你到是抓紧宣传啊！已经口感巅峰期</t>
        </is>
      </c>
      <c r="B911" t="inlineStr">
        <is>
          <t>698bee7a000000002801ec1a</t>
        </is>
      </c>
      <c r="C911" s="910" t="n">
        <f>HYPERLINK("https://www.xiaohongshu.com/explore/698bee7a000000002801ec1a?xsec_token=TBaxNaL0i9x3ULjrtJNOAFMStkSnnx91LwVE8ICrMdnKs=&amp;xsec_source=pc_trdark","https://www.xiaohongshu.com/explore/698bee7a000000002801ec1a?xsec_token=TBaxNaL0i9x3ULjrtJNOAFMStkSnnx91LwVE8ICrMdnKs=&amp;xsec_source=pc_trdark")</f>
        <v>0.0</v>
      </c>
      <c r="D911" t="inlineStr">
        <is>
          <t>婉婉上班吃什么</t>
        </is>
      </c>
      <c r="E911" t="inlineStr">
        <is>
          <t>11434449706</t>
        </is>
      </c>
      <c r="F911" t="inlineStr">
        <is>
          <t>2026-02-11 10:50:34</t>
        </is>
      </c>
      <c r="G911" t="inlineStr">
        <is>
          <t>图文</t>
        </is>
      </c>
      <c r="H911" t="inlineStr">
        <is>
          <t>生蚝乳山生蚝海蛎子顺丰包邮</t>
        </is>
      </c>
      <c r="I911" t="inlineStr">
        <is>
          <t>690c70971b787900010866cc</t>
        </is>
      </c>
      <c r="J911" t="inlineStr">
        <is>
          <t/>
        </is>
      </c>
      <c r="K911" t="n">
        <v>0.0</v>
      </c>
      <c r="L911" t="n">
        <v>0.0</v>
      </c>
      <c r="M911" t="n">
        <v>0.0</v>
      </c>
      <c r="N911" t="inlineStr">
        <is>
          <t/>
        </is>
      </c>
      <c r="O911" t="n">
        <v>0.0</v>
      </c>
      <c r="P911" t="n">
        <v>0.0</v>
      </c>
      <c r="Q911" t="inlineStr">
        <is>
          <t/>
        </is>
      </c>
      <c r="R911" t="inlineStr">
        <is>
          <t/>
        </is>
      </c>
      <c r="S911" t="n">
        <v>0.0</v>
      </c>
      <c r="T911" t="n">
        <v>0.0</v>
      </c>
      <c r="U911" t="n">
        <v>0.0</v>
      </c>
      <c r="V911" t="n">
        <v>0.0</v>
      </c>
      <c r="W911" t="inlineStr">
        <is>
          <t/>
        </is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  <c r="AE911" t="n">
        <v>0.0</v>
      </c>
      <c r="AF911" t="n">
        <v>0.0</v>
      </c>
      <c r="AG911" t="n">
        <v>0.0</v>
      </c>
      <c r="AH911" t="n">
        <v>0.0</v>
      </c>
      <c r="AI911" t="n">
        <v>0.0</v>
      </c>
      <c r="AJ911" t="n">
        <v>0.0</v>
      </c>
      <c r="AK911" t="inlineStr">
        <is>
          <t/>
        </is>
      </c>
      <c r="AL911" t="inlineStr">
        <is>
          <t/>
        </is>
      </c>
    </row>
    <row r="912">
      <c r="A912" t="inlineStr">
        <is>
          <t>威海发过来的！被爸妈夸了一整天！</t>
        </is>
      </c>
      <c r="B912" t="inlineStr">
        <is>
          <t>698af796000000000e00e89c</t>
        </is>
      </c>
      <c r="C912" s="911" t="n">
        <f>HYPERLINK("https://www.xiaohongshu.com/explore/698af796000000000e00e89c?xsec_token=TBG0mKfxVH0N0QJz26OSUyhYk527tJDzH_EA7rtS3MCmk=&amp;xsec_source=pc_trdark","https://www.xiaohongshu.com/explore/698af796000000000e00e89c?xsec_token=TBG0mKfxVH0N0QJz26OSUyhYk527tJDzH_EA7rtS3MCmk=&amp;xsec_source=pc_trdark")</f>
        <v>0.0</v>
      </c>
      <c r="D912" t="inlineStr">
        <is>
          <t>鲜水湾</t>
        </is>
      </c>
      <c r="E912" t="inlineStr">
        <is>
          <t>49316638994</t>
        </is>
      </c>
      <c r="F912" t="inlineStr">
        <is>
          <t>2026-02-10 17:17:10</t>
        </is>
      </c>
      <c r="G912" t="inlineStr">
        <is>
          <t>图文</t>
        </is>
      </c>
      <c r="H912" t="inlineStr">
        <is>
          <t>生蚝乳山生蚝海蛎子顺丰包邮</t>
        </is>
      </c>
      <c r="I912" t="inlineStr">
        <is>
          <t>690c70971b787900010866cc</t>
        </is>
      </c>
      <c r="J912" t="inlineStr">
        <is>
          <t/>
        </is>
      </c>
      <c r="K912" t="n">
        <v>0.0</v>
      </c>
      <c r="L912" t="n">
        <v>0.0</v>
      </c>
      <c r="M912" t="n">
        <v>0.0</v>
      </c>
      <c r="N912" t="inlineStr">
        <is>
          <t/>
        </is>
      </c>
      <c r="O912" t="n">
        <v>0.0</v>
      </c>
      <c r="P912" t="n">
        <v>0.0</v>
      </c>
      <c r="Q912" t="inlineStr">
        <is>
          <t/>
        </is>
      </c>
      <c r="R912" t="inlineStr">
        <is>
          <t/>
        </is>
      </c>
      <c r="S912" t="n">
        <v>0.0</v>
      </c>
      <c r="T912" t="n">
        <v>0.0</v>
      </c>
      <c r="U912" t="n">
        <v>0.0</v>
      </c>
      <c r="V912" t="n">
        <v>0.0</v>
      </c>
      <c r="W912" t="inlineStr">
        <is>
          <t/>
        </is>
      </c>
      <c r="X912" t="n">
        <v>0.0</v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n">
        <v>0.0</v>
      </c>
      <c r="AI912" t="n">
        <v>0.0</v>
      </c>
      <c r="AJ912" t="n">
        <v>0.0</v>
      </c>
      <c r="AK912" t="inlineStr">
        <is>
          <t/>
        </is>
      </c>
      <c r="AL912" t="inlineStr">
        <is>
          <t/>
        </is>
      </c>
    </row>
    <row r="913">
      <c r="A913" t="inlineStr">
        <is>
          <t>立马回购6箱，家附近超市的再也看不上了</t>
        </is>
      </c>
      <c r="B913" t="inlineStr">
        <is>
          <t>698ae7930000000028022c8a</t>
        </is>
      </c>
      <c r="C913" s="912" t="n">
        <f>HYPERLINK("https://www.xiaohongshu.com/explore/698ae7930000000028022c8a?xsec_token=TBG0mKfxVH0N0QJz26OSUyhZ7H5IKS63UVmRrfyUe6O8I=&amp;xsec_source=pc_trdark","https://www.xiaohongshu.com/explore/698ae7930000000028022c8a?xsec_token=TBG0mKfxVH0N0QJz26OSUyhZ7H5IKS63UVmRrfyUe6O8I=&amp;xsec_source=pc_trdark")</f>
        <v>0.0</v>
      </c>
      <c r="D913" t="inlineStr">
        <is>
          <t>鲜水湾</t>
        </is>
      </c>
      <c r="E913" t="inlineStr">
        <is>
          <t>49316638994</t>
        </is>
      </c>
      <c r="F913" t="inlineStr">
        <is>
          <t>2026-02-10 16:08:51</t>
        </is>
      </c>
      <c r="G913" t="inlineStr">
        <is>
          <t>图文</t>
        </is>
      </c>
      <c r="H913" t="inlineStr">
        <is>
          <t>大虾基围虾王牌大虾厄瓜多尔白虾盐冻虾仁海洋大虾送礼顺丰包邮</t>
        </is>
      </c>
      <c r="I913" t="inlineStr">
        <is>
          <t>690aeb7be379430001e686ac</t>
        </is>
      </c>
      <c r="J913" t="inlineStr">
        <is>
          <t/>
        </is>
      </c>
      <c r="K913" t="n">
        <v>0.0</v>
      </c>
      <c r="L913" t="n">
        <v>0.0</v>
      </c>
      <c r="M913" t="n">
        <v>0.0</v>
      </c>
      <c r="N913" t="inlineStr">
        <is>
          <t/>
        </is>
      </c>
      <c r="O913" t="n">
        <v>0.0</v>
      </c>
      <c r="P913" t="n">
        <v>0.0</v>
      </c>
      <c r="Q913" t="inlineStr">
        <is>
          <t/>
        </is>
      </c>
      <c r="R913" t="inlineStr">
        <is>
          <t/>
        </is>
      </c>
      <c r="S913" t="n">
        <v>0.0</v>
      </c>
      <c r="T913" t="n">
        <v>0.0</v>
      </c>
      <c r="U913" t="n">
        <v>0.0</v>
      </c>
      <c r="V913" t="n">
        <v>0.0</v>
      </c>
      <c r="W913" t="inlineStr">
        <is>
          <t/>
        </is>
      </c>
      <c r="X913" t="n">
        <v>0.0</v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inlineStr">
        <is>
          <t/>
        </is>
      </c>
      <c r="AL913" t="inlineStr">
        <is>
          <t/>
        </is>
      </c>
    </row>
    <row r="914">
      <c r="A914" t="inlineStr">
        <is>
          <t>和老爸商量后，推出专属早八人的小包装</t>
        </is>
      </c>
      <c r="B914" t="inlineStr">
        <is>
          <t>698988d3000000000d00b5bf</t>
        </is>
      </c>
      <c r="C914" s="913" t="n">
        <f>HYPERLINK("https://www.xiaohongshu.com/explore/698988d3000000000d00b5bf?xsec_token=TBeAeWMkLJ9etYlFDlK3pgucHHQ1HDHlCn26aqxGKYZg8=&amp;xsec_source=pc_trdark","https://www.xiaohongshu.com/explore/698988d3000000000d00b5bf?xsec_token=TBeAeWMkLJ9etYlFDlK3pgucHHQ1HDHlCn26aqxGKYZg8=&amp;xsec_source=pc_trdark")</f>
        <v>0.0</v>
      </c>
      <c r="D914" t="inlineStr">
        <is>
          <t>鲜水湾</t>
        </is>
      </c>
      <c r="E914" t="inlineStr">
        <is>
          <t>49316638994</t>
        </is>
      </c>
      <c r="F914" t="inlineStr">
        <is>
          <t>2026-02-09 15:12:19</t>
        </is>
      </c>
      <c r="G914" t="inlineStr">
        <is>
          <t>图文</t>
        </is>
      </c>
      <c r="H914" t="inlineStr">
        <is>
          <t>手剥虾仁 无冰衣无添加 低脂餐一人食 上班带饭 顺丰包邮 5盒装</t>
        </is>
      </c>
      <c r="I914" t="inlineStr">
        <is>
          <t>694baba01d450d00013662f0</t>
        </is>
      </c>
      <c r="J914" t="inlineStr">
        <is>
          <t/>
        </is>
      </c>
      <c r="K914" t="n">
        <v>0.0</v>
      </c>
      <c r="L914" t="n">
        <v>0.0</v>
      </c>
      <c r="M914" t="n">
        <v>0.0</v>
      </c>
      <c r="N914" t="inlineStr">
        <is>
          <t/>
        </is>
      </c>
      <c r="O914" t="n">
        <v>0.0</v>
      </c>
      <c r="P914" t="n">
        <v>0.0</v>
      </c>
      <c r="Q914" t="inlineStr">
        <is>
          <t/>
        </is>
      </c>
      <c r="R914" t="inlineStr">
        <is>
          <t/>
        </is>
      </c>
      <c r="S914" t="n">
        <v>0.0</v>
      </c>
      <c r="T914" t="n">
        <v>0.0</v>
      </c>
      <c r="U914" t="n">
        <v>0.0</v>
      </c>
      <c r="V914" t="n">
        <v>0.0</v>
      </c>
      <c r="W914" t="inlineStr">
        <is>
          <t/>
        </is>
      </c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  <c r="AK914" t="inlineStr">
        <is>
          <t/>
        </is>
      </c>
      <c r="AL914" t="inlineStr">
        <is>
          <t/>
        </is>
      </c>
    </row>
    <row r="915">
      <c r="A915" t="inlineStr">
        <is>
          <t>买了整条三文鱼回家过年🧧</t>
        </is>
      </c>
      <c r="B915" t="inlineStr">
        <is>
          <t>6986eb28000000000e03edae</t>
        </is>
      </c>
      <c r="C915" s="914" t="n">
        <f>HYPERLINK("https://www.xiaohongshu.com/explore/6986eb28000000000e03edae?xsec_token=TB-LsRJw2UEyjZbU1RZqmjvrrcFci_z02KNmmAZSXEn_E=&amp;xsec_source=pc_trdark","https://www.xiaohongshu.com/explore/6986eb28000000000e03edae?xsec_token=TB-LsRJw2UEyjZbU1RZqmjvrrcFci_z02KNmmAZSXEn_E=&amp;xsec_source=pc_trdark")</f>
        <v>0.0</v>
      </c>
      <c r="D915" t="inlineStr">
        <is>
          <t>鲜水湾</t>
        </is>
      </c>
      <c r="E915" t="inlineStr">
        <is>
          <t>49316638994</t>
        </is>
      </c>
      <c r="F915" t="inlineStr">
        <is>
          <t>2026-02-07 15:35:04</t>
        </is>
      </c>
      <c r="G915" t="inlineStr">
        <is>
          <t>图文</t>
        </is>
      </c>
      <c r="H915" t="inlineStr">
        <is>
          <t>智利三文鱼切块·整条三文鱼·深海鱼一人食健康饮食</t>
        </is>
      </c>
      <c r="I915" t="inlineStr">
        <is>
          <t>691ac562a524ee0001b51d7b</t>
        </is>
      </c>
      <c r="J915" t="inlineStr">
        <is>
          <t/>
        </is>
      </c>
      <c r="K915" t="n">
        <v>0.0</v>
      </c>
      <c r="L915" t="n">
        <v>0.0</v>
      </c>
      <c r="M915" t="n">
        <v>0.0</v>
      </c>
      <c r="N915" t="inlineStr">
        <is>
          <t/>
        </is>
      </c>
      <c r="O915" t="n">
        <v>0.0</v>
      </c>
      <c r="P915" t="n">
        <v>0.0</v>
      </c>
      <c r="Q915" t="inlineStr">
        <is>
          <t/>
        </is>
      </c>
      <c r="R915" t="inlineStr">
        <is>
          <t/>
        </is>
      </c>
      <c r="S915" t="n">
        <v>0.0</v>
      </c>
      <c r="T915" t="n">
        <v>0.0</v>
      </c>
      <c r="U915" t="n">
        <v>0.0</v>
      </c>
      <c r="V915" t="n">
        <v>0.0</v>
      </c>
      <c r="W915" t="inlineStr">
        <is>
          <t/>
        </is>
      </c>
      <c r="X915" t="n">
        <v>0.0</v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n">
        <v>0.0</v>
      </c>
      <c r="AI915" t="n">
        <v>0.0</v>
      </c>
      <c r="AJ915" t="n">
        <v>0.0</v>
      </c>
      <c r="AK915" t="inlineStr">
        <is>
          <t/>
        </is>
      </c>
      <c r="AL915" t="inlineStr">
        <is>
          <t/>
        </is>
      </c>
    </row>
    <row r="916">
      <c r="A916" t="inlineStr">
        <is>
          <t>整条三文鱼礼盒，年货送礼首选！</t>
        </is>
      </c>
      <c r="B916" t="inlineStr">
        <is>
          <t>6986d826000000001a024ae7</t>
        </is>
      </c>
      <c r="C916" s="915" t="n">
        <f>HYPERLINK("https://www.xiaohongshu.com/explore/6986d826000000001a024ae7?xsec_token=TB-LsRJw2UEyjZbU1RZqmjvk9SrejyQeu9ePCPxjBo_So=&amp;xsec_source=pc_trdark","https://www.xiaohongshu.com/explore/6986d826000000001a024ae7?xsec_token=TB-LsRJw2UEyjZbU1RZqmjvk9SrejyQeu9ePCPxjBo_So=&amp;xsec_source=pc_trdark")</f>
        <v>0.0</v>
      </c>
      <c r="D916" t="inlineStr">
        <is>
          <t>鲜水湾</t>
        </is>
      </c>
      <c r="E916" t="inlineStr">
        <is>
          <t>49316638994</t>
        </is>
      </c>
      <c r="F916" t="inlineStr">
        <is>
          <t>2026-02-07 14:13:58</t>
        </is>
      </c>
      <c r="G916" t="inlineStr">
        <is>
          <t>图文</t>
        </is>
      </c>
      <c r="H916" t="inlineStr">
        <is>
          <t>智利三文鱼切块·整条三文鱼·深海鱼一人食健康饮食</t>
        </is>
      </c>
      <c r="I916" t="inlineStr">
        <is>
          <t>691ac562a524ee0001b51d7b</t>
        </is>
      </c>
      <c r="J916" t="inlineStr">
        <is>
          <t/>
        </is>
      </c>
      <c r="K916" t="n">
        <v>0.0</v>
      </c>
      <c r="L916" t="n">
        <v>0.0</v>
      </c>
      <c r="M916" t="n">
        <v>0.0</v>
      </c>
      <c r="N916" t="inlineStr">
        <is>
          <t/>
        </is>
      </c>
      <c r="O916" t="n">
        <v>0.0</v>
      </c>
      <c r="P916" t="n">
        <v>0.0</v>
      </c>
      <c r="Q916" t="inlineStr">
        <is>
          <t/>
        </is>
      </c>
      <c r="R916" t="inlineStr">
        <is>
          <t/>
        </is>
      </c>
      <c r="S916" t="n">
        <v>0.0</v>
      </c>
      <c r="T916" t="n">
        <v>0.0</v>
      </c>
      <c r="U916" t="n">
        <v>0.0</v>
      </c>
      <c r="V916" t="n">
        <v>0.0</v>
      </c>
      <c r="W916" t="inlineStr">
        <is>
          <t/>
        </is>
      </c>
      <c r="X916" t="n">
        <v>0.0</v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n">
        <v>0.0</v>
      </c>
      <c r="AI916" t="n">
        <v>0.0</v>
      </c>
      <c r="AJ916" t="n">
        <v>0.0</v>
      </c>
      <c r="AK916" t="inlineStr">
        <is>
          <t/>
        </is>
      </c>
      <c r="AL916" t="inlineStr">
        <is>
          <t/>
        </is>
      </c>
    </row>
    <row r="917">
      <c r="A917" t="inlineStr">
        <is>
          <t>发现现在的年轻人真的低估了100块的购买力…</t>
        </is>
      </c>
      <c r="B917" t="inlineStr">
        <is>
          <t>6985f011000000000d00ae2b</t>
        </is>
      </c>
      <c r="C917" s="916" t="n">
        <f>HYPERLINK("https://www.xiaohongshu.com/explore/6985f011000000000d00ae2b?xsec_token=TB_5RNbIh6A19RWGV21Hy8y86A-uQs1x1bmtf7UdJLUKo=&amp;xsec_source=pc_trdark","https://www.xiaohongshu.com/explore/6985f011000000000d00ae2b?xsec_token=TB_5RNbIh6A19RWGV21Hy8y86A-uQs1x1bmtf7UdJLUKo=&amp;xsec_source=pc_trdark")</f>
        <v>0.0</v>
      </c>
      <c r="D917" t="inlineStr">
        <is>
          <t>鲜水湾</t>
        </is>
      </c>
      <c r="E917" t="inlineStr">
        <is>
          <t>49316638994</t>
        </is>
      </c>
      <c r="F917" t="inlineStr">
        <is>
          <t>2026-02-06 21:43:45</t>
        </is>
      </c>
      <c r="G917" t="inlineStr">
        <is>
          <t>图文</t>
        </is>
      </c>
      <c r="H917" t="inlineStr">
        <is>
          <t>智利三文鱼切块·整条三文鱼·深海鱼一人食健康饮食</t>
        </is>
      </c>
      <c r="I917" t="inlineStr">
        <is>
          <t>691ac562a524ee0001b51d7b</t>
        </is>
      </c>
      <c r="J917" t="inlineStr">
        <is>
          <t/>
        </is>
      </c>
      <c r="K917" t="n">
        <v>0.0</v>
      </c>
      <c r="L917" t="n">
        <v>0.0</v>
      </c>
      <c r="M917" t="n">
        <v>0.0</v>
      </c>
      <c r="N917" t="inlineStr">
        <is>
          <t/>
        </is>
      </c>
      <c r="O917" t="n">
        <v>0.0</v>
      </c>
      <c r="P917" t="n">
        <v>0.0</v>
      </c>
      <c r="Q917" t="inlineStr">
        <is>
          <t/>
        </is>
      </c>
      <c r="R917" t="inlineStr">
        <is>
          <t/>
        </is>
      </c>
      <c r="S917" t="n">
        <v>0.0</v>
      </c>
      <c r="T917" t="n">
        <v>0.0</v>
      </c>
      <c r="U917" t="n">
        <v>0.0</v>
      </c>
      <c r="V917" t="n">
        <v>0.0</v>
      </c>
      <c r="W917" t="inlineStr">
        <is>
          <t/>
        </is>
      </c>
      <c r="X917" t="n">
        <v>0.0</v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n">
        <v>0.0</v>
      </c>
      <c r="AI917" t="n">
        <v>0.0</v>
      </c>
      <c r="AJ917" t="n">
        <v>0.0</v>
      </c>
      <c r="AK917" t="inlineStr">
        <is>
          <t/>
        </is>
      </c>
      <c r="AL917" t="inlineStr">
        <is>
          <t/>
        </is>
      </c>
    </row>
    <row r="918">
      <c r="A918" t="inlineStr">
        <is>
          <t>因为这碗三文鱼，我在办公室出名了</t>
        </is>
      </c>
      <c r="B918" t="inlineStr">
        <is>
          <t>69858763000000001a02617a</t>
        </is>
      </c>
      <c r="C918" s="917" t="n">
        <f>HYPERLINK("https://www.xiaohongshu.com/explore/69858763000000001a02617a?xsec_token=TB_5RNbIh6A19RWGV21Hy8yySdw2Hth2wGpE1uc-DI1jE=&amp;xsec_source=pc_trdark","https://www.xiaohongshu.com/explore/69858763000000001a02617a?xsec_token=TB_5RNbIh6A19RWGV21Hy8yySdw2Hth2wGpE1uc-DI1jE=&amp;xsec_source=pc_trdark")</f>
        <v>0.0</v>
      </c>
      <c r="D918" t="inlineStr">
        <is>
          <t>鲜水湾</t>
        </is>
      </c>
      <c r="E918" t="inlineStr">
        <is>
          <t>49316638994</t>
        </is>
      </c>
      <c r="F918" t="inlineStr">
        <is>
          <t>2026-02-06 14:17:07</t>
        </is>
      </c>
      <c r="G918" t="inlineStr">
        <is>
          <t>图文</t>
        </is>
      </c>
      <c r="H918" t="inlineStr">
        <is>
          <t>智利三文鱼切块·整条三文鱼·深海鱼一人食健康饮食</t>
        </is>
      </c>
      <c r="I918" t="inlineStr">
        <is>
          <t>691ac562a524ee0001b51d7b</t>
        </is>
      </c>
      <c r="J918" t="inlineStr">
        <is>
          <t/>
        </is>
      </c>
      <c r="K918" t="n">
        <v>0.0</v>
      </c>
      <c r="L918" t="n">
        <v>0.0</v>
      </c>
      <c r="M918" t="n">
        <v>0.0</v>
      </c>
      <c r="N918" t="inlineStr">
        <is>
          <t/>
        </is>
      </c>
      <c r="O918" t="n">
        <v>0.0</v>
      </c>
      <c r="P918" t="n">
        <v>0.0</v>
      </c>
      <c r="Q918" t="inlineStr">
        <is>
          <t/>
        </is>
      </c>
      <c r="R918" t="inlineStr">
        <is>
          <t/>
        </is>
      </c>
      <c r="S918" t="n">
        <v>0.0</v>
      </c>
      <c r="T918" t="n">
        <v>0.0</v>
      </c>
      <c r="U918" t="n">
        <v>0.0</v>
      </c>
      <c r="V918" t="n">
        <v>0.0</v>
      </c>
      <c r="W918" t="inlineStr">
        <is>
          <t/>
        </is>
      </c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n">
        <v>0.0</v>
      </c>
      <c r="AI918" t="n">
        <v>0.0</v>
      </c>
      <c r="AJ918" t="n">
        <v>0.0</v>
      </c>
      <c r="AK918" t="inlineStr">
        <is>
          <t/>
        </is>
      </c>
      <c r="AL918" t="inlineStr">
        <is>
          <t/>
        </is>
      </c>
    </row>
    <row r="919">
      <c r="A919" t="inlineStr">
        <is>
          <t>一个人带动全办公室姐妹囤了78910斤</t>
        </is>
      </c>
      <c r="B919" t="inlineStr">
        <is>
          <t>69854a29000000001a025a5f</t>
        </is>
      </c>
      <c r="C919" s="918" t="n">
        <f>HYPERLINK("https://www.xiaohongshu.com/explore/69854a29000000001a025a5f?xsec_token=TB_5RNbIh6A19RWGV21Hy8y733BZHhqkryg2yT07qOBMQ=&amp;xsec_source=pc_trdark","https://www.xiaohongshu.com/explore/69854a29000000001a025a5f?xsec_token=TB_5RNbIh6A19RWGV21Hy8y733BZHhqkryg2yT07qOBMQ=&amp;xsec_source=pc_trdark")</f>
        <v>0.0</v>
      </c>
      <c r="D919" t="inlineStr">
        <is>
          <t>鲜水湾</t>
        </is>
      </c>
      <c r="E919" t="inlineStr">
        <is>
          <t>49316638994</t>
        </is>
      </c>
      <c r="F919" t="inlineStr">
        <is>
          <t>2026-02-06 09:55:53</t>
        </is>
      </c>
      <c r="G919" t="inlineStr">
        <is>
          <t>图文</t>
        </is>
      </c>
      <c r="H919" t="inlineStr">
        <is>
          <t>智利三文鱼切块·整条三文鱼·深海鱼一人食健康饮食</t>
        </is>
      </c>
      <c r="I919" t="inlineStr">
        <is>
          <t>691ac562a524ee0001b51d7b</t>
        </is>
      </c>
      <c r="J919" t="inlineStr">
        <is>
          <t/>
        </is>
      </c>
      <c r="K919" t="n">
        <v>0.0</v>
      </c>
      <c r="L919" t="n">
        <v>0.0</v>
      </c>
      <c r="M919" t="n">
        <v>0.0</v>
      </c>
      <c r="N919" t="inlineStr">
        <is>
          <t/>
        </is>
      </c>
      <c r="O919" t="n">
        <v>0.0</v>
      </c>
      <c r="P919" t="n">
        <v>0.0</v>
      </c>
      <c r="Q919" t="inlineStr">
        <is>
          <t/>
        </is>
      </c>
      <c r="R919" t="inlineStr">
        <is>
          <t/>
        </is>
      </c>
      <c r="S919" t="n">
        <v>0.0</v>
      </c>
      <c r="T919" t="n">
        <v>0.0</v>
      </c>
      <c r="U919" t="n">
        <v>0.0</v>
      </c>
      <c r="V919" t="n">
        <v>0.0</v>
      </c>
      <c r="W919" t="inlineStr">
        <is>
          <t/>
        </is>
      </c>
      <c r="X919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n">
        <v>0.0</v>
      </c>
      <c r="AI919" t="n">
        <v>0.0</v>
      </c>
      <c r="AJ919" t="n">
        <v>0.0</v>
      </c>
      <c r="AK919" t="inlineStr">
        <is>
          <t/>
        </is>
      </c>
      <c r="AL919" t="inlineStr">
        <is>
          <t/>
        </is>
      </c>
    </row>
    <row r="920">
      <c r="A920" t="inlineStr">
        <is>
          <t>爸妈对于我每天吃虾表示很奢侈！</t>
        </is>
      </c>
      <c r="B920" t="inlineStr">
        <is>
          <t>6981b845000000001a01d18b</t>
        </is>
      </c>
      <c r="C920" s="919" t="n">
        <f>HYPERLINK("https://www.xiaohongshu.com/explore/6981b845000000001a01d18b?xsec_token=TBCSP6T6xotiZWoIZvuSKQiH0fXJfqfpS_xUHvxEXstxs=&amp;xsec_source=pc_trdark","https://www.xiaohongshu.com/explore/6981b845000000001a01d18b?xsec_token=TBCSP6T6xotiZWoIZvuSKQiH0fXJfqfpS_xUHvxEXstxs=&amp;xsec_source=pc_trdark")</f>
        <v>0.0</v>
      </c>
      <c r="D920" t="inlineStr">
        <is>
          <t>鲜水湾</t>
        </is>
      </c>
      <c r="E920" t="inlineStr">
        <is>
          <t>49316638994</t>
        </is>
      </c>
      <c r="F920" t="inlineStr">
        <is>
          <t>2026-02-03 16:56:37</t>
        </is>
      </c>
      <c r="G920" t="inlineStr">
        <is>
          <t>图文</t>
        </is>
      </c>
      <c r="H920" t="inlineStr">
        <is>
          <t>大虾基围虾王牌大虾厄瓜多尔白虾盐冻虾仁海洋大虾送礼顺丰包邮</t>
        </is>
      </c>
      <c r="I920" t="inlineStr">
        <is>
          <t>690aeb7be379430001e686ac</t>
        </is>
      </c>
      <c r="J920" t="inlineStr">
        <is>
          <t/>
        </is>
      </c>
      <c r="K920" t="n">
        <v>0.0</v>
      </c>
      <c r="L920" t="n">
        <v>0.0</v>
      </c>
      <c r="M920" t="n">
        <v>0.0</v>
      </c>
      <c r="N920" t="inlineStr">
        <is>
          <t/>
        </is>
      </c>
      <c r="O920" t="n">
        <v>0.0</v>
      </c>
      <c r="P920" t="n">
        <v>0.0</v>
      </c>
      <c r="Q920" t="inlineStr">
        <is>
          <t/>
        </is>
      </c>
      <c r="R920" t="inlineStr">
        <is>
          <t/>
        </is>
      </c>
      <c r="S920" t="n">
        <v>0.0</v>
      </c>
      <c r="T920" t="n">
        <v>0.0</v>
      </c>
      <c r="U920" t="n">
        <v>0.0</v>
      </c>
      <c r="V920" t="n">
        <v>0.0</v>
      </c>
      <c r="W920" t="inlineStr">
        <is>
          <t/>
        </is>
      </c>
      <c r="X920" t="n">
        <v>0.0</v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inlineStr">
        <is>
          <t/>
        </is>
      </c>
      <c r="AL920" t="inlineStr">
        <is>
          <t/>
        </is>
      </c>
    </row>
    <row r="921">
      <c r="A921" t="inlineStr">
        <is>
          <t>过年送礼就买整条三文鱼！</t>
        </is>
      </c>
      <c r="B921" t="inlineStr">
        <is>
          <t>6980b960000000000d0083dd</t>
        </is>
      </c>
      <c r="C921" s="920" t="n">
        <f>HYPERLINK("https://www.xiaohongshu.com/explore/6980b960000000000d0083dd?xsec_token=TBZp4EcwSVhJKyeKQt7Cpumf4ew6EaovxouIPjJZJ1WgA=&amp;xsec_source=pc_trdark","https://www.xiaohongshu.com/explore/6980b960000000000d0083dd?xsec_token=TBZp4EcwSVhJKyeKQt7Cpumf4ew6EaovxouIPjJZJ1WgA=&amp;xsec_source=pc_trdark")</f>
        <v>0.0</v>
      </c>
      <c r="D921" t="inlineStr">
        <is>
          <t>鲜水湾</t>
        </is>
      </c>
      <c r="E921" t="inlineStr">
        <is>
          <t>49316638994</t>
        </is>
      </c>
      <c r="F921" t="inlineStr">
        <is>
          <t>2026-02-02 22:49:04</t>
        </is>
      </c>
      <c r="G921" t="inlineStr">
        <is>
          <t>图文</t>
        </is>
      </c>
      <c r="H921" t="inlineStr">
        <is>
          <t>智利三文鱼切块·整条三文鱼·深海鱼一人食健康饮食</t>
        </is>
      </c>
      <c r="I921" t="inlineStr">
        <is>
          <t>691ac562a524ee0001b51d7b</t>
        </is>
      </c>
      <c r="J921" t="inlineStr">
        <is>
          <t/>
        </is>
      </c>
      <c r="K921" t="n">
        <v>0.0</v>
      </c>
      <c r="L921" t="n">
        <v>0.0</v>
      </c>
      <c r="M921" t="n">
        <v>0.0</v>
      </c>
      <c r="N921" t="inlineStr">
        <is>
          <t/>
        </is>
      </c>
      <c r="O921" t="n">
        <v>0.0</v>
      </c>
      <c r="P921" t="n">
        <v>0.0</v>
      </c>
      <c r="Q921" t="inlineStr">
        <is>
          <t/>
        </is>
      </c>
      <c r="R921" t="inlineStr">
        <is>
          <t/>
        </is>
      </c>
      <c r="S921" t="n">
        <v>0.0</v>
      </c>
      <c r="T921" t="n">
        <v>0.0</v>
      </c>
      <c r="U921" t="n">
        <v>0.0</v>
      </c>
      <c r="V921" t="n">
        <v>0.0</v>
      </c>
      <c r="W921" t="inlineStr">
        <is>
          <t/>
        </is>
      </c>
      <c r="X921" t="n">
        <v>0.0</v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n">
        <v>0.0</v>
      </c>
      <c r="AI921" t="n">
        <v>0.0</v>
      </c>
      <c r="AJ921" t="n">
        <v>0.0</v>
      </c>
      <c r="AK921" t="inlineStr">
        <is>
          <t/>
        </is>
      </c>
      <c r="AL921" t="inlineStr">
        <is>
          <t/>
        </is>
      </c>
    </row>
    <row r="922">
      <c r="A922" t="inlineStr">
        <is>
          <t>100+可以买到这种品质的北极甜虾吗</t>
        </is>
      </c>
      <c r="B922" t="inlineStr">
        <is>
          <t>69806aed000000000a0282c5</t>
        </is>
      </c>
      <c r="C922" s="921" t="n">
        <f>HYPERLINK("https://www.xiaohongshu.com/explore/69806aed000000000a0282c5?xsec_token=TBZp4EcwSVhJKyeKQt7CpumcXCYw8KbWaMlDMf-Q22wcY=&amp;xsec_source=pc_trdark","https://www.xiaohongshu.com/explore/69806aed000000000a0282c5?xsec_token=TBZp4EcwSVhJKyeKQt7CpumcXCYw8KbWaMlDMf-Q22wcY=&amp;xsec_source=pc_trdark")</f>
        <v>0.0</v>
      </c>
      <c r="D922" t="inlineStr">
        <is>
          <t>鲜水湾甄选</t>
        </is>
      </c>
      <c r="E922" t="inlineStr">
        <is>
          <t>27401929161</t>
        </is>
      </c>
      <c r="F922" t="inlineStr">
        <is>
          <t>2026-02-02 17:14:21</t>
        </is>
      </c>
      <c r="G922" t="inlineStr">
        <is>
          <t>视频</t>
        </is>
      </c>
      <c r="H922" t="inlineStr">
        <is>
          <t>北极甜虾头籽甜虾元宝虾北极熊冰虾孕妈妈宝宝辅食顺丰</t>
        </is>
      </c>
      <c r="I922" t="inlineStr">
        <is>
          <t>6953717eb8f0bb000115158d</t>
        </is>
      </c>
      <c r="J922" t="n">
        <v>41.0</v>
      </c>
      <c r="K922" t="n">
        <v>0.0</v>
      </c>
      <c r="L922" t="n">
        <v>0.0</v>
      </c>
      <c r="M922" t="n">
        <v>0.0</v>
      </c>
      <c r="N922" t="inlineStr">
        <is>
          <t/>
        </is>
      </c>
      <c r="O922" t="n">
        <v>0.0</v>
      </c>
      <c r="P922" t="n">
        <v>0.0</v>
      </c>
      <c r="Q922" t="inlineStr">
        <is>
          <t/>
        </is>
      </c>
      <c r="R922" t="inlineStr">
        <is>
          <t/>
        </is>
      </c>
      <c r="S922" t="n">
        <v>0.0</v>
      </c>
      <c r="T922" t="n">
        <v>0.0</v>
      </c>
      <c r="U922" t="n">
        <v>0.0</v>
      </c>
      <c r="V922" t="n">
        <v>0.0</v>
      </c>
      <c r="W922" t="inlineStr">
        <is>
          <t/>
        </is>
      </c>
      <c r="X922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n">
        <v>0.0</v>
      </c>
      <c r="AI922" t="n">
        <v>0.0</v>
      </c>
      <c r="AJ922" t="n">
        <v>0.0</v>
      </c>
      <c r="AK922" t="inlineStr">
        <is>
          <t/>
        </is>
      </c>
      <c r="AL922" t="inlineStr">
        <is>
          <t/>
        </is>
      </c>
    </row>
    <row r="923">
      <c r="A923" t="inlineStr">
        <is>
          <t>成功代替车厘子在我心中的地位……</t>
        </is>
      </c>
      <c r="B923" t="inlineStr">
        <is>
          <t>6980641a000000000c034ea0</t>
        </is>
      </c>
      <c r="C923" s="922" t="n">
        <f>HYPERLINK("https://www.xiaohongshu.com/explore/6980641a000000000c034ea0?xsec_token=TBZp4EcwSVhJKyeKQt7CpumeF_oKqtnRQDv-nG9X5gfZ0=&amp;xsec_source=pc_trdark","https://www.xiaohongshu.com/explore/6980641a000000000c034ea0?xsec_token=TBZp4EcwSVhJKyeKQt7CpumeF_oKqtnRQDv-nG9X5gfZ0=&amp;xsec_source=pc_trdark")</f>
        <v>0.0</v>
      </c>
      <c r="D923" t="inlineStr">
        <is>
          <t>鲜水湾甄选</t>
        </is>
      </c>
      <c r="E923" t="inlineStr">
        <is>
          <t>27401929161</t>
        </is>
      </c>
      <c r="F923" t="inlineStr">
        <is>
          <t>2026-02-02 16:45:14</t>
        </is>
      </c>
      <c r="G923" t="inlineStr">
        <is>
          <t>图文</t>
        </is>
      </c>
      <c r="H923" t="inlineStr">
        <is>
          <t>北极甜虾头籽甜虾元宝虾北极熊冰虾孕妈妈宝宝辅食顺丰</t>
        </is>
      </c>
      <c r="I923" t="inlineStr">
        <is>
          <t>6953717eb8f0bb000115158d</t>
        </is>
      </c>
      <c r="J923" t="inlineStr">
        <is>
          <t/>
        </is>
      </c>
      <c r="K923" t="n">
        <v>0.0</v>
      </c>
      <c r="L923" t="n">
        <v>0.0</v>
      </c>
      <c r="M923" t="n">
        <v>0.0</v>
      </c>
      <c r="N923" t="inlineStr">
        <is>
          <t/>
        </is>
      </c>
      <c r="O923" t="n">
        <v>0.0</v>
      </c>
      <c r="P923" t="n">
        <v>0.0</v>
      </c>
      <c r="Q923" t="inlineStr">
        <is>
          <t/>
        </is>
      </c>
      <c r="R923" t="inlineStr">
        <is>
          <t/>
        </is>
      </c>
      <c r="S923" t="n">
        <v>0.0</v>
      </c>
      <c r="T923" t="n">
        <v>0.0</v>
      </c>
      <c r="U923" t="n">
        <v>0.0</v>
      </c>
      <c r="V923" t="n">
        <v>0.0</v>
      </c>
      <c r="W923" t="inlineStr">
        <is>
          <t/>
        </is>
      </c>
      <c r="X923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  <c r="AK923" t="inlineStr">
        <is>
          <t/>
        </is>
      </c>
      <c r="AL923" t="inlineStr">
        <is>
          <t/>
        </is>
      </c>
    </row>
    <row r="924">
      <c r="A924" t="inlineStr">
        <is>
          <t>100来块实现头籽甜虾自由！</t>
        </is>
      </c>
      <c r="B924" t="inlineStr">
        <is>
          <t>69801642000000000c037ccf</t>
        </is>
      </c>
      <c r="C924" s="923" t="n">
        <f>HYPERLINK("https://www.xiaohongshu.com/explore/69801642000000000c037ccf?xsec_token=TBZp4EcwSVhJKyeKQt7CpumT7nPWGviQDYckcsRNc5U4Q=&amp;xsec_source=pc_trdark","https://www.xiaohongshu.com/explore/69801642000000000c037ccf?xsec_token=TBZp4EcwSVhJKyeKQt7CpumT7nPWGviQDYckcsRNc5U4Q=&amp;xsec_source=pc_trdark")</f>
        <v>0.0</v>
      </c>
      <c r="D924" t="inlineStr">
        <is>
          <t>鲜水湾甄选</t>
        </is>
      </c>
      <c r="E924" t="inlineStr">
        <is>
          <t>27401929161</t>
        </is>
      </c>
      <c r="F924" t="inlineStr">
        <is>
          <t>2026-02-02 11:13:06</t>
        </is>
      </c>
      <c r="G924" t="inlineStr">
        <is>
          <t>图文</t>
        </is>
      </c>
      <c r="H924" t="inlineStr">
        <is>
          <t>北极甜虾头籽甜虾元宝虾北极熊冰虾孕妈妈宝宝辅食顺丰</t>
        </is>
      </c>
      <c r="I924" t="inlineStr">
        <is>
          <t>6953717eb8f0bb000115158d</t>
        </is>
      </c>
      <c r="J924" t="inlineStr">
        <is>
          <t/>
        </is>
      </c>
      <c r="K924" t="n">
        <v>0.0</v>
      </c>
      <c r="L924" t="n">
        <v>0.0</v>
      </c>
      <c r="M924" t="n">
        <v>0.0</v>
      </c>
      <c r="N924" t="inlineStr">
        <is>
          <t/>
        </is>
      </c>
      <c r="O924" t="n">
        <v>0.0</v>
      </c>
      <c r="P924" t="n">
        <v>0.0</v>
      </c>
      <c r="Q924" t="inlineStr">
        <is>
          <t/>
        </is>
      </c>
      <c r="R924" t="inlineStr">
        <is>
          <t/>
        </is>
      </c>
      <c r="S924" t="n">
        <v>0.0</v>
      </c>
      <c r="T924" t="n">
        <v>0.0</v>
      </c>
      <c r="U924" t="n">
        <v>0.0</v>
      </c>
      <c r="V924" t="n">
        <v>0.0</v>
      </c>
      <c r="W924" t="inlineStr">
        <is>
          <t/>
        </is>
      </c>
      <c r="X924" t="n">
        <v>0.0</v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n">
        <v>0.0</v>
      </c>
      <c r="AI924" t="n">
        <v>0.0</v>
      </c>
      <c r="AJ924" t="n">
        <v>0.0</v>
      </c>
      <c r="AK924" t="inlineStr">
        <is>
          <t/>
        </is>
      </c>
      <c r="AL924" t="inlineStr">
        <is>
          <t/>
        </is>
      </c>
    </row>
    <row r="925">
      <c r="A925" t="inlineStr">
        <is>
          <t>2026年春节礼盒备好了</t>
        </is>
      </c>
      <c r="B925" t="inlineStr">
        <is>
          <t>697f4056000000001a023974</t>
        </is>
      </c>
      <c r="C925" s="924" t="n">
        <f>HYPERLINK("https://www.xiaohongshu.com/explore/697f4056000000001a023974?xsec_token=TBGi407i-ri3oYa_7RM3ZIGTv048lvZx0YXobjfww0vS8=&amp;xsec_source=pc_trdark","https://www.xiaohongshu.com/explore/697f4056000000001a023974?xsec_token=TBGi407i-ri3oYa_7RM3ZIGTv048lvZx0YXobjfww0vS8=&amp;xsec_source=pc_trdark")</f>
        <v>0.0</v>
      </c>
      <c r="D925" t="inlineStr">
        <is>
          <t>鲜水湾</t>
        </is>
      </c>
      <c r="E925" t="inlineStr">
        <is>
          <t>49316638994</t>
        </is>
      </c>
      <c r="F925" t="inlineStr">
        <is>
          <t>2026-02-01 20:00:22</t>
        </is>
      </c>
      <c r="G925" t="inlineStr">
        <is>
          <t>图文</t>
        </is>
      </c>
      <c r="H925" t="inlineStr">
        <is>
          <t>智利三文鱼切块·整条三文鱼·深海鱼一人食健康饮食</t>
        </is>
      </c>
      <c r="I925" t="inlineStr">
        <is>
          <t>691ac562a524ee0001b51d7b</t>
        </is>
      </c>
      <c r="J925" t="inlineStr">
        <is>
          <t/>
        </is>
      </c>
      <c r="K925" t="n">
        <v>0.0</v>
      </c>
      <c r="L925" t="n">
        <v>0.0</v>
      </c>
      <c r="M925" t="n">
        <v>0.0</v>
      </c>
      <c r="N925" t="inlineStr">
        <is>
          <t/>
        </is>
      </c>
      <c r="O925" t="n">
        <v>0.0</v>
      </c>
      <c r="P925" t="n">
        <v>0.0</v>
      </c>
      <c r="Q925" t="inlineStr">
        <is>
          <t/>
        </is>
      </c>
      <c r="R925" t="inlineStr">
        <is>
          <t/>
        </is>
      </c>
      <c r="S925" t="n">
        <v>0.0</v>
      </c>
      <c r="T925" t="n">
        <v>0.0</v>
      </c>
      <c r="U925" t="n">
        <v>0.0</v>
      </c>
      <c r="V925" t="n">
        <v>0.0</v>
      </c>
      <c r="W925" t="inlineStr">
        <is>
          <t/>
        </is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  <c r="AK925" t="inlineStr">
        <is>
          <t/>
        </is>
      </c>
      <c r="AL925" t="inlineStr">
        <is>
          <t/>
        </is>
      </c>
    </row>
    <row r="926">
      <c r="A926" t="inlineStr">
        <is>
          <t>我妈：过年你就69💰三斤这样卖，别涨价！</t>
        </is>
      </c>
      <c r="B926" t="inlineStr">
        <is>
          <t>697f0ed9000000000e00cb1d</t>
        </is>
      </c>
      <c r="C926" s="925" t="n">
        <f>HYPERLINK("https://www.xiaohongshu.com/explore/697f0ed9000000000e00cb1d?xsec_token=TBGi407i-ri3oYa_7RM3ZIGSmInJPgAtkWE8XOcg0ceZA=&amp;xsec_source=pc_trdark","https://www.xiaohongshu.com/explore/697f0ed9000000000e00cb1d?xsec_token=TBGi407i-ri3oYa_7RM3ZIGSmInJPgAtkWE8XOcg0ceZA=&amp;xsec_source=pc_trdark")</f>
        <v>0.0</v>
      </c>
      <c r="D926" t="inlineStr">
        <is>
          <t>鲜水湾</t>
        </is>
      </c>
      <c r="E926" t="inlineStr">
        <is>
          <t>49316638994</t>
        </is>
      </c>
      <c r="F926" t="inlineStr">
        <is>
          <t>2026-02-01 16:29:13</t>
        </is>
      </c>
      <c r="G926" t="inlineStr">
        <is>
          <t>图文</t>
        </is>
      </c>
      <c r="H926" t="inlineStr">
        <is>
          <t>大虾基围虾王牌大虾厄瓜多尔白虾盐冻虾仁海洋大虾送礼顺丰包邮</t>
        </is>
      </c>
      <c r="I926" t="inlineStr">
        <is>
          <t>690aeb7be379430001e686ac</t>
        </is>
      </c>
      <c r="J926" t="inlineStr">
        <is>
          <t/>
        </is>
      </c>
      <c r="K926" t="n">
        <v>0.0</v>
      </c>
      <c r="L926" t="n">
        <v>0.0</v>
      </c>
      <c r="M926" t="n">
        <v>0.0</v>
      </c>
      <c r="N926" t="inlineStr">
        <is>
          <t/>
        </is>
      </c>
      <c r="O926" t="n">
        <v>0.0</v>
      </c>
      <c r="P926" t="n">
        <v>0.0</v>
      </c>
      <c r="Q926" t="inlineStr">
        <is>
          <t/>
        </is>
      </c>
      <c r="R926" t="inlineStr">
        <is>
          <t/>
        </is>
      </c>
      <c r="S926" t="n">
        <v>0.0</v>
      </c>
      <c r="T926" t="n">
        <v>0.0</v>
      </c>
      <c r="U926" t="n">
        <v>0.0</v>
      </c>
      <c r="V926" t="n">
        <v>0.0</v>
      </c>
      <c r="W926" t="inlineStr">
        <is>
          <t/>
        </is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inlineStr">
        <is>
          <t/>
        </is>
      </c>
      <c r="AL926" t="inlineStr">
        <is>
          <t/>
        </is>
      </c>
    </row>
    <row r="927">
      <c r="A927" t="inlineStr">
        <is>
          <t>以为69元没多少，结果够我吃一周的了</t>
        </is>
      </c>
      <c r="B927" t="inlineStr">
        <is>
          <t>697eae4d000000001a02fc41</t>
        </is>
      </c>
      <c r="C927" s="926" t="n">
        <f>HYPERLINK("https://www.xiaohongshu.com/explore/697eae4d000000001a02fc41?xsec_token=TB7jwFOfZJsihjbpJtFT0dVm-n_OXKhmGM1UaGd2I0iGQ=&amp;xsec_source=pc_trdark","https://www.xiaohongshu.com/explore/697eae4d000000001a02fc41?xsec_token=TB7jwFOfZJsihjbpJtFT0dVm-n_OXKhmGM1UaGd2I0iGQ=&amp;xsec_source=pc_trdark")</f>
        <v>0.0</v>
      </c>
      <c r="D927" t="inlineStr">
        <is>
          <t>鲜水湾</t>
        </is>
      </c>
      <c r="E927" t="inlineStr">
        <is>
          <t>49316638994</t>
        </is>
      </c>
      <c r="F927" t="inlineStr">
        <is>
          <t>2026-02-01 09:37:17</t>
        </is>
      </c>
      <c r="G927" t="inlineStr">
        <is>
          <t>图文</t>
        </is>
      </c>
      <c r="H927" t="inlineStr">
        <is>
          <t>大虾基围虾王牌大虾厄瓜多尔白虾盐冻虾仁海洋大虾送礼顺丰包邮</t>
        </is>
      </c>
      <c r="I927" t="inlineStr">
        <is>
          <t>690aeb7be379430001e686ac</t>
        </is>
      </c>
      <c r="J927" t="inlineStr">
        <is>
          <t/>
        </is>
      </c>
      <c r="K927" t="n">
        <v>0.0</v>
      </c>
      <c r="L927" t="n">
        <v>0.0</v>
      </c>
      <c r="M927" t="n">
        <v>0.0</v>
      </c>
      <c r="N927" t="inlineStr">
        <is>
          <t/>
        </is>
      </c>
      <c r="O927" t="n">
        <v>0.0</v>
      </c>
      <c r="P927" t="n">
        <v>0.0</v>
      </c>
      <c r="Q927" t="inlineStr">
        <is>
          <t/>
        </is>
      </c>
      <c r="R927" t="inlineStr">
        <is>
          <t/>
        </is>
      </c>
      <c r="S927" t="n">
        <v>0.0</v>
      </c>
      <c r="T927" t="n">
        <v>0.0</v>
      </c>
      <c r="U927" t="n">
        <v>0.0</v>
      </c>
      <c r="V927" t="n">
        <v>0.0</v>
      </c>
      <c r="W927" t="inlineStr">
        <is>
          <t/>
        </is>
      </c>
      <c r="X927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n">
        <v>0.0</v>
      </c>
      <c r="AI927" t="n">
        <v>0.0</v>
      </c>
      <c r="AJ927" t="n">
        <v>0.0</v>
      </c>
      <c r="AK927" t="inlineStr">
        <is>
          <t/>
        </is>
      </c>
      <c r="AL927" t="inlineStr">
        <is>
          <t/>
        </is>
      </c>
    </row>
    <row r="928">
      <c r="A928" t="inlineStr">
        <is>
          <t>千万别小看300块的购买力！</t>
        </is>
      </c>
      <c r="B928" t="inlineStr">
        <is>
          <t>697c8086000000001a01c2f5</t>
        </is>
      </c>
      <c r="C928" s="927" t="n">
        <f>HYPERLINK("https://www.xiaohongshu.com/explore/697c8086000000001a01c2f5?xsec_token=TBV-62_c6Sms9X18ENcOcpiMePbi1gQl70HCE08Zq-6uI=&amp;xsec_source=pc_trdark","https://www.xiaohongshu.com/explore/697c8086000000001a01c2f5?xsec_token=TBV-62_c6Sms9X18ENcOcpiMePbi1gQl70HCE08Zq-6uI=&amp;xsec_source=pc_trdark")</f>
        <v>0.0</v>
      </c>
      <c r="D928" t="inlineStr">
        <is>
          <t>鲜水湾</t>
        </is>
      </c>
      <c r="E928" t="inlineStr">
        <is>
          <t>49316638994</t>
        </is>
      </c>
      <c r="F928" t="inlineStr">
        <is>
          <t>2026-01-30 17:57:26</t>
        </is>
      </c>
      <c r="G928" t="inlineStr">
        <is>
          <t>图文</t>
        </is>
      </c>
      <c r="H928" t="inlineStr">
        <is>
          <t>智利三文鱼切块·整条三文鱼·深海鱼一人食健康饮食</t>
        </is>
      </c>
      <c r="I928" t="inlineStr">
        <is>
          <t>691ac562a524ee0001b51d7b</t>
        </is>
      </c>
      <c r="J928" t="inlineStr">
        <is>
          <t/>
        </is>
      </c>
      <c r="K928" t="n">
        <v>0.0</v>
      </c>
      <c r="L928" t="n">
        <v>0.0</v>
      </c>
      <c r="M928" t="n">
        <v>0.0</v>
      </c>
      <c r="N928" t="inlineStr">
        <is>
          <t/>
        </is>
      </c>
      <c r="O928" t="n">
        <v>0.0</v>
      </c>
      <c r="P928" t="n">
        <v>0.0</v>
      </c>
      <c r="Q928" t="inlineStr">
        <is>
          <t/>
        </is>
      </c>
      <c r="R928" t="inlineStr">
        <is>
          <t/>
        </is>
      </c>
      <c r="S928" t="n">
        <v>0.0</v>
      </c>
      <c r="T928" t="n">
        <v>0.0</v>
      </c>
      <c r="U928" t="n">
        <v>0.0</v>
      </c>
      <c r="V928" t="n">
        <v>0.0</v>
      </c>
      <c r="W928" t="inlineStr">
        <is>
          <t/>
        </is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n">
        <v>0.0</v>
      </c>
      <c r="AI928" t="n">
        <v>0.0</v>
      </c>
      <c r="AJ928" t="n">
        <v>0.0</v>
      </c>
      <c r="AK928" t="inlineStr">
        <is>
          <t/>
        </is>
      </c>
      <c r="AL928" t="inlineStr">
        <is>
          <t/>
        </is>
      </c>
    </row>
    <row r="929">
      <c r="A929" t="inlineStr">
        <is>
          <t>过年就备这个大虾招待亲朋好友吧！</t>
        </is>
      </c>
      <c r="B929" t="inlineStr">
        <is>
          <t>697c77e3000000001a01d1b3</t>
        </is>
      </c>
      <c r="C929" s="928" t="n">
        <f>HYPERLINK("https://www.xiaohongshu.com/explore/697c77e3000000001a01d1b3?xsec_token=TBV-62_c6Sms9X18ENcOcpiCHEy_9hN2vO1o85ywyN8bQ=&amp;xsec_source=pc_trdark","https://www.xiaohongshu.com/explore/697c77e3000000001a01d1b3?xsec_token=TBV-62_c6Sms9X18ENcOcpiCHEy_9hN2vO1o85ywyN8bQ=&amp;xsec_source=pc_trdark")</f>
        <v>0.0</v>
      </c>
      <c r="D929" t="inlineStr">
        <is>
          <t>鲜水湾</t>
        </is>
      </c>
      <c r="E929" t="inlineStr">
        <is>
          <t>49316638994</t>
        </is>
      </c>
      <c r="F929" t="inlineStr">
        <is>
          <t>2026-01-30 17:20:35</t>
        </is>
      </c>
      <c r="G929" t="inlineStr">
        <is>
          <t>图文</t>
        </is>
      </c>
      <c r="H929" t="inlineStr">
        <is>
          <t>大虾基围虾王牌大虾厄瓜多尔白虾盐冻虾仁海洋大虾送礼顺丰包邮</t>
        </is>
      </c>
      <c r="I929" t="inlineStr">
        <is>
          <t>690aeb7be379430001e686ac</t>
        </is>
      </c>
      <c r="J929" t="inlineStr">
        <is>
          <t/>
        </is>
      </c>
      <c r="K929" t="n">
        <v>0.0</v>
      </c>
      <c r="L929" t="n">
        <v>0.0</v>
      </c>
      <c r="M929" t="n">
        <v>0.0</v>
      </c>
      <c r="N929" t="inlineStr">
        <is>
          <t/>
        </is>
      </c>
      <c r="O929" t="n">
        <v>0.0</v>
      </c>
      <c r="P929" t="n">
        <v>0.0</v>
      </c>
      <c r="Q929" t="inlineStr">
        <is>
          <t/>
        </is>
      </c>
      <c r="R929" t="inlineStr">
        <is>
          <t/>
        </is>
      </c>
      <c r="S929" t="n">
        <v>0.0</v>
      </c>
      <c r="T929" t="n">
        <v>0.0</v>
      </c>
      <c r="U929" t="n">
        <v>0.0</v>
      </c>
      <c r="V929" t="n">
        <v>0.0</v>
      </c>
      <c r="W929" t="inlineStr">
        <is>
          <t/>
        </is>
      </c>
      <c r="X929" t="n">
        <v>0.0</v>
      </c>
      <c r="Y929" t="n">
        <v>0.0</v>
      </c>
      <c r="Z929" t="n">
        <v>0.0</v>
      </c>
      <c r="AA929" t="n">
        <v>0.0</v>
      </c>
      <c r="AB929" t="n">
        <v>0.0</v>
      </c>
      <c r="AC929" t="n">
        <v>0.0</v>
      </c>
      <c r="AD929" t="n">
        <v>0.0</v>
      </c>
      <c r="AE929" t="n">
        <v>0.0</v>
      </c>
      <c r="AF929" t="n">
        <v>0.0</v>
      </c>
      <c r="AG929" t="n">
        <v>0.0</v>
      </c>
      <c r="AH929" t="n">
        <v>0.0</v>
      </c>
      <c r="AI929" t="n">
        <v>0.0</v>
      </c>
      <c r="AJ929" t="n">
        <v>0.0</v>
      </c>
      <c r="AK929" t="inlineStr">
        <is>
          <t/>
        </is>
      </c>
      <c r="AL929" t="inlineStr">
        <is>
          <t/>
        </is>
      </c>
    </row>
    <row r="930">
      <c r="A930" t="inlineStr">
        <is>
          <t>冬天限定！再过几天就没有头籽甜虾了</t>
        </is>
      </c>
      <c r="B930" t="inlineStr">
        <is>
          <t>697c62c2000000000a02a1c5</t>
        </is>
      </c>
      <c r="C930" s="929" t="n">
        <f>HYPERLINK("https://www.xiaohongshu.com/explore/697c62c2000000000a02a1c5?xsec_token=TBV-62_c6Sms9X18ENcOcpiOVbebQibHJCA9_5tI9Ghlw=&amp;xsec_source=pc_trdark","https://www.xiaohongshu.com/explore/697c62c2000000000a02a1c5?xsec_token=TBV-62_c6Sms9X18ENcOcpiOVbebQibHJCA9_5tI9Ghlw=&amp;xsec_source=pc_trdark")</f>
        <v>0.0</v>
      </c>
      <c r="D930" t="inlineStr">
        <is>
          <t>鲜水湾甄选</t>
        </is>
      </c>
      <c r="E930" t="inlineStr">
        <is>
          <t>27401929161</t>
        </is>
      </c>
      <c r="F930" t="inlineStr">
        <is>
          <t>2026-01-30 15:50:27</t>
        </is>
      </c>
      <c r="G930" t="inlineStr">
        <is>
          <t>视频</t>
        </is>
      </c>
      <c r="H930" t="inlineStr">
        <is>
          <t>北极甜虾头籽甜虾元宝虾北极熊冰虾孕妈妈宝宝辅食顺丰</t>
        </is>
      </c>
      <c r="I930" t="inlineStr">
        <is>
          <t>6953717eb8f0bb000115158d</t>
        </is>
      </c>
      <c r="J930" t="n">
        <v>60.0</v>
      </c>
      <c r="K930" t="n">
        <v>0.0</v>
      </c>
      <c r="L930" t="n">
        <v>0.0</v>
      </c>
      <c r="M930" t="n">
        <v>0.0</v>
      </c>
      <c r="N930" t="inlineStr">
        <is>
          <t/>
        </is>
      </c>
      <c r="O930" t="n">
        <v>0.0</v>
      </c>
      <c r="P930" t="n">
        <v>0.0</v>
      </c>
      <c r="Q930" t="inlineStr">
        <is>
          <t/>
        </is>
      </c>
      <c r="R930" t="inlineStr">
        <is>
          <t/>
        </is>
      </c>
      <c r="S930" t="n">
        <v>0.0</v>
      </c>
      <c r="T930" t="n">
        <v>0.0</v>
      </c>
      <c r="U930" t="n">
        <v>0.0</v>
      </c>
      <c r="V930" t="n">
        <v>0.0</v>
      </c>
      <c r="W930" t="inlineStr">
        <is>
          <t/>
        </is>
      </c>
      <c r="X930" t="n">
        <v>0.0</v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n">
        <v>0.0</v>
      </c>
      <c r="AI930" t="n">
        <v>0.0</v>
      </c>
      <c r="AJ930" t="n">
        <v>0.0</v>
      </c>
      <c r="AK930" t="inlineStr">
        <is>
          <t/>
        </is>
      </c>
      <c r="AL930" t="inlineStr">
        <is>
          <t/>
        </is>
      </c>
    </row>
    <row r="931">
      <c r="A931" t="inlineStr">
        <is>
          <t>过年给老爸老妈买的一整条三文鱼！</t>
        </is>
      </c>
      <c r="B931" t="inlineStr">
        <is>
          <t>697c559a000000001a035ccc</t>
        </is>
      </c>
      <c r="C931" s="930" t="n">
        <f>HYPERLINK("https://www.xiaohongshu.com/explore/697c559a000000001a035ccc?xsec_token=TBV-62_c6Sms9X18ENcOcpiEd6DJ77aX2nqBDIN91pMVU=&amp;xsec_source=pc_trdark","https://www.xiaohongshu.com/explore/697c559a000000001a035ccc?xsec_token=TBV-62_c6Sms9X18ENcOcpiEd6DJ77aX2nqBDIN91pMVU=&amp;xsec_source=pc_trdark")</f>
        <v>0.0</v>
      </c>
      <c r="D931" t="inlineStr">
        <is>
          <t>鲜水湾</t>
        </is>
      </c>
      <c r="E931" t="inlineStr">
        <is>
          <t>49316638994</t>
        </is>
      </c>
      <c r="F931" t="inlineStr">
        <is>
          <t>2026-01-30 14:54:18</t>
        </is>
      </c>
      <c r="G931" t="inlineStr">
        <is>
          <t>图文</t>
        </is>
      </c>
      <c r="H931" t="inlineStr">
        <is>
          <t>智利三文鱼切块·整条三文鱼·深海鱼一人食健康饮食</t>
        </is>
      </c>
      <c r="I931" t="inlineStr">
        <is>
          <t>691ac562a524ee0001b51d7b</t>
        </is>
      </c>
      <c r="J931" t="inlineStr">
        <is>
          <t/>
        </is>
      </c>
      <c r="K931" t="n">
        <v>0.0</v>
      </c>
      <c r="L931" t="n">
        <v>0.0</v>
      </c>
      <c r="M931" t="n">
        <v>0.0</v>
      </c>
      <c r="N931" t="inlineStr">
        <is>
          <t/>
        </is>
      </c>
      <c r="O931" t="n">
        <v>0.0</v>
      </c>
      <c r="P931" t="n">
        <v>0.0</v>
      </c>
      <c r="Q931" t="inlineStr">
        <is>
          <t/>
        </is>
      </c>
      <c r="R931" t="inlineStr">
        <is>
          <t/>
        </is>
      </c>
      <c r="S931" t="n">
        <v>0.0</v>
      </c>
      <c r="T931" t="n">
        <v>0.0</v>
      </c>
      <c r="U931" t="n">
        <v>0.0</v>
      </c>
      <c r="V931" t="n">
        <v>0.0</v>
      </c>
      <c r="W931" t="inlineStr">
        <is>
          <t/>
        </is>
      </c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n">
        <v>0.0</v>
      </c>
      <c r="AI931" t="n">
        <v>0.0</v>
      </c>
      <c r="AJ931" t="n">
        <v>0.0</v>
      </c>
      <c r="AK931" t="inlineStr">
        <is>
          <t/>
        </is>
      </c>
      <c r="AL931" t="inlineStr">
        <is>
          <t/>
        </is>
      </c>
    </row>
    <row r="932">
      <c r="A932" t="inlineStr">
        <is>
          <t>整条三文鱼，送礼首选！</t>
        </is>
      </c>
      <c r="B932" t="inlineStr">
        <is>
          <t>697b6bcd000000002800b16c</t>
        </is>
      </c>
      <c r="C932" s="931" t="n">
        <f>HYPERLINK("https://www.xiaohongshu.com/explore/697b6bcd000000002800b16c?xsec_token=TBx0gf9xFBuo-Uf0_oTJMkRAXL-jqckZHLsjvPP2T4vs8=&amp;xsec_source=pc_trdark","https://www.xiaohongshu.com/explore/697b6bcd000000002800b16c?xsec_token=TBx0gf9xFBuo-Uf0_oTJMkRAXL-jqckZHLsjvPP2T4vs8=&amp;xsec_source=pc_trdark")</f>
        <v>0.0</v>
      </c>
      <c r="D932" t="inlineStr">
        <is>
          <t>鲜水湾</t>
        </is>
      </c>
      <c r="E932" t="inlineStr">
        <is>
          <t>49316638994</t>
        </is>
      </c>
      <c r="F932" t="inlineStr">
        <is>
          <t>2026-01-29 22:16:45</t>
        </is>
      </c>
      <c r="G932" t="inlineStr">
        <is>
          <t>图文</t>
        </is>
      </c>
      <c r="H932" t="inlineStr">
        <is>
          <t>智利三文鱼切块·整条三文鱼·深海鱼一人食健康饮食</t>
        </is>
      </c>
      <c r="I932" t="inlineStr">
        <is>
          <t>691ac562a524ee0001b51d7b</t>
        </is>
      </c>
      <c r="J932" t="inlineStr">
        <is>
          <t/>
        </is>
      </c>
      <c r="K932" t="n">
        <v>0.0</v>
      </c>
      <c r="L932" t="n">
        <v>0.0</v>
      </c>
      <c r="M932" t="n">
        <v>0.0</v>
      </c>
      <c r="N932" t="inlineStr">
        <is>
          <t/>
        </is>
      </c>
      <c r="O932" t="n">
        <v>0.0</v>
      </c>
      <c r="P932" t="n">
        <v>0.0</v>
      </c>
      <c r="Q932" t="inlineStr">
        <is>
          <t/>
        </is>
      </c>
      <c r="R932" t="inlineStr">
        <is>
          <t/>
        </is>
      </c>
      <c r="S932" t="n">
        <v>0.0</v>
      </c>
      <c r="T932" t="n">
        <v>0.0</v>
      </c>
      <c r="U932" t="n">
        <v>0.0</v>
      </c>
      <c r="V932" t="n">
        <v>0.0</v>
      </c>
      <c r="W932" t="inlineStr">
        <is>
          <t/>
        </is>
      </c>
      <c r="X932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n">
        <v>0.0</v>
      </c>
      <c r="AI932" t="n">
        <v>0.0</v>
      </c>
      <c r="AJ932" t="n">
        <v>0.0</v>
      </c>
      <c r="AK932" t="inlineStr">
        <is>
          <t/>
        </is>
      </c>
      <c r="AL932" t="inlineStr">
        <is>
          <t/>
        </is>
      </c>
    </row>
    <row r="933">
      <c r="A933" t="inlineStr">
        <is>
          <t>今年走亲戚别送奶了❗️送这鱼备有面儿</t>
        </is>
      </c>
      <c r="B933" t="inlineStr">
        <is>
          <t>697b2834000000000d008a39</t>
        </is>
      </c>
      <c r="C933" s="932" t="n">
        <f>HYPERLINK("https://www.xiaohongshu.com/explore/697b2834000000000d008a39?xsec_token=TBx0gf9xFBuo-Uf0_oTJMkRGIGml1cD74L8EYqARDVQLU=&amp;xsec_source=pc_trdark","https://www.xiaohongshu.com/explore/697b2834000000000d008a39?xsec_token=TBx0gf9xFBuo-Uf0_oTJMkRGIGml1cD74L8EYqARDVQLU=&amp;xsec_source=pc_trdark")</f>
        <v>0.0</v>
      </c>
      <c r="D933" t="inlineStr">
        <is>
          <t>鲜水湾</t>
        </is>
      </c>
      <c r="E933" t="inlineStr">
        <is>
          <t>49316638994</t>
        </is>
      </c>
      <c r="F933" t="inlineStr">
        <is>
          <t>2026-01-29 17:28:20</t>
        </is>
      </c>
      <c r="G933" t="inlineStr">
        <is>
          <t>图文</t>
        </is>
      </c>
      <c r="H933" t="inlineStr">
        <is>
          <t>智利三文鱼切块·整条三文鱼·深海鱼一人食健康饮食</t>
        </is>
      </c>
      <c r="I933" t="inlineStr">
        <is>
          <t>691ac562a524ee0001b51d7b</t>
        </is>
      </c>
      <c r="J933" t="inlineStr">
        <is>
          <t/>
        </is>
      </c>
      <c r="K933" t="n">
        <v>0.0</v>
      </c>
      <c r="L933" t="n">
        <v>0.0</v>
      </c>
      <c r="M933" t="n">
        <v>0.0</v>
      </c>
      <c r="N933" t="inlineStr">
        <is>
          <t/>
        </is>
      </c>
      <c r="O933" t="n">
        <v>0.0</v>
      </c>
      <c r="P933" t="n">
        <v>0.0</v>
      </c>
      <c r="Q933" t="inlineStr">
        <is>
          <t/>
        </is>
      </c>
      <c r="R933" t="inlineStr">
        <is>
          <t/>
        </is>
      </c>
      <c r="S933" t="n">
        <v>0.0</v>
      </c>
      <c r="T933" t="n">
        <v>0.0</v>
      </c>
      <c r="U933" t="n">
        <v>0.0</v>
      </c>
      <c r="V933" t="n">
        <v>0.0</v>
      </c>
      <c r="W933" t="inlineStr">
        <is>
          <t/>
        </is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  <c r="AE933" t="n">
        <v>0.0</v>
      </c>
      <c r="AF933" t="n">
        <v>0.0</v>
      </c>
      <c r="AG933" t="n">
        <v>0.0</v>
      </c>
      <c r="AH933" t="n">
        <v>0.0</v>
      </c>
      <c r="AI933" t="n">
        <v>0.0</v>
      </c>
      <c r="AJ933" t="n">
        <v>0.0</v>
      </c>
      <c r="AK933" t="inlineStr">
        <is>
          <t/>
        </is>
      </c>
      <c r="AL933" t="inlineStr">
        <is>
          <t/>
        </is>
      </c>
    </row>
    <row r="934">
      <c r="A934" t="inlineStr">
        <is>
          <t>买不到好的生蚝就来找我！包肥的</t>
        </is>
      </c>
      <c r="B934" t="inlineStr">
        <is>
          <t>697b140a000000002801f272</t>
        </is>
      </c>
      <c r="C934" s="933" t="n">
        <f>HYPERLINK("https://www.xiaohongshu.com/explore/697b140a000000002801f272?xsec_token=TBx0gf9xFBuo-Uf0_oTJMkRAe5zNebA4cCCzNoT7itunA=&amp;xsec_source=pc_trdark","https://www.xiaohongshu.com/explore/697b140a000000002801f272?xsec_token=TBx0gf9xFBuo-Uf0_oTJMkRAe5zNebA4cCCzNoT7itunA=&amp;xsec_source=pc_trdark")</f>
        <v>0.0</v>
      </c>
      <c r="D934" t="inlineStr">
        <is>
          <t>鲜水湾</t>
        </is>
      </c>
      <c r="E934" t="inlineStr">
        <is>
          <t>49316638994</t>
        </is>
      </c>
      <c r="F934" t="inlineStr">
        <is>
          <t>2026-01-29 16:02:18</t>
        </is>
      </c>
      <c r="G934" t="inlineStr">
        <is>
          <t>图文</t>
        </is>
      </c>
      <c r="H934" t="inlineStr">
        <is>
          <t>生蚝乳山生蚝海蛎子顺丰包邮</t>
        </is>
      </c>
      <c r="I934" t="inlineStr">
        <is>
          <t>690c70971b787900010866cc</t>
        </is>
      </c>
      <c r="J934" t="inlineStr">
        <is>
          <t/>
        </is>
      </c>
      <c r="K934" t="n">
        <v>0.0</v>
      </c>
      <c r="L934" t="n">
        <v>0.0</v>
      </c>
      <c r="M934" t="n">
        <v>0.0</v>
      </c>
      <c r="N934" t="inlineStr">
        <is>
          <t/>
        </is>
      </c>
      <c r="O934" t="n">
        <v>0.0</v>
      </c>
      <c r="P934" t="n">
        <v>0.0</v>
      </c>
      <c r="Q934" t="inlineStr">
        <is>
          <t/>
        </is>
      </c>
      <c r="R934" t="inlineStr">
        <is>
          <t/>
        </is>
      </c>
      <c r="S934" t="n">
        <v>0.0</v>
      </c>
      <c r="T934" t="n">
        <v>0.0</v>
      </c>
      <c r="U934" t="n">
        <v>0.0</v>
      </c>
      <c r="V934" t="n">
        <v>0.0</v>
      </c>
      <c r="W934" t="inlineStr">
        <is>
          <t/>
        </is>
      </c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n">
        <v>0.0</v>
      </c>
      <c r="AI934" t="n">
        <v>0.0</v>
      </c>
      <c r="AJ934" t="n">
        <v>0.0</v>
      </c>
      <c r="AK934" t="inlineStr">
        <is>
          <t/>
        </is>
      </c>
      <c r="AL934" t="inlineStr">
        <is>
          <t/>
        </is>
      </c>
    </row>
    <row r="935">
      <c r="A935" t="inlineStr">
        <is>
          <t>一代人有一代人的年货要买！</t>
        </is>
      </c>
      <c r="B935" t="inlineStr">
        <is>
          <t>6979df44000000002800ad3a</t>
        </is>
      </c>
      <c r="C935" s="934" t="n">
        <f>HYPERLINK("https://www.xiaohongshu.com/explore/6979df44000000002800ad3a?xsec_token=TBDUixuchs-ppRvZ3sgkNDRc6EolPjX91ZgaZx97b9w9w=&amp;xsec_source=pc_trdark","https://www.xiaohongshu.com/explore/6979df44000000002800ad3a?xsec_token=TBDUixuchs-ppRvZ3sgkNDRc6EolPjX91ZgaZx97b9w9w=&amp;xsec_source=pc_trdark")</f>
        <v>0.0</v>
      </c>
      <c r="D935" t="inlineStr">
        <is>
          <t>鲜水湾</t>
        </is>
      </c>
      <c r="E935" t="inlineStr">
        <is>
          <t>49316638994</t>
        </is>
      </c>
      <c r="F935" t="inlineStr">
        <is>
          <t>2026-01-28 18:04:52</t>
        </is>
      </c>
      <c r="G935" t="inlineStr">
        <is>
          <t>图文</t>
        </is>
      </c>
      <c r="H935" t="inlineStr">
        <is>
          <t>大虾基围虾王牌大虾厄瓜多尔白虾盐冻虾仁海洋大虾送礼顺丰包邮</t>
        </is>
      </c>
      <c r="I935" t="inlineStr">
        <is>
          <t>690aeb7be379430001e686ac</t>
        </is>
      </c>
      <c r="J935" t="inlineStr">
        <is>
          <t/>
        </is>
      </c>
      <c r="K935" t="n">
        <v>0.0</v>
      </c>
      <c r="L935" t="n">
        <v>0.0</v>
      </c>
      <c r="M935" t="n">
        <v>0.0</v>
      </c>
      <c r="N935" t="inlineStr">
        <is>
          <t/>
        </is>
      </c>
      <c r="O935" t="n">
        <v>0.0</v>
      </c>
      <c r="P935" t="n">
        <v>0.0</v>
      </c>
      <c r="Q935" t="inlineStr">
        <is>
          <t/>
        </is>
      </c>
      <c r="R935" t="inlineStr">
        <is>
          <t/>
        </is>
      </c>
      <c r="S935" t="n">
        <v>0.0</v>
      </c>
      <c r="T935" t="n">
        <v>0.0</v>
      </c>
      <c r="U935" t="n">
        <v>0.0</v>
      </c>
      <c r="V935" t="n">
        <v>0.0</v>
      </c>
      <c r="W935" t="inlineStr">
        <is>
          <t/>
        </is>
      </c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n">
        <v>0.0</v>
      </c>
      <c r="AI935" t="n">
        <v>0.0</v>
      </c>
      <c r="AJ935" t="n">
        <v>0.0</v>
      </c>
      <c r="AK935" t="inlineStr">
        <is>
          <t/>
        </is>
      </c>
      <c r="AL935" t="inlineStr">
        <is>
          <t/>
        </is>
      </c>
    </row>
    <row r="936">
      <c r="A936" t="inlineStr">
        <is>
          <t>早八人抄作业！十分钟搞定的早餐🥣</t>
        </is>
      </c>
      <c r="B936" t="inlineStr">
        <is>
          <t>69798e47000000001a02404b</t>
        </is>
      </c>
      <c r="C936" s="935" t="n">
        <f>HYPERLINK("https://www.xiaohongshu.com/explore/69798e47000000001a02404b?xsec_token=TBDUixuchs-ppRvZ3sgkNDRQgtSfn7IWS1xiBCT8lbZ5w=&amp;xsec_source=pc_trdark","https://www.xiaohongshu.com/explore/69798e47000000001a02404b?xsec_token=TBDUixuchs-ppRvZ3sgkNDRQgtSfn7IWS1xiBCT8lbZ5w=&amp;xsec_source=pc_trdark")</f>
        <v>0.0</v>
      </c>
      <c r="D936" t="inlineStr">
        <is>
          <t>鲜水湾</t>
        </is>
      </c>
      <c r="E936" t="inlineStr">
        <is>
          <t>49316638994</t>
        </is>
      </c>
      <c r="F936" t="inlineStr">
        <is>
          <t>2026-01-28 12:19:19</t>
        </is>
      </c>
      <c r="G936" t="inlineStr">
        <is>
          <t>图文</t>
        </is>
      </c>
      <c r="H936" t="inlineStr">
        <is>
          <t>大虾基围虾王牌大虾厄瓜多尔白虾盐冻虾仁海洋大虾送礼顺丰包邮</t>
        </is>
      </c>
      <c r="I936" t="inlineStr">
        <is>
          <t>690aeb7be379430001e686ac</t>
        </is>
      </c>
      <c r="J936" t="inlineStr">
        <is>
          <t/>
        </is>
      </c>
      <c r="K936" t="n">
        <v>0.0</v>
      </c>
      <c r="L936" t="n">
        <v>0.0</v>
      </c>
      <c r="M936" t="n">
        <v>0.0</v>
      </c>
      <c r="N936" t="inlineStr">
        <is>
          <t/>
        </is>
      </c>
      <c r="O936" t="n">
        <v>0.0</v>
      </c>
      <c r="P936" t="n">
        <v>0.0</v>
      </c>
      <c r="Q936" t="inlineStr">
        <is>
          <t/>
        </is>
      </c>
      <c r="R936" t="inlineStr">
        <is>
          <t/>
        </is>
      </c>
      <c r="S936" t="n">
        <v>0.0</v>
      </c>
      <c r="T936" t="n">
        <v>0.0</v>
      </c>
      <c r="U936" t="n">
        <v>0.0</v>
      </c>
      <c r="V936" t="n">
        <v>0.0</v>
      </c>
      <c r="W936" t="inlineStr">
        <is>
          <t/>
        </is>
      </c>
      <c r="X936" t="n">
        <v>0.0</v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n">
        <v>0.0</v>
      </c>
      <c r="AI936" t="n">
        <v>0.0</v>
      </c>
      <c r="AJ936" t="n">
        <v>0.0</v>
      </c>
      <c r="AK936" t="inlineStr">
        <is>
          <t/>
        </is>
      </c>
      <c r="AL936" t="inlineStr">
        <is>
          <t/>
        </is>
      </c>
    </row>
    <row r="937">
      <c r="A937" t="inlineStr">
        <is>
          <t>以为69没多少，但一盒够我吃一周的了🥹</t>
        </is>
      </c>
      <c r="B937" t="inlineStr">
        <is>
          <t>69787b64000000001a02d584</t>
        </is>
      </c>
      <c r="C937" s="936" t="n">
        <f>HYPERLINK("https://www.xiaohongshu.com/explore/69787b64000000001a02d584?xsec_token=TB4uixe4FoDg0vEpIlbspmiiDHdct7wttXqXSRfpGWphA=&amp;xsec_source=pc_trdark","https://www.xiaohongshu.com/explore/69787b64000000001a02d584?xsec_token=TB4uixe4FoDg0vEpIlbspmiiDHdct7wttXqXSRfpGWphA=&amp;xsec_source=pc_trdark")</f>
        <v>0.0</v>
      </c>
      <c r="D937" t="inlineStr">
        <is>
          <t>鲜水湾</t>
        </is>
      </c>
      <c r="E937" t="inlineStr">
        <is>
          <t>49316638994</t>
        </is>
      </c>
      <c r="F937" t="inlineStr">
        <is>
          <t>2026-01-27 16:46:28</t>
        </is>
      </c>
      <c r="G937" t="inlineStr">
        <is>
          <t>图文</t>
        </is>
      </c>
      <c r="H937" t="inlineStr">
        <is>
          <t>王牌大虾鲜冻大虾厄瓜多尔白虾盐冻大虾年货过年送礼顺丰包邮</t>
        </is>
      </c>
      <c r="I937" t="inlineStr">
        <is>
          <t>69782738eb0d9a0001cd8a32</t>
        </is>
      </c>
      <c r="J937" t="inlineStr">
        <is>
          <t/>
        </is>
      </c>
      <c r="K937" t="n">
        <v>0.0</v>
      </c>
      <c r="L937" t="n">
        <v>0.0</v>
      </c>
      <c r="M937" t="n">
        <v>0.0</v>
      </c>
      <c r="N937" t="inlineStr">
        <is>
          <t/>
        </is>
      </c>
      <c r="O937" t="n">
        <v>0.0</v>
      </c>
      <c r="P937" t="n">
        <v>0.0</v>
      </c>
      <c r="Q937" t="inlineStr">
        <is>
          <t/>
        </is>
      </c>
      <c r="R937" t="inlineStr">
        <is>
          <t/>
        </is>
      </c>
      <c r="S937" t="n">
        <v>0.0</v>
      </c>
      <c r="T937" t="n">
        <v>0.0</v>
      </c>
      <c r="U937" t="n">
        <v>0.0</v>
      </c>
      <c r="V937" t="n">
        <v>0.0</v>
      </c>
      <c r="W937" t="inlineStr">
        <is>
          <t/>
        </is>
      </c>
      <c r="X937" t="n">
        <v>0.0</v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n">
        <v>0.0</v>
      </c>
      <c r="AI937" t="n">
        <v>0.0</v>
      </c>
      <c r="AJ937" t="n">
        <v>0.0</v>
      </c>
      <c r="AK937" t="inlineStr">
        <is>
          <t/>
        </is>
      </c>
      <c r="AL937" t="inlineStr">
        <is>
          <t/>
        </is>
      </c>
    </row>
    <row r="938">
      <c r="A938" t="inlineStr">
        <is>
          <t>69💰3斤还发顺丰！很难不买单</t>
        </is>
      </c>
      <c r="B938" t="inlineStr">
        <is>
          <t>697817a7000000000d0088a5</t>
        </is>
      </c>
      <c r="C938" s="937" t="n">
        <f>HYPERLINK("https://www.xiaohongshu.com/explore/697817a7000000000d0088a5?xsec_token=TB4uixe4FoDg0vEpIlbspmijOtEZY7JMlMJAU-i5IDNE0=&amp;xsec_source=pc_trdark","https://www.xiaohongshu.com/explore/697817a7000000000d0088a5?xsec_token=TB4uixe4FoDg0vEpIlbspmijOtEZY7JMlMJAU-i5IDNE0=&amp;xsec_source=pc_trdark")</f>
        <v>0.0</v>
      </c>
      <c r="D938" t="inlineStr">
        <is>
          <t>鲜水湾</t>
        </is>
      </c>
      <c r="E938" t="inlineStr">
        <is>
          <t>49316638994</t>
        </is>
      </c>
      <c r="F938" t="inlineStr">
        <is>
          <t>2026-01-27 09:40:55</t>
        </is>
      </c>
      <c r="G938" t="inlineStr">
        <is>
          <t>图文</t>
        </is>
      </c>
      <c r="H938" t="inlineStr">
        <is>
          <t>大虾基围虾王牌大虾厄瓜多尔白虾盐冻虾仁海洋大虾送礼顺丰包邮</t>
        </is>
      </c>
      <c r="I938" t="inlineStr">
        <is>
          <t>690aeb7be379430001e686ac</t>
        </is>
      </c>
      <c r="J938" t="inlineStr">
        <is>
          <t/>
        </is>
      </c>
      <c r="K938" t="n">
        <v>0.0</v>
      </c>
      <c r="L938" t="n">
        <v>0.0</v>
      </c>
      <c r="M938" t="n">
        <v>0.0</v>
      </c>
      <c r="N938" t="inlineStr">
        <is>
          <t/>
        </is>
      </c>
      <c r="O938" t="n">
        <v>0.0</v>
      </c>
      <c r="P938" t="n">
        <v>0.0</v>
      </c>
      <c r="Q938" t="inlineStr">
        <is>
          <t/>
        </is>
      </c>
      <c r="R938" t="inlineStr">
        <is>
          <t/>
        </is>
      </c>
      <c r="S938" t="n">
        <v>0.0</v>
      </c>
      <c r="T938" t="n">
        <v>0.0</v>
      </c>
      <c r="U938" t="n">
        <v>0.0</v>
      </c>
      <c r="V938" t="n">
        <v>0.0</v>
      </c>
      <c r="W938" t="inlineStr">
        <is>
          <t/>
        </is>
      </c>
      <c r="X938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inlineStr">
        <is>
          <t/>
        </is>
      </c>
      <c r="AL938" t="inlineStr">
        <is>
          <t/>
        </is>
      </c>
    </row>
    <row r="939">
      <c r="A939" t="inlineStr">
        <is>
          <t>天冷了，乳山生蚝一下子全肥了不可控…</t>
        </is>
      </c>
      <c r="B939" t="inlineStr">
        <is>
          <t>69742df6000000002800b39a</t>
        </is>
      </c>
      <c r="C939" s="938" t="n">
        <f>HYPERLINK("https://www.xiaohongshu.com/explore/69742df6000000002800b39a?xsec_token=TBnOcp8R1oAalfOSidaFfKvM0LA4ImtGhKNkltd-nkG58=&amp;xsec_source=pc_trdark","https://www.xiaohongshu.com/explore/69742df6000000002800b39a?xsec_token=TBnOcp8R1oAalfOSidaFfKvM0LA4ImtGhKNkltd-nkG58=&amp;xsec_source=pc_trdark")</f>
        <v>0.0</v>
      </c>
      <c r="D939" t="inlineStr">
        <is>
          <t>鲜水湾</t>
        </is>
      </c>
      <c r="E939" t="inlineStr">
        <is>
          <t>49316638994</t>
        </is>
      </c>
      <c r="F939" t="inlineStr">
        <is>
          <t>2026-01-24 10:27:02</t>
        </is>
      </c>
      <c r="G939" t="inlineStr">
        <is>
          <t>图文</t>
        </is>
      </c>
      <c r="H939" t="inlineStr">
        <is>
          <t>生蚝乳山生蚝海蛎子顺丰包邮</t>
        </is>
      </c>
      <c r="I939" t="inlineStr">
        <is>
          <t>690c70971b787900010866cc</t>
        </is>
      </c>
      <c r="J939" t="inlineStr">
        <is>
          <t/>
        </is>
      </c>
      <c r="K939" t="n">
        <v>0.0</v>
      </c>
      <c r="L939" t="n">
        <v>0.0</v>
      </c>
      <c r="M939" t="n">
        <v>0.0</v>
      </c>
      <c r="N939" t="inlineStr">
        <is>
          <t/>
        </is>
      </c>
      <c r="O939" t="n">
        <v>0.0</v>
      </c>
      <c r="P939" t="n">
        <v>0.0</v>
      </c>
      <c r="Q939" t="inlineStr">
        <is>
          <t/>
        </is>
      </c>
      <c r="R939" t="inlineStr">
        <is>
          <t/>
        </is>
      </c>
      <c r="S939" t="n">
        <v>0.0</v>
      </c>
      <c r="T939" t="n">
        <v>0.0</v>
      </c>
      <c r="U939" t="n">
        <v>0.0</v>
      </c>
      <c r="V939" t="n">
        <v>0.0</v>
      </c>
      <c r="W939" t="inlineStr">
        <is>
          <t/>
        </is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inlineStr">
        <is>
          <t/>
        </is>
      </c>
      <c r="AL939" t="inlineStr">
        <is>
          <t/>
        </is>
      </c>
    </row>
    <row r="940">
      <c r="A940" t="inlineStr">
        <is>
          <t>我妈让我赶紧宣传一下40多一箱了‼️包活包肥</t>
        </is>
      </c>
      <c r="B940" t="inlineStr">
        <is>
          <t>697391e8000000001a024cb4</t>
        </is>
      </c>
      <c r="C940" s="939" t="n">
        <f>HYPERLINK("https://www.xiaohongshu.com/explore/697391e8000000001a024cb4?xsec_token=TBK07qywxRjCZuuyJUweFeX78HomRTj3dyX-Jx-RO2FF0=&amp;xsec_source=pc_trdark","https://www.xiaohongshu.com/explore/697391e8000000001a024cb4?xsec_token=TBK07qywxRjCZuuyJUweFeX78HomRTj3dyX-Jx-RO2FF0=&amp;xsec_source=pc_trdark")</f>
        <v>0.0</v>
      </c>
      <c r="D940" t="inlineStr">
        <is>
          <t>鲜水湾</t>
        </is>
      </c>
      <c r="E940" t="inlineStr">
        <is>
          <t>49316638994</t>
        </is>
      </c>
      <c r="F940" t="inlineStr">
        <is>
          <t>2026-01-23 23:21:12</t>
        </is>
      </c>
      <c r="G940" t="inlineStr">
        <is>
          <t>图文</t>
        </is>
      </c>
      <c r="H940" t="inlineStr">
        <is>
          <t>生蚝乳山生蚝海蛎子顺丰包邮</t>
        </is>
      </c>
      <c r="I940" t="inlineStr">
        <is>
          <t>690c70971b787900010866cc</t>
        </is>
      </c>
      <c r="J940" t="inlineStr">
        <is>
          <t/>
        </is>
      </c>
      <c r="K940" t="n">
        <v>0.0</v>
      </c>
      <c r="L940" t="n">
        <v>0.0</v>
      </c>
      <c r="M940" t="n">
        <v>0.0</v>
      </c>
      <c r="N940" t="inlineStr">
        <is>
          <t/>
        </is>
      </c>
      <c r="O940" t="n">
        <v>0.0</v>
      </c>
      <c r="P940" t="n">
        <v>0.0</v>
      </c>
      <c r="Q940" t="inlineStr">
        <is>
          <t/>
        </is>
      </c>
      <c r="R940" t="inlineStr">
        <is>
          <t/>
        </is>
      </c>
      <c r="S940" t="n">
        <v>0.0</v>
      </c>
      <c r="T940" t="n">
        <v>0.0</v>
      </c>
      <c r="U940" t="n">
        <v>0.0</v>
      </c>
      <c r="V940" t="n">
        <v>0.0</v>
      </c>
      <c r="W940" t="inlineStr">
        <is>
          <t/>
        </is>
      </c>
      <c r="X940" t="n">
        <v>0.0</v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n">
        <v>0.0</v>
      </c>
      <c r="AI940" t="n">
        <v>0.0</v>
      </c>
      <c r="AJ940" t="n">
        <v>0.0</v>
      </c>
      <c r="AK940" t="inlineStr">
        <is>
          <t/>
        </is>
      </c>
      <c r="AL940" t="inlineStr">
        <is>
          <t/>
        </is>
      </c>
    </row>
    <row r="941">
      <c r="A941" t="inlineStr">
        <is>
          <t>只要Xhs一直给！我就一直薅</t>
        </is>
      </c>
      <c r="B941" t="inlineStr">
        <is>
          <t>696deb26000000001a034564</t>
        </is>
      </c>
      <c r="C941" s="940" t="n">
        <f>HYPERLINK("https://www.xiaohongshu.com/explore/696deb26000000001a034564?xsec_token=TBhBdCGGh1NnVPomuS6-J4H-lJBR6-tRJG_EXl-VW63Sg=&amp;xsec_source=pc_trdark","https://www.xiaohongshu.com/explore/696deb26000000001a034564?xsec_token=TBhBdCGGh1NnVPomuS6-J4H-lJBR6-tRJG_EXl-VW63Sg=&amp;xsec_source=pc_trdark")</f>
        <v>0.0</v>
      </c>
      <c r="D941" t="inlineStr">
        <is>
          <t>鲜水湾</t>
        </is>
      </c>
      <c r="E941" t="inlineStr">
        <is>
          <t>49316638994</t>
        </is>
      </c>
      <c r="F941" t="inlineStr">
        <is>
          <t>2026-01-19 16:28:22</t>
        </is>
      </c>
      <c r="G941" t="inlineStr">
        <is>
          <t>图文</t>
        </is>
      </c>
      <c r="H941" t="inlineStr">
        <is>
          <t>生蚝乳山生蚝海蛎子顺丰包邮</t>
        </is>
      </c>
      <c r="I941" t="inlineStr">
        <is>
          <t>690c70971b787900010866cc</t>
        </is>
      </c>
      <c r="J941" t="inlineStr">
        <is>
          <t/>
        </is>
      </c>
      <c r="K941" t="n">
        <v>0.0</v>
      </c>
      <c r="L941" t="n">
        <v>0.0</v>
      </c>
      <c r="M941" t="n">
        <v>0.0</v>
      </c>
      <c r="N941" t="inlineStr">
        <is>
          <t/>
        </is>
      </c>
      <c r="O941" t="n">
        <v>0.0</v>
      </c>
      <c r="P941" t="n">
        <v>0.0</v>
      </c>
      <c r="Q941" t="inlineStr">
        <is>
          <t/>
        </is>
      </c>
      <c r="R941" t="inlineStr">
        <is>
          <t/>
        </is>
      </c>
      <c r="S941" t="n">
        <v>0.0</v>
      </c>
      <c r="T941" t="n">
        <v>0.0</v>
      </c>
      <c r="U941" t="n">
        <v>0.0</v>
      </c>
      <c r="V941" t="n">
        <v>0.0</v>
      </c>
      <c r="W941" t="inlineStr">
        <is>
          <t/>
        </is>
      </c>
      <c r="X941" t="n">
        <v>0.0</v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inlineStr">
        <is>
          <t/>
        </is>
      </c>
      <c r="AL941" t="inlineStr">
        <is>
          <t/>
        </is>
      </c>
    </row>
    <row r="942">
      <c r="A942" t="inlineStr">
        <is>
          <t>感谢山东网友推荐！40+一箱的生蚝太肥了</t>
        </is>
      </c>
      <c r="B942" t="inlineStr">
        <is>
          <t>695bcd41000000000e00f3bb</t>
        </is>
      </c>
      <c r="C942" s="941" t="n">
        <f>HYPERLINK("https://www.xiaohongshu.com/explore/695bcd41000000000e00f3bb?xsec_token=TBEEVOdJitxkDWIk1imW74DtEhroG6sa0O9CDL9nMMTDc=&amp;xsec_source=pc_trdark","https://www.xiaohongshu.com/explore/695bcd41000000000e00f3bb?xsec_token=TBEEVOdJitxkDWIk1imW74DtEhroG6sa0O9CDL9nMMTDc=&amp;xsec_source=pc_trdark")</f>
        <v>0.0</v>
      </c>
      <c r="D942" t="inlineStr">
        <is>
          <t>鲜水湾</t>
        </is>
      </c>
      <c r="E942" t="inlineStr">
        <is>
          <t>49316638994</t>
        </is>
      </c>
      <c r="F942" t="inlineStr">
        <is>
          <t>2026-01-05 22:40:01</t>
        </is>
      </c>
      <c r="G942" t="inlineStr">
        <is>
          <t>图文</t>
        </is>
      </c>
      <c r="H942" t="inlineStr">
        <is>
          <t>生蚝乳山生蚝海蛎子顺丰包邮</t>
        </is>
      </c>
      <c r="I942" t="inlineStr">
        <is>
          <t>690c70971b787900010866cc</t>
        </is>
      </c>
      <c r="J942" t="inlineStr">
        <is>
          <t/>
        </is>
      </c>
      <c r="K942" t="n">
        <v>0.0</v>
      </c>
      <c r="L942" t="n">
        <v>0.0</v>
      </c>
      <c r="M942" t="n">
        <v>0.0</v>
      </c>
      <c r="N942" t="inlineStr">
        <is>
          <t/>
        </is>
      </c>
      <c r="O942" t="n">
        <v>0.0</v>
      </c>
      <c r="P942" t="n">
        <v>0.0</v>
      </c>
      <c r="Q942" t="inlineStr">
        <is>
          <t/>
        </is>
      </c>
      <c r="R942" t="inlineStr">
        <is>
          <t/>
        </is>
      </c>
      <c r="S942" t="n">
        <v>0.0</v>
      </c>
      <c r="T942" t="n">
        <v>0.0</v>
      </c>
      <c r="U942" t="n">
        <v>0.0</v>
      </c>
      <c r="V942" t="n">
        <v>0.0</v>
      </c>
      <c r="W942" t="inlineStr">
        <is>
          <t/>
        </is>
      </c>
      <c r="X942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0.0</v>
      </c>
      <c r="AH942" t="n">
        <v>0.0</v>
      </c>
      <c r="AI942" t="n">
        <v>0.0</v>
      </c>
      <c r="AJ942" t="n">
        <v>0.0</v>
      </c>
      <c r="AK942" t="inlineStr">
        <is>
          <t/>
        </is>
      </c>
      <c r="AL942" t="inlineStr">
        <is>
          <t/>
        </is>
      </c>
    </row>
    <row r="943">
      <c r="A943" t="inlineStr">
        <is>
          <t>区区300多承包了我一个月的减脂餐</t>
        </is>
      </c>
      <c r="B943" t="inlineStr">
        <is>
          <t>6957e73c000000001f00d9de</t>
        </is>
      </c>
      <c r="C943" s="942" t="n">
        <f>HYPERLINK("https://www.xiaohongshu.com/explore/6957e73c000000001f00d9de?xsec_token=TBhUA1uFx5IoVoBZdOr3ZJfSYhCUQQhi1UCWoJJtqs1Kw=&amp;xsec_source=pc_trdark","https://www.xiaohongshu.com/explore/6957e73c000000001f00d9de?xsec_token=TBhUA1uFx5IoVoBZdOr3ZJfSYhCUQQhi1UCWoJJtqs1Kw=&amp;xsec_source=pc_trdark")</f>
        <v>0.0</v>
      </c>
      <c r="D943" t="inlineStr">
        <is>
          <t>鲜水湾</t>
        </is>
      </c>
      <c r="E943" t="inlineStr">
        <is>
          <t>49316638994</t>
        </is>
      </c>
      <c r="F943" t="inlineStr">
        <is>
          <t>2026-01-02 23:41:48</t>
        </is>
      </c>
      <c r="G943" t="inlineStr">
        <is>
          <t>图文</t>
        </is>
      </c>
      <c r="H943" t="inlineStr">
        <is>
          <t>智利三文鱼切块·整条三文鱼·深海鱼一人食健康饮食</t>
        </is>
      </c>
      <c r="I943" t="inlineStr">
        <is>
          <t>691ac562a524ee0001b51d7b</t>
        </is>
      </c>
      <c r="J943" t="inlineStr">
        <is>
          <t/>
        </is>
      </c>
      <c r="K943" t="n">
        <v>0.0</v>
      </c>
      <c r="L943" t="n">
        <v>0.0</v>
      </c>
      <c r="M943" t="n">
        <v>0.0</v>
      </c>
      <c r="N943" t="inlineStr">
        <is>
          <t/>
        </is>
      </c>
      <c r="O943" t="n">
        <v>0.0</v>
      </c>
      <c r="P943" t="n">
        <v>0.0</v>
      </c>
      <c r="Q943" t="inlineStr">
        <is>
          <t/>
        </is>
      </c>
      <c r="R943" t="inlineStr">
        <is>
          <t/>
        </is>
      </c>
      <c r="S943" t="n">
        <v>0.0</v>
      </c>
      <c r="T943" t="n">
        <v>0.0</v>
      </c>
      <c r="U943" t="n">
        <v>0.0</v>
      </c>
      <c r="V943" t="n">
        <v>0.0</v>
      </c>
      <c r="W943" t="inlineStr">
        <is>
          <t/>
        </is>
      </c>
      <c r="X943" t="n">
        <v>0.0</v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n">
        <v>0.0</v>
      </c>
      <c r="AI943" t="n">
        <v>0.0</v>
      </c>
      <c r="AJ943" t="n">
        <v>0.0</v>
      </c>
      <c r="AK943" t="inlineStr">
        <is>
          <t/>
        </is>
      </c>
      <c r="AL943" t="inlineStr">
        <is>
          <t/>
        </is>
      </c>
    </row>
    <row r="944">
      <c r="A944" t="inlineStr">
        <is>
          <t>我爸说：五斤就卖49.9，总比倒闭了强</t>
        </is>
      </c>
      <c r="B944" t="inlineStr">
        <is>
          <t>69569555000000001e036b60</t>
        </is>
      </c>
      <c r="C944" s="943" t="n">
        <f>HYPERLINK("https://www.xiaohongshu.com/explore/69569555000000001e036b60?xsec_token=TB_oVdiqQUcCQlNseLa8XT9nsvA6PkVXNgqOex2xAT6lE=&amp;xsec_source=pc_trdark","https://www.xiaohongshu.com/explore/69569555000000001e036b60?xsec_token=TB_oVdiqQUcCQlNseLa8XT9nsvA6PkVXNgqOex2xAT6lE=&amp;xsec_source=pc_trdark")</f>
        <v>0.0</v>
      </c>
      <c r="D944" t="inlineStr">
        <is>
          <t>鲜水湾</t>
        </is>
      </c>
      <c r="E944" t="inlineStr">
        <is>
          <t>49316638994</t>
        </is>
      </c>
      <c r="F944" t="inlineStr">
        <is>
          <t>2026-01-01 23:40:05</t>
        </is>
      </c>
      <c r="G944" t="inlineStr">
        <is>
          <t>图文</t>
        </is>
      </c>
      <c r="H944" t="inlineStr">
        <is>
          <t>生蚝乳山生蚝海蛎子顺丰包邮</t>
        </is>
      </c>
      <c r="I944" t="inlineStr">
        <is>
          <t>690c70971b787900010866cc</t>
        </is>
      </c>
      <c r="J944" t="inlineStr">
        <is>
          <t/>
        </is>
      </c>
      <c r="K944" t="n">
        <v>0.0</v>
      </c>
      <c r="L944" t="n">
        <v>0.0</v>
      </c>
      <c r="M944" t="n">
        <v>0.0</v>
      </c>
      <c r="N944" t="inlineStr">
        <is>
          <t/>
        </is>
      </c>
      <c r="O944" t="n">
        <v>0.0</v>
      </c>
      <c r="P944" t="n">
        <v>0.0</v>
      </c>
      <c r="Q944" t="inlineStr">
        <is>
          <t/>
        </is>
      </c>
      <c r="R944" t="inlineStr">
        <is>
          <t/>
        </is>
      </c>
      <c r="S944" t="n">
        <v>0.0</v>
      </c>
      <c r="T944" t="n">
        <v>0.0</v>
      </c>
      <c r="U944" t="n">
        <v>0.0</v>
      </c>
      <c r="V944" t="n">
        <v>0.0</v>
      </c>
      <c r="W944" t="inlineStr">
        <is>
          <t/>
        </is>
      </c>
      <c r="X944" t="n">
        <v>0.0</v>
      </c>
      <c r="Y944" t="n">
        <v>0.0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  <c r="AE944" t="n">
        <v>0.0</v>
      </c>
      <c r="AF944" t="n">
        <v>0.0</v>
      </c>
      <c r="AG944" t="n">
        <v>0.0</v>
      </c>
      <c r="AH944" t="n">
        <v>0.0</v>
      </c>
      <c r="AI944" t="n">
        <v>0.0</v>
      </c>
      <c r="AJ944" t="n">
        <v>0.0</v>
      </c>
      <c r="AK944" t="inlineStr">
        <is>
          <t/>
        </is>
      </c>
      <c r="AL944" t="inlineStr">
        <is>
          <t/>
        </is>
      </c>
    </row>
    <row r="945">
      <c r="A945" t="inlineStr">
        <is>
          <t>到季节了！这个乳山生蚝太肥了</t>
        </is>
      </c>
      <c r="B945" t="inlineStr">
        <is>
          <t>695542bc000000001e03711a</t>
        </is>
      </c>
      <c r="C945" s="944" t="n">
        <f>HYPERLINK("https://www.xiaohongshu.com/explore/695542bc000000001e03711a?xsec_token=TBIaTt8bDdfMemJ3dJpsBVNEpQGzC0cmx-IiY_YDjPRDI=&amp;xsec_source=pc_trdark","https://www.xiaohongshu.com/explore/695542bc000000001e03711a?xsec_token=TBIaTt8bDdfMemJ3dJpsBVNEpQGzC0cmx-IiY_YDjPRDI=&amp;xsec_source=pc_trdark")</f>
        <v>0.0</v>
      </c>
      <c r="D945" t="inlineStr">
        <is>
          <t>鲜水湾</t>
        </is>
      </c>
      <c r="E945" t="inlineStr">
        <is>
          <t>49316638994</t>
        </is>
      </c>
      <c r="F945" t="inlineStr">
        <is>
          <t>2025-12-31 23:35:24</t>
        </is>
      </c>
      <c r="G945" t="inlineStr">
        <is>
          <t>图文</t>
        </is>
      </c>
      <c r="H945" t="inlineStr">
        <is>
          <t>生蚝乳山生蚝海蛎子顺丰包邮</t>
        </is>
      </c>
      <c r="I945" t="inlineStr">
        <is>
          <t>690c70971b787900010866cc</t>
        </is>
      </c>
      <c r="J945" t="inlineStr">
        <is>
          <t/>
        </is>
      </c>
      <c r="K945" t="n">
        <v>0.0</v>
      </c>
      <c r="L945" t="n">
        <v>0.0</v>
      </c>
      <c r="M945" t="n">
        <v>0.0</v>
      </c>
      <c r="N945" t="inlineStr">
        <is>
          <t/>
        </is>
      </c>
      <c r="O945" t="n">
        <v>0.0</v>
      </c>
      <c r="P945" t="n">
        <v>0.0</v>
      </c>
      <c r="Q945" t="inlineStr">
        <is>
          <t/>
        </is>
      </c>
      <c r="R945" t="inlineStr">
        <is>
          <t/>
        </is>
      </c>
      <c r="S945" t="n">
        <v>0.0</v>
      </c>
      <c r="T945" t="n">
        <v>0.0</v>
      </c>
      <c r="U945" t="n">
        <v>0.0</v>
      </c>
      <c r="V945" t="n">
        <v>0.0</v>
      </c>
      <c r="W945" t="inlineStr">
        <is>
          <t/>
        </is>
      </c>
      <c r="X945" t="n">
        <v>0.0</v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n">
        <v>0.0</v>
      </c>
      <c r="AI945" t="n">
        <v>0.0</v>
      </c>
      <c r="AJ945" t="n">
        <v>0.0</v>
      </c>
      <c r="AK945" t="inlineStr">
        <is>
          <t/>
        </is>
      </c>
      <c r="AL945" t="inlineStr">
        <is>
          <t/>
        </is>
      </c>
    </row>
    <row r="946">
      <c r="A946" t="inlineStr">
        <is>
          <t>现在的年轻人真的对40多的购买力没概念了…</t>
        </is>
      </c>
      <c r="B946" t="inlineStr">
        <is>
          <t>6953f2f4000000001f005a86</t>
        </is>
      </c>
      <c r="C946" s="945" t="n">
        <f>HYPERLINK("https://www.xiaohongshu.com/explore/6953f2f4000000001f005a86?xsec_token=TBmzMOJ_zly84G2ZjeUVNrpc1-iDtOtcbaxweQJHnAiAQ=&amp;xsec_source=pc_trdark","https://www.xiaohongshu.com/explore/6953f2f4000000001f005a86?xsec_token=TBmzMOJ_zly84G2ZjeUVNrpc1-iDtOtcbaxweQJHnAiAQ=&amp;xsec_source=pc_trdark")</f>
        <v>0.0</v>
      </c>
      <c r="D946" t="inlineStr">
        <is>
          <t>鲜水湾</t>
        </is>
      </c>
      <c r="E946" t="inlineStr">
        <is>
          <t>49316638994</t>
        </is>
      </c>
      <c r="F946" t="inlineStr">
        <is>
          <t>2025-12-30 23:42:44</t>
        </is>
      </c>
      <c r="G946" t="inlineStr">
        <is>
          <t>图文</t>
        </is>
      </c>
      <c r="H946" t="inlineStr">
        <is>
          <t>生蚝乳山生蚝海蛎子顺丰包邮</t>
        </is>
      </c>
      <c r="I946" t="inlineStr">
        <is>
          <t>690c70971b787900010866cc</t>
        </is>
      </c>
      <c r="J946" t="inlineStr">
        <is>
          <t/>
        </is>
      </c>
      <c r="K946" t="n">
        <v>0.0</v>
      </c>
      <c r="L946" t="n">
        <v>0.0</v>
      </c>
      <c r="M946" t="n">
        <v>0.0</v>
      </c>
      <c r="N946" t="inlineStr">
        <is>
          <t/>
        </is>
      </c>
      <c r="O946" t="n">
        <v>0.0</v>
      </c>
      <c r="P946" t="n">
        <v>0.0</v>
      </c>
      <c r="Q946" t="inlineStr">
        <is>
          <t/>
        </is>
      </c>
      <c r="R946" t="inlineStr">
        <is>
          <t/>
        </is>
      </c>
      <c r="S946" t="n">
        <v>0.0</v>
      </c>
      <c r="T946" t="n">
        <v>0.0</v>
      </c>
      <c r="U946" t="n">
        <v>0.0</v>
      </c>
      <c r="V946" t="n">
        <v>0.0</v>
      </c>
      <c r="W946" t="inlineStr">
        <is>
          <t/>
        </is>
      </c>
      <c r="X946" t="n">
        <v>0.0</v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  <c r="AK946" t="inlineStr">
        <is>
          <t/>
        </is>
      </c>
      <c r="AL946" t="inlineStr">
        <is>
          <t/>
        </is>
      </c>
    </row>
    <row r="947">
      <c r="A947" t="inlineStr">
        <is>
          <t>我妈：你就卖49.9五斤，保准能卖出去</t>
        </is>
      </c>
      <c r="B947" t="inlineStr">
        <is>
          <t>69524c4b000000001e030320</t>
        </is>
      </c>
      <c r="C947" s="946" t="n">
        <f>HYPERLINK("https://www.xiaohongshu.com/explore/69524c4b000000001e030320?xsec_token=TBD_qpfRw_GekiL1YWy-5sXsIqVD42SZY9a4Pgp-lfamM=&amp;xsec_source=pc_trdark","https://www.xiaohongshu.com/explore/69524c4b000000001e030320?xsec_token=TBD_qpfRw_GekiL1YWy-5sXsIqVD42SZY9a4Pgp-lfamM=&amp;xsec_source=pc_trdark")</f>
        <v>0.0</v>
      </c>
      <c r="D947" t="inlineStr">
        <is>
          <t>鲜水湾</t>
        </is>
      </c>
      <c r="E947" t="inlineStr">
        <is>
          <t>49316638994</t>
        </is>
      </c>
      <c r="F947" t="inlineStr">
        <is>
          <t>2025-12-29 17:39:23</t>
        </is>
      </c>
      <c r="G947" t="inlineStr">
        <is>
          <t>图文</t>
        </is>
      </c>
      <c r="H947" t="inlineStr">
        <is>
          <t>生蚝乳山生蚝海蛎子顺丰包邮</t>
        </is>
      </c>
      <c r="I947" t="inlineStr">
        <is>
          <t>690c70971b787900010866cc</t>
        </is>
      </c>
      <c r="J947" t="inlineStr">
        <is>
          <t/>
        </is>
      </c>
      <c r="K947" t="n">
        <v>0.0</v>
      </c>
      <c r="L947" t="n">
        <v>0.0</v>
      </c>
      <c r="M947" t="n">
        <v>0.0</v>
      </c>
      <c r="N947" t="inlineStr">
        <is>
          <t/>
        </is>
      </c>
      <c r="O947" t="n">
        <v>0.0</v>
      </c>
      <c r="P947" t="n">
        <v>0.0</v>
      </c>
      <c r="Q947" t="inlineStr">
        <is>
          <t/>
        </is>
      </c>
      <c r="R947" t="inlineStr">
        <is>
          <t/>
        </is>
      </c>
      <c r="S947" t="n">
        <v>0.0</v>
      </c>
      <c r="T947" t="n">
        <v>0.0</v>
      </c>
      <c r="U947" t="n">
        <v>0.0</v>
      </c>
      <c r="V947" t="n">
        <v>0.0</v>
      </c>
      <c r="W947" t="inlineStr">
        <is>
          <t/>
        </is>
      </c>
      <c r="X947" t="n">
        <v>0.0</v>
      </c>
      <c r="Y947" t="n">
        <v>0.0</v>
      </c>
      <c r="Z947" t="n">
        <v>0.0</v>
      </c>
      <c r="AA947" t="n">
        <v>0.0</v>
      </c>
      <c r="AB947" t="n">
        <v>0.0</v>
      </c>
      <c r="AC947" t="n">
        <v>0.0</v>
      </c>
      <c r="AD947" t="n">
        <v>0.0</v>
      </c>
      <c r="AE947" t="n">
        <v>0.0</v>
      </c>
      <c r="AF947" t="n">
        <v>0.0</v>
      </c>
      <c r="AG947" t="n">
        <v>0.0</v>
      </c>
      <c r="AH947" t="n">
        <v>0.0</v>
      </c>
      <c r="AI947" t="n">
        <v>0.0</v>
      </c>
      <c r="AJ947" t="n">
        <v>0.0</v>
      </c>
      <c r="AK947" t="inlineStr">
        <is>
          <t/>
        </is>
      </c>
      <c r="AL947" t="inlineStr">
        <is>
          <t/>
        </is>
      </c>
    </row>
    <row r="948">
      <c r="A948" t="inlineStr">
        <is>
          <t>感谢小红书🙏让乳山生蚝卖到了广东</t>
        </is>
      </c>
      <c r="B948" t="inlineStr">
        <is>
          <t>69520efc000000001e0373ae</t>
        </is>
      </c>
      <c r="C948" s="947" t="n">
        <f>HYPERLINK("https://www.xiaohongshu.com/explore/69520efc000000001e0373ae?xsec_token=TBD_qpfRw_GekiL1YWy-5sXpnIJrOzpxvipTOy3jWPWwE=&amp;xsec_source=pc_trdark","https://www.xiaohongshu.com/explore/69520efc000000001e0373ae?xsec_token=TBD_qpfRw_GekiL1YWy-5sXpnIJrOzpxvipTOy3jWPWwE=&amp;xsec_source=pc_trdark")</f>
        <v>0.0</v>
      </c>
      <c r="D948" t="inlineStr">
        <is>
          <t>鲜水湾</t>
        </is>
      </c>
      <c r="E948" t="inlineStr">
        <is>
          <t>49316638994</t>
        </is>
      </c>
      <c r="F948" t="inlineStr">
        <is>
          <t>2025-12-29 13:17:48</t>
        </is>
      </c>
      <c r="G948" t="inlineStr">
        <is>
          <t>图文</t>
        </is>
      </c>
      <c r="H948" t="inlineStr">
        <is>
          <t>生蚝乳山生蚝海蛎子顺丰包邮</t>
        </is>
      </c>
      <c r="I948" t="inlineStr">
        <is>
          <t>690c70971b787900010866cc</t>
        </is>
      </c>
      <c r="J948" t="inlineStr">
        <is>
          <t/>
        </is>
      </c>
      <c r="K948" t="n">
        <v>0.0</v>
      </c>
      <c r="L948" t="n">
        <v>0.0</v>
      </c>
      <c r="M948" t="n">
        <v>0.0</v>
      </c>
      <c r="N948" t="inlineStr">
        <is>
          <t/>
        </is>
      </c>
      <c r="O948" t="n">
        <v>0.0</v>
      </c>
      <c r="P948" t="n">
        <v>0.0</v>
      </c>
      <c r="Q948" t="inlineStr">
        <is>
          <t/>
        </is>
      </c>
      <c r="R948" t="inlineStr">
        <is>
          <t/>
        </is>
      </c>
      <c r="S948" t="n">
        <v>0.0</v>
      </c>
      <c r="T948" t="n">
        <v>0.0</v>
      </c>
      <c r="U948" t="n">
        <v>0.0</v>
      </c>
      <c r="V948" t="n">
        <v>0.0</v>
      </c>
      <c r="W948" t="inlineStr">
        <is>
          <t/>
        </is>
      </c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inlineStr">
        <is>
          <t/>
        </is>
      </c>
      <c r="AL948" t="inlineStr">
        <is>
          <t/>
        </is>
      </c>
    </row>
    <row r="949">
      <c r="A949" t="inlineStr">
        <is>
          <t>山东朋友认证的‼️巨好吃～</t>
        </is>
      </c>
      <c r="B949" t="inlineStr">
        <is>
          <t>6951220e000000001e02bad7</t>
        </is>
      </c>
      <c r="C949" s="948" t="n">
        <f>HYPERLINK("https://www.xiaohongshu.com/explore/6951220e000000001e02bad7?xsec_token=TB_qEjSZ7tEjw02EUjImJj3TMSH6zeJgcwx7pATniN9JM=&amp;xsec_source=pc_trdark","https://www.xiaohongshu.com/explore/6951220e000000001e02bad7?xsec_token=TB_qEjSZ7tEjw02EUjImJj3TMSH6zeJgcwx7pATniN9JM=&amp;xsec_source=pc_trdark")</f>
        <v>0.0</v>
      </c>
      <c r="D949" t="inlineStr">
        <is>
          <t>鲜水湾</t>
        </is>
      </c>
      <c r="E949" t="inlineStr">
        <is>
          <t>49316638994</t>
        </is>
      </c>
      <c r="F949" t="inlineStr">
        <is>
          <t>2025-12-28 20:26:54</t>
        </is>
      </c>
      <c r="G949" t="inlineStr">
        <is>
          <t>图文</t>
        </is>
      </c>
      <c r="H949" t="inlineStr">
        <is>
          <t>生蚝乳山生蚝海蛎子顺丰包邮</t>
        </is>
      </c>
      <c r="I949" t="inlineStr">
        <is>
          <t>690c70971b787900010866cc</t>
        </is>
      </c>
      <c r="J949" t="inlineStr">
        <is>
          <t/>
        </is>
      </c>
      <c r="K949" t="n">
        <v>0.0</v>
      </c>
      <c r="L949" t="n">
        <v>0.0</v>
      </c>
      <c r="M949" t="n">
        <v>0.0</v>
      </c>
      <c r="N949" t="inlineStr">
        <is>
          <t/>
        </is>
      </c>
      <c r="O949" t="n">
        <v>0.0</v>
      </c>
      <c r="P949" t="n">
        <v>0.0</v>
      </c>
      <c r="Q949" t="inlineStr">
        <is>
          <t/>
        </is>
      </c>
      <c r="R949" t="inlineStr">
        <is>
          <t/>
        </is>
      </c>
      <c r="S949" t="n">
        <v>0.0</v>
      </c>
      <c r="T949" t="n">
        <v>0.0</v>
      </c>
      <c r="U949" t="n">
        <v>0.0</v>
      </c>
      <c r="V949" t="n">
        <v>0.0</v>
      </c>
      <c r="W949" t="inlineStr">
        <is>
          <t/>
        </is>
      </c>
      <c r="X949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n">
        <v>0.0</v>
      </c>
      <c r="AI949" t="n">
        <v>0.0</v>
      </c>
      <c r="AJ949" t="n">
        <v>0.0</v>
      </c>
      <c r="AK949" t="inlineStr">
        <is>
          <t/>
        </is>
      </c>
      <c r="AL949" t="inlineStr">
        <is>
          <t/>
        </is>
      </c>
    </row>
    <row r="950">
      <c r="A950" t="inlineStr">
        <is>
          <t>建议12月份狠狠吃生蚝</t>
        </is>
      </c>
      <c r="B950" t="inlineStr">
        <is>
          <t>6950fcf3000000001e02024c</t>
        </is>
      </c>
      <c r="C950" s="949" t="n">
        <f>HYPERLINK("https://www.xiaohongshu.com/explore/6950fcf3000000001e02024c?xsec_token=TBZlsVk_u522I8N-JhGtRMDi3af6HM4e_Vff8HFWibHfQ=&amp;xsec_source=pc_trdark","https://www.xiaohongshu.com/explore/6950fcf3000000001e02024c?xsec_token=TBZlsVk_u522I8N-JhGtRMDi3af6HM4e_Vff8HFWibHfQ=&amp;xsec_source=pc_trdark")</f>
        <v>0.0</v>
      </c>
      <c r="D950" t="inlineStr">
        <is>
          <t>婉婉上班吃什么</t>
        </is>
      </c>
      <c r="E950" t="inlineStr">
        <is>
          <t>11434449706</t>
        </is>
      </c>
      <c r="F950" t="inlineStr">
        <is>
          <t>2025-12-28 17:48:35</t>
        </is>
      </c>
      <c r="G950" t="inlineStr">
        <is>
          <t>视频</t>
        </is>
      </c>
      <c r="H950" t="inlineStr">
        <is>
          <t>生蚝乳山生蚝海蛎子顺丰包邮</t>
        </is>
      </c>
      <c r="I950" t="inlineStr">
        <is>
          <t>690c70971b787900010866cc</t>
        </is>
      </c>
      <c r="J950" t="n">
        <v>20.0</v>
      </c>
      <c r="K950" t="n">
        <v>0.0</v>
      </c>
      <c r="L950" t="n">
        <v>0.0</v>
      </c>
      <c r="M950" t="n">
        <v>0.0</v>
      </c>
      <c r="N950" t="inlineStr">
        <is>
          <t/>
        </is>
      </c>
      <c r="O950" t="n">
        <v>0.0</v>
      </c>
      <c r="P950" t="n">
        <v>0.0</v>
      </c>
      <c r="Q950" t="inlineStr">
        <is>
          <t/>
        </is>
      </c>
      <c r="R950" t="inlineStr">
        <is>
          <t/>
        </is>
      </c>
      <c r="S950" t="n">
        <v>0.0</v>
      </c>
      <c r="T950" t="n">
        <v>0.0</v>
      </c>
      <c r="U950" t="n">
        <v>0.0</v>
      </c>
      <c r="V950" t="n">
        <v>0.0</v>
      </c>
      <c r="W950" t="inlineStr">
        <is>
          <t/>
        </is>
      </c>
      <c r="X950" t="n">
        <v>0.0</v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  <c r="AK950" t="inlineStr">
        <is>
          <t/>
        </is>
      </c>
      <c r="AL950" t="inlineStr">
        <is>
          <t/>
        </is>
      </c>
    </row>
    <row r="951">
      <c r="A951" t="inlineStr">
        <is>
          <t>山东连续大雪❄️，一下子全肥了</t>
        </is>
      </c>
      <c r="B951" t="inlineStr">
        <is>
          <t>6950de41000000001f00f0a5</t>
        </is>
      </c>
      <c r="C951" s="950" t="n">
        <f>HYPERLINK("https://www.xiaohongshu.com/explore/6950de41000000001f00f0a5?xsec_token=TBZlsVk_u522I8N-JhGtRMDoiLYtzCpe-GfAeAmuwvi8g=&amp;xsec_source=pc_trdark","https://www.xiaohongshu.com/explore/6950de41000000001f00f0a5?xsec_token=TBZlsVk_u522I8N-JhGtRMDoiLYtzCpe-GfAeAmuwvi8g=&amp;xsec_source=pc_trdark")</f>
        <v>0.0</v>
      </c>
      <c r="D951" t="inlineStr">
        <is>
          <t>鲜水湾</t>
        </is>
      </c>
      <c r="E951" t="inlineStr">
        <is>
          <t>49316638994</t>
        </is>
      </c>
      <c r="F951" t="inlineStr">
        <is>
          <t>2025-12-28 15:37:37</t>
        </is>
      </c>
      <c r="G951" t="inlineStr">
        <is>
          <t>图文</t>
        </is>
      </c>
      <c r="H951" t="inlineStr">
        <is>
          <t>生蚝乳山生蚝海蛎子顺丰包邮</t>
        </is>
      </c>
      <c r="I951" t="inlineStr">
        <is>
          <t>690c70971b787900010866cc</t>
        </is>
      </c>
      <c r="J951" t="inlineStr">
        <is>
          <t/>
        </is>
      </c>
      <c r="K951" t="n">
        <v>0.0</v>
      </c>
      <c r="L951" t="n">
        <v>0.0</v>
      </c>
      <c r="M951" t="n">
        <v>0.0</v>
      </c>
      <c r="N951" t="inlineStr">
        <is>
          <t/>
        </is>
      </c>
      <c r="O951" t="n">
        <v>0.0</v>
      </c>
      <c r="P951" t="n">
        <v>0.0</v>
      </c>
      <c r="Q951" t="inlineStr">
        <is>
          <t/>
        </is>
      </c>
      <c r="R951" t="inlineStr">
        <is>
          <t/>
        </is>
      </c>
      <c r="S951" t="n">
        <v>0.0</v>
      </c>
      <c r="T951" t="n">
        <v>0.0</v>
      </c>
      <c r="U951" t="n">
        <v>0.0</v>
      </c>
      <c r="V951" t="n">
        <v>0.0</v>
      </c>
      <c r="W951" t="inlineStr">
        <is>
          <t/>
        </is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inlineStr">
        <is>
          <t/>
        </is>
      </c>
      <c r="AL951" t="inlineStr">
        <is>
          <t/>
        </is>
      </c>
    </row>
    <row r="952">
      <c r="A952" t="inlineStr">
        <is>
          <t>一个能撑s人但热量很低的东西。。。</t>
        </is>
      </c>
      <c r="B952" t="inlineStr">
        <is>
          <t>694b9383000000001e02b06a</t>
        </is>
      </c>
      <c r="C952" s="951" t="n">
        <f>HYPERLINK("https://www.xiaohongshu.com/explore/694b9383000000001e02b06a?xsec_token=TBJ1d3lsVKl7u73DozgnzSfmUOTWyfGc24kG22x1W9xTc=&amp;xsec_source=pc_trdark","https://www.xiaohongshu.com/explore/694b9383000000001e02b06a?xsec_token=TBJ1d3lsVKl7u73DozgnzSfmUOTWyfGc24kG22x1W9xTc=&amp;xsec_source=pc_trdark")</f>
        <v>0.0</v>
      </c>
      <c r="D952" t="inlineStr">
        <is>
          <t>鲜水湾</t>
        </is>
      </c>
      <c r="E952" t="inlineStr">
        <is>
          <t>49316638994</t>
        </is>
      </c>
      <c r="F952" t="inlineStr">
        <is>
          <t>2025-12-24 15:17:23</t>
        </is>
      </c>
      <c r="G952" t="inlineStr">
        <is>
          <t>图文</t>
        </is>
      </c>
      <c r="H952" t="inlineStr">
        <is>
          <t>大虾基围虾王牌大虾厄瓜多尔白虾盐冻虾仁海洋大虾送礼顺丰包邮</t>
        </is>
      </c>
      <c r="I952" t="inlineStr">
        <is>
          <t>690aeb7be379430001e686ac</t>
        </is>
      </c>
      <c r="J952" t="inlineStr">
        <is>
          <t/>
        </is>
      </c>
      <c r="K952" t="n">
        <v>0.0</v>
      </c>
      <c r="L952" t="n">
        <v>0.0</v>
      </c>
      <c r="M952" t="n">
        <v>0.0</v>
      </c>
      <c r="N952" t="inlineStr">
        <is>
          <t/>
        </is>
      </c>
      <c r="O952" t="n">
        <v>0.0</v>
      </c>
      <c r="P952" t="n">
        <v>0.0</v>
      </c>
      <c r="Q952" t="inlineStr">
        <is>
          <t/>
        </is>
      </c>
      <c r="R952" t="inlineStr">
        <is>
          <t/>
        </is>
      </c>
      <c r="S952" t="n">
        <v>0.0</v>
      </c>
      <c r="T952" t="n">
        <v>0.0</v>
      </c>
      <c r="U952" t="n">
        <v>0.0</v>
      </c>
      <c r="V952" t="n">
        <v>0.0</v>
      </c>
      <c r="W952" t="inlineStr">
        <is>
          <t/>
        </is>
      </c>
      <c r="X952" t="n">
        <v>0.0</v>
      </c>
      <c r="Y952" t="n">
        <v>0.0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n">
        <v>0.0</v>
      </c>
      <c r="AH952" t="n">
        <v>0.0</v>
      </c>
      <c r="AI952" t="n">
        <v>0.0</v>
      </c>
      <c r="AJ952" t="n">
        <v>0.0</v>
      </c>
      <c r="AK952" t="inlineStr">
        <is>
          <t/>
        </is>
      </c>
      <c r="AL952" t="inlineStr">
        <is>
          <t/>
        </is>
      </c>
    </row>
    <row r="953">
      <c r="A953" t="inlineStr">
        <is>
          <t>我也不想买啊，关键40多的乳山生蚝太鲜了</t>
        </is>
      </c>
      <c r="B953" t="inlineStr">
        <is>
          <t>694a6f62000000001e003acc</t>
        </is>
      </c>
      <c r="C953" s="952" t="n">
        <f>HYPERLINK("https://www.xiaohongshu.com/explore/694a6f62000000001e003acc?xsec_token=TBdeZ0Rm1wYmDrNYnjdb_05r02xYX8TSwhX-stYcSr3vM=&amp;xsec_source=pc_trdark","https://www.xiaohongshu.com/explore/694a6f62000000001e003acc?xsec_token=TBdeZ0Rm1wYmDrNYnjdb_05r02xYX8TSwhX-stYcSr3vM=&amp;xsec_source=pc_trdark")</f>
        <v>0.0</v>
      </c>
      <c r="D953" t="inlineStr">
        <is>
          <t>婉婉上班吃什么</t>
        </is>
      </c>
      <c r="E953" t="inlineStr">
        <is>
          <t>11434449706</t>
        </is>
      </c>
      <c r="F953" t="inlineStr">
        <is>
          <t>2025-12-23 18:30:58</t>
        </is>
      </c>
      <c r="G953" t="inlineStr">
        <is>
          <t>视频</t>
        </is>
      </c>
      <c r="H953" t="inlineStr">
        <is>
          <t>生蚝乳山生蚝海蛎子顺丰包邮</t>
        </is>
      </c>
      <c r="I953" t="inlineStr">
        <is>
          <t>690c70971b787900010866cc</t>
        </is>
      </c>
      <c r="J953" t="n">
        <v>37.0</v>
      </c>
      <c r="K953" t="n">
        <v>0.0</v>
      </c>
      <c r="L953" t="n">
        <v>0.0</v>
      </c>
      <c r="M953" t="n">
        <v>0.0</v>
      </c>
      <c r="N953" t="inlineStr">
        <is>
          <t/>
        </is>
      </c>
      <c r="O953" t="n">
        <v>0.0</v>
      </c>
      <c r="P953" t="n">
        <v>0.0</v>
      </c>
      <c r="Q953" t="inlineStr">
        <is>
          <t/>
        </is>
      </c>
      <c r="R953" t="inlineStr">
        <is>
          <t/>
        </is>
      </c>
      <c r="S953" t="n">
        <v>0.0</v>
      </c>
      <c r="T953" t="n">
        <v>0.0</v>
      </c>
      <c r="U953" t="n">
        <v>0.0</v>
      </c>
      <c r="V953" t="n">
        <v>0.0</v>
      </c>
      <c r="W953" t="inlineStr">
        <is>
          <t/>
        </is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n">
        <v>0.0</v>
      </c>
      <c r="AI953" t="n">
        <v>0.0</v>
      </c>
      <c r="AJ953" t="n">
        <v>0.0</v>
      </c>
      <c r="AK953" t="inlineStr">
        <is>
          <t/>
        </is>
      </c>
      <c r="AL953" t="inlineStr">
        <is>
          <t/>
        </is>
      </c>
    </row>
    <row r="954">
      <c r="A954" t="inlineStr">
        <is>
          <t>不愧是山东出品！生蚝都和馒头一样大</t>
        </is>
      </c>
      <c r="B954" t="inlineStr">
        <is>
          <t>694a3970000000001e024667</t>
        </is>
      </c>
      <c r="C954" s="953" t="n">
        <f>HYPERLINK("https://www.xiaohongshu.com/explore/694a3970000000001e024667?xsec_token=TBdeZ0Rm1wYmDrNYnjdb_05qHdJwThHLkuOp5qppMagFA=&amp;xsec_source=pc_trdark","https://www.xiaohongshu.com/explore/694a3970000000001e024667?xsec_token=TBdeZ0Rm1wYmDrNYnjdb_05qHdJwThHLkuOp5qppMagFA=&amp;xsec_source=pc_trdark")</f>
        <v>0.0</v>
      </c>
      <c r="D954" t="inlineStr">
        <is>
          <t>鲜水湾</t>
        </is>
      </c>
      <c r="E954" t="inlineStr">
        <is>
          <t>49316638994</t>
        </is>
      </c>
      <c r="F954" t="inlineStr">
        <is>
          <t>2025-12-23 14:40:48</t>
        </is>
      </c>
      <c r="G954" t="inlineStr">
        <is>
          <t>图文</t>
        </is>
      </c>
      <c r="H954" t="inlineStr">
        <is>
          <t>生蚝乳山生蚝海蛎子顺丰包邮</t>
        </is>
      </c>
      <c r="I954" t="inlineStr">
        <is>
          <t>690c70971b787900010866cc</t>
        </is>
      </c>
      <c r="J954" t="inlineStr">
        <is>
          <t/>
        </is>
      </c>
      <c r="K954" t="n">
        <v>0.0</v>
      </c>
      <c r="L954" t="n">
        <v>0.0</v>
      </c>
      <c r="M954" t="n">
        <v>0.0</v>
      </c>
      <c r="N954" t="inlineStr">
        <is>
          <t/>
        </is>
      </c>
      <c r="O954" t="n">
        <v>0.0</v>
      </c>
      <c r="P954" t="n">
        <v>0.0</v>
      </c>
      <c r="Q954" t="inlineStr">
        <is>
          <t/>
        </is>
      </c>
      <c r="R954" t="inlineStr">
        <is>
          <t/>
        </is>
      </c>
      <c r="S954" t="n">
        <v>0.0</v>
      </c>
      <c r="T954" t="n">
        <v>0.0</v>
      </c>
      <c r="U954" t="n">
        <v>0.0</v>
      </c>
      <c r="V954" t="n">
        <v>0.0</v>
      </c>
      <c r="W954" t="inlineStr">
        <is>
          <t/>
        </is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inlineStr">
        <is>
          <t/>
        </is>
      </c>
      <c r="AL954" t="inlineStr">
        <is>
          <t/>
        </is>
      </c>
    </row>
    <row r="955">
      <c r="A955" t="inlineStr">
        <is>
          <t>答应我！爱吃生蚝的都去冲！</t>
        </is>
      </c>
      <c r="B955" t="inlineStr">
        <is>
          <t>694964bf000000001f00a8c5</t>
        </is>
      </c>
      <c r="C955" s="954" t="n">
        <f>HYPERLINK("https://www.xiaohongshu.com/explore/694964bf000000001f00a8c5?xsec_token=TB80OIxeN-ESXgJCMbPNqK1r9K1ZcwMPKsoAYgV3_Ewpw=&amp;xsec_source=pc_trdark","https://www.xiaohongshu.com/explore/694964bf000000001f00a8c5?xsec_token=TB80OIxeN-ESXgJCMbPNqK1r9K1ZcwMPKsoAYgV3_Ewpw=&amp;xsec_source=pc_trdark")</f>
        <v>0.0</v>
      </c>
      <c r="D955" t="inlineStr">
        <is>
          <t>鲜水湾</t>
        </is>
      </c>
      <c r="E955" t="inlineStr">
        <is>
          <t>49316638994</t>
        </is>
      </c>
      <c r="F955" t="inlineStr">
        <is>
          <t>2025-12-22 23:33:19</t>
        </is>
      </c>
      <c r="G955" t="inlineStr">
        <is>
          <t>图文</t>
        </is>
      </c>
      <c r="H955" t="inlineStr">
        <is>
          <t>生蚝乳山生蚝海蛎子顺丰包邮</t>
        </is>
      </c>
      <c r="I955" t="inlineStr">
        <is>
          <t>690c70971b787900010866cc</t>
        </is>
      </c>
      <c r="J955" t="inlineStr">
        <is>
          <t/>
        </is>
      </c>
      <c r="K955" t="n">
        <v>0.0</v>
      </c>
      <c r="L955" t="n">
        <v>0.0</v>
      </c>
      <c r="M955" t="n">
        <v>0.0</v>
      </c>
      <c r="N955" t="inlineStr">
        <is>
          <t/>
        </is>
      </c>
      <c r="O955" t="n">
        <v>0.0</v>
      </c>
      <c r="P955" t="n">
        <v>0.0</v>
      </c>
      <c r="Q955" t="inlineStr">
        <is>
          <t/>
        </is>
      </c>
      <c r="R955" t="inlineStr">
        <is>
          <t/>
        </is>
      </c>
      <c r="S955" t="n">
        <v>0.0</v>
      </c>
      <c r="T955" t="n">
        <v>0.0</v>
      </c>
      <c r="U955" t="n">
        <v>0.0</v>
      </c>
      <c r="V955" t="n">
        <v>0.0</v>
      </c>
      <c r="W955" t="inlineStr">
        <is>
          <t/>
        </is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n">
        <v>0.0</v>
      </c>
      <c r="AI955" t="n">
        <v>0.0</v>
      </c>
      <c r="AJ955" t="n">
        <v>0.0</v>
      </c>
      <c r="AK955" t="inlineStr">
        <is>
          <t/>
        </is>
      </c>
      <c r="AL955" t="inlineStr">
        <is>
          <t/>
        </is>
      </c>
    </row>
    <row r="956">
      <c r="A956" t="inlineStr">
        <is>
          <t>真心建议控体期的姐妹试试这个大虾</t>
        </is>
      </c>
      <c r="B956" t="inlineStr">
        <is>
          <t>69491155000000001e0213ee</t>
        </is>
      </c>
      <c r="C956" s="955" t="n">
        <f>HYPERLINK("https://www.xiaohongshu.com/explore/69491155000000001e0213ee?xsec_token=TB80OIxeN-ESXgJCMbPNqK1tjqJSn0Tu5ViSLBFSQ5H3o=&amp;xsec_source=pc_trdark","https://www.xiaohongshu.com/explore/69491155000000001e0213ee?xsec_token=TB80OIxeN-ESXgJCMbPNqK1tjqJSn0Tu5ViSLBFSQ5H3o=&amp;xsec_source=pc_trdark")</f>
        <v>0.0</v>
      </c>
      <c r="D956" t="inlineStr">
        <is>
          <t>鲜水湾</t>
        </is>
      </c>
      <c r="E956" t="inlineStr">
        <is>
          <t>49316638994</t>
        </is>
      </c>
      <c r="F956" t="inlineStr">
        <is>
          <t>2025-12-22 17:37:25</t>
        </is>
      </c>
      <c r="G956" t="inlineStr">
        <is>
          <t>图文</t>
        </is>
      </c>
      <c r="H956" t="inlineStr">
        <is>
          <t>大虾基围虾王牌大虾厄瓜多尔白虾盐冻虾仁海洋大虾送礼顺丰包邮</t>
        </is>
      </c>
      <c r="I956" t="inlineStr">
        <is>
          <t>690aeb7be379430001e686ac</t>
        </is>
      </c>
      <c r="J956" t="inlineStr">
        <is>
          <t/>
        </is>
      </c>
      <c r="K956" t="n">
        <v>0.0</v>
      </c>
      <c r="L956" t="n">
        <v>0.0</v>
      </c>
      <c r="M956" t="n">
        <v>0.0</v>
      </c>
      <c r="N956" t="inlineStr">
        <is>
          <t/>
        </is>
      </c>
      <c r="O956" t="n">
        <v>0.0</v>
      </c>
      <c r="P956" t="n">
        <v>0.0</v>
      </c>
      <c r="Q956" t="inlineStr">
        <is>
          <t/>
        </is>
      </c>
      <c r="R956" t="inlineStr">
        <is>
          <t/>
        </is>
      </c>
      <c r="S956" t="n">
        <v>0.0</v>
      </c>
      <c r="T956" t="n">
        <v>0.0</v>
      </c>
      <c r="U956" t="n">
        <v>0.0</v>
      </c>
      <c r="V956" t="n">
        <v>0.0</v>
      </c>
      <c r="W956" t="inlineStr">
        <is>
          <t/>
        </is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  <c r="AK956" t="inlineStr">
        <is>
          <t/>
        </is>
      </c>
      <c r="AL956" t="inlineStr">
        <is>
          <t/>
        </is>
      </c>
    </row>
    <row r="957">
      <c r="A957" t="inlineStr">
        <is>
          <t>刚下完大雪，生蚝一下子全肥了，不可控……</t>
        </is>
      </c>
      <c r="B957" t="inlineStr">
        <is>
          <t>6948f647000000001e02af55</t>
        </is>
      </c>
      <c r="C957" s="956" t="n">
        <f>HYPERLINK("https://www.xiaohongshu.com/explore/6948f647000000001e02af55?xsec_token=TBmTqutVtP5Tww83padVl32Pgrvygq-kpw2iEJbtDdN4I=&amp;xsec_source=pc_trdark","https://www.xiaohongshu.com/explore/6948f647000000001e02af55?xsec_token=TBmTqutVtP5Tww83padVl32Pgrvygq-kpw2iEJbtDdN4I=&amp;xsec_source=pc_trdark")</f>
        <v>0.0</v>
      </c>
      <c r="D957" t="inlineStr">
        <is>
          <t>鲜水湾</t>
        </is>
      </c>
      <c r="E957" t="inlineStr">
        <is>
          <t>49316638994</t>
        </is>
      </c>
      <c r="F957" t="inlineStr">
        <is>
          <t>2025-12-22 15:41:59</t>
        </is>
      </c>
      <c r="G957" t="inlineStr">
        <is>
          <t>图文</t>
        </is>
      </c>
      <c r="H957" t="inlineStr">
        <is>
          <t>生蚝乳山生蚝海蛎子顺丰包邮</t>
        </is>
      </c>
      <c r="I957" t="inlineStr">
        <is>
          <t>690c70971b787900010866cc</t>
        </is>
      </c>
      <c r="J957" t="inlineStr">
        <is>
          <t/>
        </is>
      </c>
      <c r="K957" t="n">
        <v>0.0</v>
      </c>
      <c r="L957" t="n">
        <v>0.0</v>
      </c>
      <c r="M957" t="n">
        <v>0.0</v>
      </c>
      <c r="N957" t="inlineStr">
        <is>
          <t/>
        </is>
      </c>
      <c r="O957" t="n">
        <v>0.0</v>
      </c>
      <c r="P957" t="n">
        <v>0.0</v>
      </c>
      <c r="Q957" t="inlineStr">
        <is>
          <t/>
        </is>
      </c>
      <c r="R957" t="inlineStr">
        <is>
          <t/>
        </is>
      </c>
      <c r="S957" t="n">
        <v>0.0</v>
      </c>
      <c r="T957" t="n">
        <v>0.0</v>
      </c>
      <c r="U957" t="n">
        <v>0.0</v>
      </c>
      <c r="V957" t="n">
        <v>0.0</v>
      </c>
      <c r="W957" t="inlineStr">
        <is>
          <t/>
        </is>
      </c>
      <c r="X957" t="n">
        <v>0.0</v>
      </c>
      <c r="Y957" t="n">
        <v>0.0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  <c r="AE957" t="n">
        <v>0.0</v>
      </c>
      <c r="AF957" t="n">
        <v>0.0</v>
      </c>
      <c r="AG957" t="n">
        <v>0.0</v>
      </c>
      <c r="AH957" t="n">
        <v>0.0</v>
      </c>
      <c r="AI957" t="n">
        <v>0.0</v>
      </c>
      <c r="AJ957" t="n">
        <v>0.0</v>
      </c>
      <c r="AK957" t="inlineStr">
        <is>
          <t/>
        </is>
      </c>
      <c r="AL957" t="inlineStr">
        <is>
          <t/>
        </is>
      </c>
    </row>
    <row r="958">
      <c r="A958" t="inlineStr">
        <is>
          <t>替大家试过了49.9💰五斤的生蚝是真的肥</t>
        </is>
      </c>
      <c r="B958" t="inlineStr">
        <is>
          <t>69479860000000001f006d2a</t>
        </is>
      </c>
      <c r="C958" s="957" t="n">
        <f>HYPERLINK("https://www.xiaohongshu.com/explore/69479860000000001f006d2a?xsec_token=TBnuuEENMsYpnBa1PDFqnFZMzS_oJZW4bj7QL8P7pGbTA=&amp;xsec_source=pc_trdark","https://www.xiaohongshu.com/explore/69479860000000001f006d2a?xsec_token=TBnuuEENMsYpnBa1PDFqnFZMzS_oJZW4bj7QL8P7pGbTA=&amp;xsec_source=pc_trdark")</f>
        <v>0.0</v>
      </c>
      <c r="D958" t="inlineStr">
        <is>
          <t>鲜水湾</t>
        </is>
      </c>
      <c r="E958" t="inlineStr">
        <is>
          <t>49316638994</t>
        </is>
      </c>
      <c r="F958" t="inlineStr">
        <is>
          <t>2025-12-21 14:49:04</t>
        </is>
      </c>
      <c r="G958" t="inlineStr">
        <is>
          <t>图文</t>
        </is>
      </c>
      <c r="H958" t="inlineStr">
        <is>
          <t>生蚝乳山生蚝海蛎子顺丰包邮</t>
        </is>
      </c>
      <c r="I958" t="inlineStr">
        <is>
          <t>690c70971b787900010866cc</t>
        </is>
      </c>
      <c r="J958" t="inlineStr">
        <is>
          <t/>
        </is>
      </c>
      <c r="K958" t="n">
        <v>0.0</v>
      </c>
      <c r="L958" t="n">
        <v>0.0</v>
      </c>
      <c r="M958" t="n">
        <v>0.0</v>
      </c>
      <c r="N958" t="inlineStr">
        <is>
          <t/>
        </is>
      </c>
      <c r="O958" t="n">
        <v>0.0</v>
      </c>
      <c r="P958" t="n">
        <v>0.0</v>
      </c>
      <c r="Q958" t="inlineStr">
        <is>
          <t/>
        </is>
      </c>
      <c r="R958" t="inlineStr">
        <is>
          <t/>
        </is>
      </c>
      <c r="S958" t="n">
        <v>0.0</v>
      </c>
      <c r="T958" t="n">
        <v>0.0</v>
      </c>
      <c r="U958" t="n">
        <v>0.0</v>
      </c>
      <c r="V958" t="n">
        <v>0.0</v>
      </c>
      <c r="W958" t="inlineStr">
        <is>
          <t/>
        </is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inlineStr">
        <is>
          <t/>
        </is>
      </c>
      <c r="AL958" t="inlineStr">
        <is>
          <t/>
        </is>
      </c>
    </row>
    <row r="959">
      <c r="A959" t="inlineStr">
        <is>
          <t>太适合懒人减脂餐了</t>
        </is>
      </c>
      <c r="B959" t="inlineStr">
        <is>
          <t>6946beeb000000001e026e07</t>
        </is>
      </c>
      <c r="C959" s="958" t="n">
        <f>HYPERLINK("https://www.xiaohongshu.com/explore/6946beeb000000001e026e07?xsec_token=TBHCyq_CQBT5wFdM6Ltqr7ewds_pILQ_hIkfvi2qeX7WI=&amp;xsec_source=pc_trdark","https://www.xiaohongshu.com/explore/6946beeb000000001e026e07?xsec_token=TBHCyq_CQBT5wFdM6Ltqr7ewds_pILQ_hIkfvi2qeX7WI=&amp;xsec_source=pc_trdark")</f>
        <v>0.0</v>
      </c>
      <c r="D959" t="inlineStr">
        <is>
          <t>鲜水湾</t>
        </is>
      </c>
      <c r="E959" t="inlineStr">
        <is>
          <t>49316638994</t>
        </is>
      </c>
      <c r="F959" t="inlineStr">
        <is>
          <t>2025-12-20 23:21:15</t>
        </is>
      </c>
      <c r="G959" t="inlineStr">
        <is>
          <t>图文</t>
        </is>
      </c>
      <c r="H959" t="inlineStr">
        <is>
          <t>大虾基围虾王牌大虾厄瓜多尔白虾盐冻虾仁海洋大虾送礼顺丰包邮</t>
        </is>
      </c>
      <c r="I959" t="inlineStr">
        <is>
          <t>690aeb7be379430001e686ac</t>
        </is>
      </c>
      <c r="J959" t="inlineStr">
        <is>
          <t/>
        </is>
      </c>
      <c r="K959" t="n">
        <v>0.0</v>
      </c>
      <c r="L959" t="n">
        <v>0.0</v>
      </c>
      <c r="M959" t="n">
        <v>0.0</v>
      </c>
      <c r="N959" t="inlineStr">
        <is>
          <t/>
        </is>
      </c>
      <c r="O959" t="n">
        <v>0.0</v>
      </c>
      <c r="P959" t="n">
        <v>0.0</v>
      </c>
      <c r="Q959" t="inlineStr">
        <is>
          <t/>
        </is>
      </c>
      <c r="R959" t="inlineStr">
        <is>
          <t/>
        </is>
      </c>
      <c r="S959" t="n">
        <v>0.0</v>
      </c>
      <c r="T959" t="n">
        <v>0.0</v>
      </c>
      <c r="U959" t="n">
        <v>0.0</v>
      </c>
      <c r="V959" t="n">
        <v>0.0</v>
      </c>
      <c r="W959" t="inlineStr">
        <is>
          <t/>
        </is>
      </c>
      <c r="X959" t="n">
        <v>0.0</v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n">
        <v>0.0</v>
      </c>
      <c r="AI959" t="n">
        <v>0.0</v>
      </c>
      <c r="AJ959" t="n">
        <v>0.0</v>
      </c>
      <c r="AK959" t="inlineStr">
        <is>
          <t/>
        </is>
      </c>
      <c r="AL959" t="inlineStr">
        <is>
          <t/>
        </is>
      </c>
    </row>
    <row r="960">
      <c r="A960" t="inlineStr">
        <is>
          <t>过年了🧨买了整条三文鱼回家</t>
        </is>
      </c>
      <c r="B960" t="inlineStr">
        <is>
          <t>69466567000000001f00a3ce</t>
        </is>
      </c>
      <c r="C960" s="959" t="n">
        <f>HYPERLINK("https://www.xiaohongshu.com/explore/69466567000000001f00a3ce?xsec_token=TBHCyq_CQBT5wFdM6Ltqr7eyV_nAy0QE5ioCDsomteKuQ=&amp;xsec_source=pc_trdark","https://www.xiaohongshu.com/explore/69466567000000001f00a3ce?xsec_token=TBHCyq_CQBT5wFdM6Ltqr7eyV_nAy0QE5ioCDsomteKuQ=&amp;xsec_source=pc_trdark")</f>
        <v>0.0</v>
      </c>
      <c r="D960" t="inlineStr">
        <is>
          <t>鲜水湾</t>
        </is>
      </c>
      <c r="E960" t="inlineStr">
        <is>
          <t>49316638994</t>
        </is>
      </c>
      <c r="F960" t="inlineStr">
        <is>
          <t>2025-12-20 16:59:19</t>
        </is>
      </c>
      <c r="G960" t="inlineStr">
        <is>
          <t>图文</t>
        </is>
      </c>
      <c r="H960" t="inlineStr">
        <is>
          <t>智利三文鱼切块·整条三文鱼·深海鱼一人食健康饮食</t>
        </is>
      </c>
      <c r="I960" t="inlineStr">
        <is>
          <t>691ac562a524ee0001b51d7b</t>
        </is>
      </c>
      <c r="J960" t="inlineStr">
        <is>
          <t/>
        </is>
      </c>
      <c r="K960" t="n">
        <v>0.0</v>
      </c>
      <c r="L960" t="n">
        <v>0.0</v>
      </c>
      <c r="M960" t="n">
        <v>0.0</v>
      </c>
      <c r="N960" t="inlineStr">
        <is>
          <t/>
        </is>
      </c>
      <c r="O960" t="n">
        <v>0.0</v>
      </c>
      <c r="P960" t="n">
        <v>0.0</v>
      </c>
      <c r="Q960" t="inlineStr">
        <is>
          <t/>
        </is>
      </c>
      <c r="R960" t="inlineStr">
        <is>
          <t/>
        </is>
      </c>
      <c r="S960" t="n">
        <v>0.0</v>
      </c>
      <c r="T960" t="n">
        <v>0.0</v>
      </c>
      <c r="U960" t="n">
        <v>0.0</v>
      </c>
      <c r="V960" t="n">
        <v>0.0</v>
      </c>
      <c r="W960" t="inlineStr">
        <is>
          <t/>
        </is>
      </c>
      <c r="X960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inlineStr">
        <is>
          <t/>
        </is>
      </c>
      <c r="AL960" t="inlineStr">
        <is>
          <t/>
        </is>
      </c>
    </row>
    <row r="961">
      <c r="A961" t="inlineStr">
        <is>
          <t>爱你老己！一个人也可以吃的健康又便宜</t>
        </is>
      </c>
      <c r="B961" t="inlineStr">
        <is>
          <t>69460b52000000001e024646</t>
        </is>
      </c>
      <c r="C961" s="960" t="n">
        <f>HYPERLINK("https://www.xiaohongshu.com/explore/69460b52000000001e024646?xsec_token=TBHCyq_CQBT5wFdM6Ltqr7e5ZjFiBCKgQNwcC3IL2wgUQ=&amp;xsec_source=pc_trdark","https://www.xiaohongshu.com/explore/69460b52000000001e024646?xsec_token=TBHCyq_CQBT5wFdM6Ltqr7e5ZjFiBCKgQNwcC3IL2wgUQ=&amp;xsec_source=pc_trdark")</f>
        <v>0.0</v>
      </c>
      <c r="D961" t="inlineStr">
        <is>
          <t>鲜水湾</t>
        </is>
      </c>
      <c r="E961" t="inlineStr">
        <is>
          <t>49316638994</t>
        </is>
      </c>
      <c r="F961" t="inlineStr">
        <is>
          <t>2025-12-20 10:34:58</t>
        </is>
      </c>
      <c r="G961" t="inlineStr">
        <is>
          <t>图文</t>
        </is>
      </c>
      <c r="H961" t="inlineStr">
        <is>
          <t>大虾基围虾王牌大虾厄瓜多尔白虾盐冻虾仁海洋大虾送礼顺丰包邮</t>
        </is>
      </c>
      <c r="I961" t="inlineStr">
        <is>
          <t>690aeb7be379430001e686ac</t>
        </is>
      </c>
      <c r="J961" t="inlineStr">
        <is>
          <t/>
        </is>
      </c>
      <c r="K961" t="n">
        <v>0.0</v>
      </c>
      <c r="L961" t="n">
        <v>0.0</v>
      </c>
      <c r="M961" t="n">
        <v>0.0</v>
      </c>
      <c r="N961" t="inlineStr">
        <is>
          <t/>
        </is>
      </c>
      <c r="O961" t="n">
        <v>0.0</v>
      </c>
      <c r="P961" t="n">
        <v>0.0</v>
      </c>
      <c r="Q961" t="inlineStr">
        <is>
          <t/>
        </is>
      </c>
      <c r="R961" t="inlineStr">
        <is>
          <t/>
        </is>
      </c>
      <c r="S961" t="n">
        <v>0.0</v>
      </c>
      <c r="T961" t="n">
        <v>0.0</v>
      </c>
      <c r="U961" t="n">
        <v>0.0</v>
      </c>
      <c r="V961" t="n">
        <v>0.0</v>
      </c>
      <c r="W961" t="inlineStr">
        <is>
          <t/>
        </is>
      </c>
      <c r="X961" t="n">
        <v>0.0</v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  <c r="AK961" t="inlineStr">
        <is>
          <t/>
        </is>
      </c>
      <c r="AL961" t="inlineStr">
        <is>
          <t/>
        </is>
      </c>
    </row>
    <row r="962">
      <c r="A962" t="inlineStr">
        <is>
          <t>回购3次的大虾，好吃到停不下来😋</t>
        </is>
      </c>
      <c r="B962" t="inlineStr">
        <is>
          <t>694514ff000000001f00b732</t>
        </is>
      </c>
      <c r="C962" s="961" t="n">
        <f>HYPERLINK("https://www.xiaohongshu.com/explore/694514ff000000001f00b732?xsec_token=TB7p1vWXvB33zoX2lon7HfpVu_gszwnkk-ftBfZMOgQXs=&amp;xsec_source=pc_trdark","https://www.xiaohongshu.com/explore/694514ff000000001f00b732?xsec_token=TB7p1vWXvB33zoX2lon7HfpVu_gszwnkk-ftBfZMOgQXs=&amp;xsec_source=pc_trdark")</f>
        <v>0.0</v>
      </c>
      <c r="D962" t="inlineStr">
        <is>
          <t>鲜水湾</t>
        </is>
      </c>
      <c r="E962" t="inlineStr">
        <is>
          <t>49316638994</t>
        </is>
      </c>
      <c r="F962" t="inlineStr">
        <is>
          <t>2025-12-19 17:03:59</t>
        </is>
      </c>
      <c r="G962" t="inlineStr">
        <is>
          <t>图文</t>
        </is>
      </c>
      <c r="H962" t="inlineStr">
        <is>
          <t>大虾基围虾王牌大虾厄瓜多尔白虾盐冻虾仁海洋大虾送礼顺丰包邮</t>
        </is>
      </c>
      <c r="I962" t="inlineStr">
        <is>
          <t>690aeb7be379430001e686ac</t>
        </is>
      </c>
      <c r="J962" t="inlineStr">
        <is>
          <t/>
        </is>
      </c>
      <c r="K962" t="n">
        <v>0.0</v>
      </c>
      <c r="L962" t="n">
        <v>0.0</v>
      </c>
      <c r="M962" t="n">
        <v>0.0</v>
      </c>
      <c r="N962" t="inlineStr">
        <is>
          <t/>
        </is>
      </c>
      <c r="O962" t="n">
        <v>0.0</v>
      </c>
      <c r="P962" t="n">
        <v>0.0</v>
      </c>
      <c r="Q962" t="inlineStr">
        <is>
          <t/>
        </is>
      </c>
      <c r="R962" t="inlineStr">
        <is>
          <t/>
        </is>
      </c>
      <c r="S962" t="n">
        <v>0.0</v>
      </c>
      <c r="T962" t="n">
        <v>0.0</v>
      </c>
      <c r="U962" t="n">
        <v>0.0</v>
      </c>
      <c r="V962" t="n">
        <v>0.0</v>
      </c>
      <c r="W962" t="inlineStr">
        <is>
          <t/>
        </is>
      </c>
      <c r="X962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n">
        <v>0.0</v>
      </c>
      <c r="AI962" t="n">
        <v>0.0</v>
      </c>
      <c r="AJ962" t="n">
        <v>0.0</v>
      </c>
      <c r="AK962" t="inlineStr">
        <is>
          <t/>
        </is>
      </c>
      <c r="AL962" t="inlineStr">
        <is>
          <t/>
        </is>
      </c>
    </row>
    <row r="963">
      <c r="A963" t="inlineStr">
        <is>
          <t>大虾脑袋碰到，回购已成定局</t>
        </is>
      </c>
      <c r="B963" t="inlineStr">
        <is>
          <t>6944bc2b000000001e03b50a</t>
        </is>
      </c>
      <c r="C963" s="962" t="n">
        <f>HYPERLINK("https://www.xiaohongshu.com/explore/6944bc2b000000001e03b50a?xsec_token=TBEei_gEGYdPM_jdeWI2PhOSmczcWrE11ULxlwH7TajNA=&amp;xsec_source=pc_trdark","https://www.xiaohongshu.com/explore/6944bc2b000000001e03b50a?xsec_token=TBEei_gEGYdPM_jdeWI2PhOSmczcWrE11ULxlwH7TajNA=&amp;xsec_source=pc_trdark")</f>
        <v>0.0</v>
      </c>
      <c r="D963" t="inlineStr">
        <is>
          <t>鲜水湾</t>
        </is>
      </c>
      <c r="E963" t="inlineStr">
        <is>
          <t>49316638994</t>
        </is>
      </c>
      <c r="F963" t="inlineStr">
        <is>
          <t>2025-12-19 10:44:59</t>
        </is>
      </c>
      <c r="G963" t="inlineStr">
        <is>
          <t>图文</t>
        </is>
      </c>
      <c r="H963" t="inlineStr">
        <is>
          <t>大虾基围虾王牌大虾厄瓜多尔白虾盐冻虾仁海洋大虾送礼顺丰包邮</t>
        </is>
      </c>
      <c r="I963" t="inlineStr">
        <is>
          <t>690aeb7be379430001e686ac</t>
        </is>
      </c>
      <c r="J963" t="inlineStr">
        <is>
          <t/>
        </is>
      </c>
      <c r="K963" t="n">
        <v>0.0</v>
      </c>
      <c r="L963" t="n">
        <v>0.0</v>
      </c>
      <c r="M963" t="n">
        <v>0.0</v>
      </c>
      <c r="N963" t="inlineStr">
        <is>
          <t/>
        </is>
      </c>
      <c r="O963" t="n">
        <v>0.0</v>
      </c>
      <c r="P963" t="n">
        <v>0.0</v>
      </c>
      <c r="Q963" t="inlineStr">
        <is>
          <t/>
        </is>
      </c>
      <c r="R963" t="inlineStr">
        <is>
          <t/>
        </is>
      </c>
      <c r="S963" t="n">
        <v>0.0</v>
      </c>
      <c r="T963" t="n">
        <v>0.0</v>
      </c>
      <c r="U963" t="n">
        <v>0.0</v>
      </c>
      <c r="V963" t="n">
        <v>0.0</v>
      </c>
      <c r="W963" t="inlineStr">
        <is>
          <t/>
        </is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inlineStr">
        <is>
          <t/>
        </is>
      </c>
      <c r="AL963" t="inlineStr">
        <is>
          <t/>
        </is>
      </c>
    </row>
    <row r="964">
      <c r="A964" t="inlineStr">
        <is>
          <t>上班搭子推荐的！掉秤期真有用</t>
        </is>
      </c>
      <c r="B964" t="inlineStr">
        <is>
          <t>69440341000000001e0324e8</t>
        </is>
      </c>
      <c r="C964" s="963" t="n">
        <f>HYPERLINK("https://www.xiaohongshu.com/explore/69440341000000001e0324e8?xsec_token=TBEei_gEGYdPM_jdeWI2PhOR0OUQ3yvFxTVYNdTddaBeA=&amp;xsec_source=pc_trdark","https://www.xiaohongshu.com/explore/69440341000000001e0324e8?xsec_token=TBEei_gEGYdPM_jdeWI2PhOR0OUQ3yvFxTVYNdTddaBeA=&amp;xsec_source=pc_trdark")</f>
        <v>0.0</v>
      </c>
      <c r="D964" t="inlineStr">
        <is>
          <t>鲜水湾</t>
        </is>
      </c>
      <c r="E964" t="inlineStr">
        <is>
          <t>49316638994</t>
        </is>
      </c>
      <c r="F964" t="inlineStr">
        <is>
          <t>2025-12-18 21:36:01</t>
        </is>
      </c>
      <c r="G964" t="inlineStr">
        <is>
          <t>图文</t>
        </is>
      </c>
      <c r="H964" t="inlineStr">
        <is>
          <t>大虾基围虾王牌大虾厄瓜多尔白虾盐冻虾仁海洋大虾送礼顺丰包邮</t>
        </is>
      </c>
      <c r="I964" t="inlineStr">
        <is>
          <t>690aeb7be379430001e686ac</t>
        </is>
      </c>
      <c r="J964" t="inlineStr">
        <is>
          <t/>
        </is>
      </c>
      <c r="K964" t="n">
        <v>0.0</v>
      </c>
      <c r="L964" t="n">
        <v>0.0</v>
      </c>
      <c r="M964" t="n">
        <v>0.0</v>
      </c>
      <c r="N964" t="inlineStr">
        <is>
          <t/>
        </is>
      </c>
      <c r="O964" t="n">
        <v>0.0</v>
      </c>
      <c r="P964" t="n">
        <v>0.0</v>
      </c>
      <c r="Q964" t="inlineStr">
        <is>
          <t/>
        </is>
      </c>
      <c r="R964" t="inlineStr">
        <is>
          <t/>
        </is>
      </c>
      <c r="S964" t="n">
        <v>0.0</v>
      </c>
      <c r="T964" t="n">
        <v>0.0</v>
      </c>
      <c r="U964" t="n">
        <v>0.0</v>
      </c>
      <c r="V964" t="n">
        <v>0.0</v>
      </c>
      <c r="W964" t="inlineStr">
        <is>
          <t/>
        </is>
      </c>
      <c r="X964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n">
        <v>0.0</v>
      </c>
      <c r="AI964" t="n">
        <v>0.0</v>
      </c>
      <c r="AJ964" t="n">
        <v>0.0</v>
      </c>
      <c r="AK964" t="inlineStr">
        <is>
          <t/>
        </is>
      </c>
      <c r="AL964" t="inlineStr">
        <is>
          <t/>
        </is>
      </c>
    </row>
    <row r="965">
      <c r="A965" t="inlineStr">
        <is>
          <t>减脂期姐妹推荐的，真有用</t>
        </is>
      </c>
      <c r="B965" t="inlineStr">
        <is>
          <t>693fa285000000001e03035c</t>
        </is>
      </c>
      <c r="C965" s="964" t="n">
        <f>HYPERLINK("https://www.xiaohongshu.com/explore/693fa285000000001e03035c?xsec_token=TB1R2yju8ccr97WVPo1goJUO0tcN41VvN9nzPL-EJyyMs=&amp;xsec_source=pc_trdark","https://www.xiaohongshu.com/explore/693fa285000000001e03035c?xsec_token=TB1R2yju8ccr97WVPo1goJUO0tcN41VvN9nzPL-EJyyMs=&amp;xsec_source=pc_trdark")</f>
        <v>0.0</v>
      </c>
      <c r="D965" t="inlineStr">
        <is>
          <t>鲜水湾</t>
        </is>
      </c>
      <c r="E965" t="inlineStr">
        <is>
          <t>49316638994</t>
        </is>
      </c>
      <c r="F965" t="inlineStr">
        <is>
          <t>2025-12-15 13:54:13</t>
        </is>
      </c>
      <c r="G965" t="inlineStr">
        <is>
          <t>图文</t>
        </is>
      </c>
      <c r="H965" t="inlineStr">
        <is>
          <t>大虾基围虾王牌大虾厄瓜多尔白虾盐冻虾仁海洋大虾送礼顺丰包邮</t>
        </is>
      </c>
      <c r="I965" t="inlineStr">
        <is>
          <t>690aeb7be379430001e686ac</t>
        </is>
      </c>
      <c r="J965" t="inlineStr">
        <is>
          <t/>
        </is>
      </c>
      <c r="K965" t="n">
        <v>0.0</v>
      </c>
      <c r="L965" t="n">
        <v>0.0</v>
      </c>
      <c r="M965" t="n">
        <v>0.0</v>
      </c>
      <c r="N965" t="inlineStr">
        <is>
          <t/>
        </is>
      </c>
      <c r="O965" t="n">
        <v>0.0</v>
      </c>
      <c r="P965" t="n">
        <v>0.0</v>
      </c>
      <c r="Q965" t="inlineStr">
        <is>
          <t/>
        </is>
      </c>
      <c r="R965" t="inlineStr">
        <is>
          <t/>
        </is>
      </c>
      <c r="S965" t="n">
        <v>0.0</v>
      </c>
      <c r="T965" t="n">
        <v>0.0</v>
      </c>
      <c r="U965" t="n">
        <v>0.0</v>
      </c>
      <c r="V965" t="n">
        <v>0.0</v>
      </c>
      <c r="W965" t="inlineStr">
        <is>
          <t/>
        </is>
      </c>
      <c r="X965" t="n">
        <v>0.0</v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inlineStr">
        <is>
          <t/>
        </is>
      </c>
      <c r="AL965" t="inlineStr">
        <is>
          <t/>
        </is>
      </c>
    </row>
    <row r="966">
      <c r="A966" t="inlineStr">
        <is>
          <t>别傻了，大虾才是掉秤神器</t>
        </is>
      </c>
      <c r="B966" t="inlineStr">
        <is>
          <t>693e80da000000001f00cfc3</t>
        </is>
      </c>
      <c r="C966" s="965" t="n">
        <f>HYPERLINK("https://www.xiaohongshu.com/explore/693e80da000000001f00cfc3?xsec_token=TBoM4IjxTW7h2pIceDY6ppQLcrjiC_rUCvbP4KogwHdQw=&amp;xsec_source=pc_trdark","https://www.xiaohongshu.com/explore/693e80da000000001f00cfc3?xsec_token=TBoM4IjxTW7h2pIceDY6ppQLcrjiC_rUCvbP4KogwHdQw=&amp;xsec_source=pc_trdark")</f>
        <v>0.0</v>
      </c>
      <c r="D966" t="inlineStr">
        <is>
          <t>鲜水湾</t>
        </is>
      </c>
      <c r="E966" t="inlineStr">
        <is>
          <t>49316638994</t>
        </is>
      </c>
      <c r="F966" t="inlineStr">
        <is>
          <t>2025-12-14 17:18:18</t>
        </is>
      </c>
      <c r="G966" t="inlineStr">
        <is>
          <t>图文</t>
        </is>
      </c>
      <c r="H966" t="inlineStr">
        <is>
          <t>大虾基围虾王牌大虾厄瓜多尔白虾盐冻虾仁海洋大虾送礼顺丰包邮</t>
        </is>
      </c>
      <c r="I966" t="inlineStr">
        <is>
          <t>690aeb7be379430001e686ac</t>
        </is>
      </c>
      <c r="J966" t="inlineStr">
        <is>
          <t/>
        </is>
      </c>
      <c r="K966" t="n">
        <v>0.0</v>
      </c>
      <c r="L966" t="n">
        <v>0.0</v>
      </c>
      <c r="M966" t="n">
        <v>0.0</v>
      </c>
      <c r="N966" t="inlineStr">
        <is>
          <t/>
        </is>
      </c>
      <c r="O966" t="n">
        <v>0.0</v>
      </c>
      <c r="P966" t="n">
        <v>0.0</v>
      </c>
      <c r="Q966" t="inlineStr">
        <is>
          <t/>
        </is>
      </c>
      <c r="R966" t="inlineStr">
        <is>
          <t/>
        </is>
      </c>
      <c r="S966" t="n">
        <v>0.0</v>
      </c>
      <c r="T966" t="n">
        <v>0.0</v>
      </c>
      <c r="U966" t="n">
        <v>0.0</v>
      </c>
      <c r="V966" t="n">
        <v>0.0</v>
      </c>
      <c r="W966" t="inlineStr">
        <is>
          <t/>
        </is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n">
        <v>0.0</v>
      </c>
      <c r="AI966" t="n">
        <v>0.0</v>
      </c>
      <c r="AJ966" t="n">
        <v>0.0</v>
      </c>
      <c r="AK966" t="inlineStr">
        <is>
          <t/>
        </is>
      </c>
      <c r="AL966" t="inlineStr">
        <is>
          <t/>
        </is>
      </c>
    </row>
    <row r="967">
      <c r="A967" t="inlineStr">
        <is>
          <t>已瘦30斤｜吃的简单真的会掉秤🫢</t>
        </is>
      </c>
      <c r="B967" t="inlineStr">
        <is>
          <t>693e0ff8000000001f008447</t>
        </is>
      </c>
      <c r="C967" s="966" t="n">
        <f>HYPERLINK("https://www.xiaohongshu.com/explore/693e0ff8000000001f008447?xsec_token=TBoM4IjxTW7h2pIceDY6ppQN8E9_r3iSLz0clFCwov7IM=&amp;xsec_source=pc_trdark","https://www.xiaohongshu.com/explore/693e0ff8000000001f008447?xsec_token=TBoM4IjxTW7h2pIceDY6ppQN8E9_r3iSLz0clFCwov7IM=&amp;xsec_source=pc_trdark")</f>
        <v>0.0</v>
      </c>
      <c r="D967" t="inlineStr">
        <is>
          <t>鲜水湾</t>
        </is>
      </c>
      <c r="E967" t="inlineStr">
        <is>
          <t>49316638994</t>
        </is>
      </c>
      <c r="F967" t="inlineStr">
        <is>
          <t>2025-12-14 09:16:40</t>
        </is>
      </c>
      <c r="G967" t="inlineStr">
        <is>
          <t>图文</t>
        </is>
      </c>
      <c r="H967" t="inlineStr">
        <is>
          <t>大虾基围虾王牌大虾厄瓜多尔白虾盐冻虾仁海洋大虾送礼顺丰包邮</t>
        </is>
      </c>
      <c r="I967" t="inlineStr">
        <is>
          <t>690aeb7be379430001e686ac</t>
        </is>
      </c>
      <c r="J967" t="inlineStr">
        <is>
          <t/>
        </is>
      </c>
      <c r="K967" t="n">
        <v>0.0</v>
      </c>
      <c r="L967" t="n">
        <v>0.0</v>
      </c>
      <c r="M967" t="n">
        <v>0.0</v>
      </c>
      <c r="N967" t="inlineStr">
        <is>
          <t/>
        </is>
      </c>
      <c r="O967" t="n">
        <v>0.0</v>
      </c>
      <c r="P967" t="n">
        <v>0.0</v>
      </c>
      <c r="Q967" t="inlineStr">
        <is>
          <t/>
        </is>
      </c>
      <c r="R967" t="inlineStr">
        <is>
          <t/>
        </is>
      </c>
      <c r="S967" t="n">
        <v>0.0</v>
      </c>
      <c r="T967" t="n">
        <v>0.0</v>
      </c>
      <c r="U967" t="n">
        <v>0.0</v>
      </c>
      <c r="V967" t="n">
        <v>0.0</v>
      </c>
      <c r="W967" t="inlineStr">
        <is>
          <t/>
        </is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inlineStr">
        <is>
          <t/>
        </is>
      </c>
      <c r="AL967" t="inlineStr">
        <is>
          <t/>
        </is>
      </c>
    </row>
    <row r="968">
      <c r="A968" t="inlineStr">
        <is>
          <t>我妈让我通知各位：整条鱼200多可以冲了‼️</t>
        </is>
      </c>
      <c r="B968" t="inlineStr">
        <is>
          <t>693d2cdc000000001f0075a4</t>
        </is>
      </c>
      <c r="C968" s="967" t="n">
        <f>HYPERLINK("https://www.xiaohongshu.com/explore/693d2cdc000000001f0075a4?xsec_token=TBz651BHP1Dr15NeLsAqSGPgl1sDuSofFc9NSt7WNS2cs=&amp;xsec_source=pc_trdark","https://www.xiaohongshu.com/explore/693d2cdc000000001f0075a4?xsec_token=TBz651BHP1Dr15NeLsAqSGPgl1sDuSofFc9NSt7WNS2cs=&amp;xsec_source=pc_trdark")</f>
        <v>0.0</v>
      </c>
      <c r="D968" t="inlineStr">
        <is>
          <t>鲜水湾</t>
        </is>
      </c>
      <c r="E968" t="inlineStr">
        <is>
          <t>49316638994</t>
        </is>
      </c>
      <c r="F968" t="inlineStr">
        <is>
          <t>2025-12-13 17:07:40</t>
        </is>
      </c>
      <c r="G968" t="inlineStr">
        <is>
          <t>图文</t>
        </is>
      </c>
      <c r="H968" t="inlineStr">
        <is>
          <t>智利三文鱼切块·整条三文鱼·深海鱼一人食健康饮食</t>
        </is>
      </c>
      <c r="I968" t="inlineStr">
        <is>
          <t>691ac562a524ee0001b51d7b</t>
        </is>
      </c>
      <c r="J968" t="inlineStr">
        <is>
          <t/>
        </is>
      </c>
      <c r="K968" t="n">
        <v>0.0</v>
      </c>
      <c r="L968" t="n">
        <v>0.0</v>
      </c>
      <c r="M968" t="n">
        <v>0.0</v>
      </c>
      <c r="N968" t="inlineStr">
        <is>
          <t/>
        </is>
      </c>
      <c r="O968" t="n">
        <v>0.0</v>
      </c>
      <c r="P968" t="n">
        <v>0.0</v>
      </c>
      <c r="Q968" t="inlineStr">
        <is>
          <t/>
        </is>
      </c>
      <c r="R968" t="inlineStr">
        <is>
          <t/>
        </is>
      </c>
      <c r="S968" t="n">
        <v>0.0</v>
      </c>
      <c r="T968" t="n">
        <v>0.0</v>
      </c>
      <c r="U968" t="n">
        <v>0.0</v>
      </c>
      <c r="V968" t="n">
        <v>0.0</v>
      </c>
      <c r="W968" t="inlineStr">
        <is>
          <t/>
        </is>
      </c>
      <c r="X968" t="n">
        <v>0.0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n">
        <v>0.0</v>
      </c>
      <c r="AI968" t="n">
        <v>0.0</v>
      </c>
      <c r="AJ968" t="n">
        <v>0.0</v>
      </c>
      <c r="AK968" t="inlineStr">
        <is>
          <t/>
        </is>
      </c>
      <c r="AL968" t="inlineStr">
        <is>
          <t/>
        </is>
      </c>
    </row>
    <row r="969">
      <c r="A969" t="inlineStr">
        <is>
          <t>区区200多，承包了我整个月的减脂餐</t>
        </is>
      </c>
      <c r="B969" t="inlineStr">
        <is>
          <t>693d11c7000000001f00d4a6</t>
        </is>
      </c>
      <c r="C969" s="968" t="n">
        <f>HYPERLINK("https://www.xiaohongshu.com/explore/693d11c7000000001f00d4a6?xsec_token=TBz651BHP1Dr15NeLsAqSGPpHrcfQmPZ1RNBQG6o9sT3k=&amp;xsec_source=pc_trdark","https://www.xiaohongshu.com/explore/693d11c7000000001f00d4a6?xsec_token=TBz651BHP1Dr15NeLsAqSGPpHrcfQmPZ1RNBQG6o9sT3k=&amp;xsec_source=pc_trdark")</f>
        <v>0.0</v>
      </c>
      <c r="D969" t="inlineStr">
        <is>
          <t>鲜水湾</t>
        </is>
      </c>
      <c r="E969" t="inlineStr">
        <is>
          <t>49316638994</t>
        </is>
      </c>
      <c r="F969" t="inlineStr">
        <is>
          <t>2025-12-13 15:12:07</t>
        </is>
      </c>
      <c r="G969" t="inlineStr">
        <is>
          <t>图文</t>
        </is>
      </c>
      <c r="H969" t="inlineStr">
        <is>
          <t>智利三文鱼切块·整条三文鱼·深海鱼一人食健康饮食</t>
        </is>
      </c>
      <c r="I969" t="inlineStr">
        <is>
          <t>691ac562a524ee0001b51d7b</t>
        </is>
      </c>
      <c r="J969" t="inlineStr">
        <is>
          <t/>
        </is>
      </c>
      <c r="K969" t="n">
        <v>0.0</v>
      </c>
      <c r="L969" t="n">
        <v>0.0</v>
      </c>
      <c r="M969" t="n">
        <v>0.0</v>
      </c>
      <c r="N969" t="inlineStr">
        <is>
          <t/>
        </is>
      </c>
      <c r="O969" t="n">
        <v>0.0</v>
      </c>
      <c r="P969" t="n">
        <v>0.0</v>
      </c>
      <c r="Q969" t="inlineStr">
        <is>
          <t/>
        </is>
      </c>
      <c r="R969" t="inlineStr">
        <is>
          <t/>
        </is>
      </c>
      <c r="S969" t="n">
        <v>0.0</v>
      </c>
      <c r="T969" t="n">
        <v>0.0</v>
      </c>
      <c r="U969" t="n">
        <v>0.0</v>
      </c>
      <c r="V969" t="n">
        <v>0.0</v>
      </c>
      <c r="W969" t="inlineStr">
        <is>
          <t/>
        </is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n">
        <v>0.0</v>
      </c>
      <c r="AI969" t="n">
        <v>0.0</v>
      </c>
      <c r="AJ969" t="n">
        <v>0.0</v>
      </c>
      <c r="AK969" t="inlineStr">
        <is>
          <t/>
        </is>
      </c>
      <c r="AL969" t="inlineStr">
        <is>
          <t/>
        </is>
      </c>
    </row>
    <row r="970">
      <c r="A970" t="inlineStr">
        <is>
          <t>5分钟搞定减脂餐 这大虾我能吃一辈子</t>
        </is>
      </c>
      <c r="B970" t="inlineStr">
        <is>
          <t>693cd4d3000000001e0326b5</t>
        </is>
      </c>
      <c r="C970" s="969" t="n">
        <f>HYPERLINK("https://www.xiaohongshu.com/explore/693cd4d3000000001e0326b5?xsec_token=TBby_8TUlAJfj-jHsmZvLUDVGN2j296rWGPtLCBOEDqd0=&amp;xsec_source=pc_trdark","https://www.xiaohongshu.com/explore/693cd4d3000000001e0326b5?xsec_token=TBby_8TUlAJfj-jHsmZvLUDVGN2j296rWGPtLCBOEDqd0=&amp;xsec_source=pc_trdark")</f>
        <v>0.0</v>
      </c>
      <c r="D970" t="inlineStr">
        <is>
          <t>鲜水湾</t>
        </is>
      </c>
      <c r="E970" t="inlineStr">
        <is>
          <t>49316638994</t>
        </is>
      </c>
      <c r="F970" t="inlineStr">
        <is>
          <t>2025-12-13 10:52:03</t>
        </is>
      </c>
      <c r="G970" t="inlineStr">
        <is>
          <t>图文</t>
        </is>
      </c>
      <c r="H970" t="inlineStr">
        <is>
          <t>大虾基围虾王牌大虾厄瓜多尔白虾盐冻虾仁海洋大虾送礼顺丰包邮</t>
        </is>
      </c>
      <c r="I970" t="inlineStr">
        <is>
          <t>690aeb7be379430001e686ac</t>
        </is>
      </c>
      <c r="J970" t="inlineStr">
        <is>
          <t/>
        </is>
      </c>
      <c r="K970" t="n">
        <v>0.0</v>
      </c>
      <c r="L970" t="n">
        <v>0.0</v>
      </c>
      <c r="M970" t="n">
        <v>0.0</v>
      </c>
      <c r="N970" t="inlineStr">
        <is>
          <t/>
        </is>
      </c>
      <c r="O970" t="n">
        <v>0.0</v>
      </c>
      <c r="P970" t="n">
        <v>0.0</v>
      </c>
      <c r="Q970" t="inlineStr">
        <is>
          <t/>
        </is>
      </c>
      <c r="R970" t="inlineStr">
        <is>
          <t/>
        </is>
      </c>
      <c r="S970" t="n">
        <v>0.0</v>
      </c>
      <c r="T970" t="n">
        <v>0.0</v>
      </c>
      <c r="U970" t="n">
        <v>0.0</v>
      </c>
      <c r="V970" t="n">
        <v>0.0</v>
      </c>
      <c r="W970" t="inlineStr">
        <is>
          <t/>
        </is>
      </c>
      <c r="X970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n">
        <v>0.0</v>
      </c>
      <c r="AI970" t="n">
        <v>0.0</v>
      </c>
      <c r="AJ970" t="n">
        <v>0.0</v>
      </c>
      <c r="AK970" t="inlineStr">
        <is>
          <t/>
        </is>
      </c>
      <c r="AL970" t="inlineStr">
        <is>
          <t/>
        </is>
      </c>
    </row>
    <row r="971">
      <c r="A971" t="inlineStr">
        <is>
          <t>要不是吃虾瘦的快，我早就不吃了！</t>
        </is>
      </c>
      <c r="B971" t="inlineStr">
        <is>
          <t>693c089e000000001f00b833</t>
        </is>
      </c>
      <c r="C971" s="970" t="n">
        <f>HYPERLINK("https://www.xiaohongshu.com/explore/693c089e000000001f00b833?xsec_token=TBby_8TUlAJfj-jHsmZvLUDQadctlSDj2QnDumqshe8Is=&amp;xsec_source=pc_trdark","https://www.xiaohongshu.com/explore/693c089e000000001f00b833?xsec_token=TBby_8TUlAJfj-jHsmZvLUDQadctlSDj2QnDumqshe8Is=&amp;xsec_source=pc_trdark")</f>
        <v>0.0</v>
      </c>
      <c r="D971" t="inlineStr">
        <is>
          <t>鲜水湾</t>
        </is>
      </c>
      <c r="E971" t="inlineStr">
        <is>
          <t>49316638994</t>
        </is>
      </c>
      <c r="F971" t="inlineStr">
        <is>
          <t>2025-12-12 20:20:46</t>
        </is>
      </c>
      <c r="G971" t="inlineStr">
        <is>
          <t>图文</t>
        </is>
      </c>
      <c r="H971" t="inlineStr">
        <is>
          <t>大虾基围虾王牌大虾厄瓜多尔白虾盐冻虾仁海洋大虾送礼顺丰包邮</t>
        </is>
      </c>
      <c r="I971" t="inlineStr">
        <is>
          <t>690aeb7be379430001e686ac</t>
        </is>
      </c>
      <c r="J971" t="inlineStr">
        <is>
          <t/>
        </is>
      </c>
      <c r="K971" t="n">
        <v>0.0</v>
      </c>
      <c r="L971" t="n">
        <v>0.0</v>
      </c>
      <c r="M971" t="n">
        <v>0.0</v>
      </c>
      <c r="N971" t="inlineStr">
        <is>
          <t/>
        </is>
      </c>
      <c r="O971" t="n">
        <v>0.0</v>
      </c>
      <c r="P971" t="n">
        <v>0.0</v>
      </c>
      <c r="Q971" t="inlineStr">
        <is>
          <t/>
        </is>
      </c>
      <c r="R971" t="inlineStr">
        <is>
          <t/>
        </is>
      </c>
      <c r="S971" t="n">
        <v>0.0</v>
      </c>
      <c r="T971" t="n">
        <v>0.0</v>
      </c>
      <c r="U971" t="n">
        <v>0.0</v>
      </c>
      <c r="V971" t="n">
        <v>0.0</v>
      </c>
      <c r="W971" t="inlineStr">
        <is>
          <t/>
        </is>
      </c>
      <c r="X971" t="n">
        <v>0.0</v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n">
        <v>0.0</v>
      </c>
      <c r="AI971" t="n">
        <v>0.0</v>
      </c>
      <c r="AJ971" t="n">
        <v>0.0</v>
      </c>
      <c r="AK971" t="inlineStr">
        <is>
          <t/>
        </is>
      </c>
      <c r="AL971" t="inlineStr">
        <is>
          <t/>
        </is>
      </c>
    </row>
    <row r="972">
      <c r="A972" t="inlineStr">
        <is>
          <t>瘦都是我应得的</t>
        </is>
      </c>
      <c r="B972" t="inlineStr">
        <is>
          <t>693be0e4000000001e0245e6</t>
        </is>
      </c>
      <c r="C972" s="971" t="n">
        <f>HYPERLINK("https://www.xiaohongshu.com/explore/693be0e4000000001e0245e6?xsec_token=TBehUwc4QxLaaQbLqKc-ieHp1Lou3gSbUdzlo5u-TNukQ=&amp;xsec_source=pc_trdark","https://www.xiaohongshu.com/explore/693be0e4000000001e0245e6?xsec_token=TBehUwc4QxLaaQbLqKc-ieHp1Lou3gSbUdzlo5u-TNukQ=&amp;xsec_source=pc_trdark")</f>
        <v>0.0</v>
      </c>
      <c r="D972" t="inlineStr">
        <is>
          <t>鲜水湾</t>
        </is>
      </c>
      <c r="E972" t="inlineStr">
        <is>
          <t>49316638994</t>
        </is>
      </c>
      <c r="F972" t="inlineStr">
        <is>
          <t>2025-12-12 17:31:16</t>
        </is>
      </c>
      <c r="G972" t="inlineStr">
        <is>
          <t>图文</t>
        </is>
      </c>
      <c r="H972" t="inlineStr">
        <is>
          <t>大虾基围虾王牌大虾厄瓜多尔白虾盐冻虾仁海洋大虾送礼顺丰包邮</t>
        </is>
      </c>
      <c r="I972" t="inlineStr">
        <is>
          <t>690aeb7be379430001e686ac</t>
        </is>
      </c>
      <c r="J972" t="inlineStr">
        <is>
          <t/>
        </is>
      </c>
      <c r="K972" t="n">
        <v>0.0</v>
      </c>
      <c r="L972" t="n">
        <v>0.0</v>
      </c>
      <c r="M972" t="n">
        <v>0.0</v>
      </c>
      <c r="N972" t="inlineStr">
        <is>
          <t/>
        </is>
      </c>
      <c r="O972" t="n">
        <v>0.0</v>
      </c>
      <c r="P972" t="n">
        <v>0.0</v>
      </c>
      <c r="Q972" t="inlineStr">
        <is>
          <t/>
        </is>
      </c>
      <c r="R972" t="inlineStr">
        <is>
          <t/>
        </is>
      </c>
      <c r="S972" t="n">
        <v>0.0</v>
      </c>
      <c r="T972" t="n">
        <v>0.0</v>
      </c>
      <c r="U972" t="n">
        <v>0.0</v>
      </c>
      <c r="V972" t="n">
        <v>0.0</v>
      </c>
      <c r="W972" t="inlineStr">
        <is>
          <t/>
        </is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 t="n">
        <v>0.0</v>
      </c>
      <c r="AJ972" t="n">
        <v>0.0</v>
      </c>
      <c r="AK972" t="inlineStr">
        <is>
          <t/>
        </is>
      </c>
      <c r="AL972" t="inlineStr">
        <is>
          <t/>
        </is>
      </c>
    </row>
    <row r="973">
      <c r="A973" t="inlineStr">
        <is>
          <t>我妈：你就23一斤卖总会出单的</t>
        </is>
      </c>
      <c r="B973" t="inlineStr">
        <is>
          <t>693bd331000000001e022bdc</t>
        </is>
      </c>
      <c r="C973" s="972" t="n">
        <f>HYPERLINK("https://www.xiaohongshu.com/explore/693bd331000000001e022bdc?xsec_token=TBehUwc4QxLaaQbLqKc-ieHh7DcpQrXqUtPXPYaGddM4s=&amp;xsec_source=pc_trdark","https://www.xiaohongshu.com/explore/693bd331000000001e022bdc?xsec_token=TBehUwc4QxLaaQbLqKc-ieHh7DcpQrXqUtPXPYaGddM4s=&amp;xsec_source=pc_trdark")</f>
        <v>0.0</v>
      </c>
      <c r="D973" t="inlineStr">
        <is>
          <t>鲜水湾</t>
        </is>
      </c>
      <c r="E973" t="inlineStr">
        <is>
          <t>49316638994</t>
        </is>
      </c>
      <c r="F973" t="inlineStr">
        <is>
          <t>2025-12-12 16:32:49</t>
        </is>
      </c>
      <c r="G973" t="inlineStr">
        <is>
          <t>图文</t>
        </is>
      </c>
      <c r="H973" t="inlineStr">
        <is>
          <t>大虾基围虾王牌大虾厄瓜多尔白虾盐冻虾仁海洋大虾送礼顺丰包邮</t>
        </is>
      </c>
      <c r="I973" t="inlineStr">
        <is>
          <t>690aeb7be379430001e686ac</t>
        </is>
      </c>
      <c r="J973" t="inlineStr">
        <is>
          <t/>
        </is>
      </c>
      <c r="K973" t="n">
        <v>0.0</v>
      </c>
      <c r="L973" t="n">
        <v>0.0</v>
      </c>
      <c r="M973" t="n">
        <v>0.0</v>
      </c>
      <c r="N973" t="inlineStr">
        <is>
          <t/>
        </is>
      </c>
      <c r="O973" t="n">
        <v>0.0</v>
      </c>
      <c r="P973" t="n">
        <v>0.0</v>
      </c>
      <c r="Q973" t="inlineStr">
        <is>
          <t/>
        </is>
      </c>
      <c r="R973" t="inlineStr">
        <is>
          <t/>
        </is>
      </c>
      <c r="S973" t="n">
        <v>0.0</v>
      </c>
      <c r="T973" t="n">
        <v>0.0</v>
      </c>
      <c r="U973" t="n">
        <v>0.0</v>
      </c>
      <c r="V973" t="n">
        <v>0.0</v>
      </c>
      <c r="W973" t="inlineStr">
        <is>
          <t/>
        </is>
      </c>
      <c r="X973" t="n">
        <v>0.0</v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 t="n">
        <v>0.0</v>
      </c>
      <c r="AJ973" t="n">
        <v>0.0</v>
      </c>
      <c r="AK973" t="inlineStr">
        <is>
          <t/>
        </is>
      </c>
      <c r="AL973" t="inlineStr">
        <is>
          <t/>
        </is>
      </c>
    </row>
    <row r="974">
      <c r="A974" t="inlineStr">
        <is>
          <t>被差评了😭建议吃生蚝之前看下详情</t>
        </is>
      </c>
      <c r="B974" t="inlineStr">
        <is>
          <t>693a3286000000001f004188</t>
        </is>
      </c>
      <c r="C974" s="973" t="n">
        <f>HYPERLINK("https://www.xiaohongshu.com/explore/693a3286000000001f004188?xsec_token=TBSe-eT4tPFhzXSmwZAcjHHyWS2i6TsJ7_jyXUvcozKJE=&amp;xsec_source=pc_trdark","https://www.xiaohongshu.com/explore/693a3286000000001f004188?xsec_token=TBSe-eT4tPFhzXSmwZAcjHHyWS2i6TsJ7_jyXUvcozKJE=&amp;xsec_source=pc_trdark")</f>
        <v>0.0</v>
      </c>
      <c r="D974" t="inlineStr">
        <is>
          <t>鲜水湾</t>
        </is>
      </c>
      <c r="E974" t="inlineStr">
        <is>
          <t>49316638994</t>
        </is>
      </c>
      <c r="F974" t="inlineStr">
        <is>
          <t>2025-12-11 10:55:02</t>
        </is>
      </c>
      <c r="G974" t="inlineStr">
        <is>
          <t>图文</t>
        </is>
      </c>
      <c r="H974" t="inlineStr">
        <is>
          <t>生蚝乳山生蚝海蛎子顺丰包邮</t>
        </is>
      </c>
      <c r="I974" t="inlineStr">
        <is>
          <t>690c70971b787900010866cc</t>
        </is>
      </c>
      <c r="J974" t="inlineStr">
        <is>
          <t/>
        </is>
      </c>
      <c r="K974" t="n">
        <v>0.0</v>
      </c>
      <c r="L974" t="n">
        <v>0.0</v>
      </c>
      <c r="M974" t="n">
        <v>0.0</v>
      </c>
      <c r="N974" t="inlineStr">
        <is>
          <t/>
        </is>
      </c>
      <c r="O974" t="n">
        <v>0.0</v>
      </c>
      <c r="P974" t="n">
        <v>0.0</v>
      </c>
      <c r="Q974" t="inlineStr">
        <is>
          <t/>
        </is>
      </c>
      <c r="R974" t="inlineStr">
        <is>
          <t/>
        </is>
      </c>
      <c r="S974" t="n">
        <v>0.0</v>
      </c>
      <c r="T974" t="n">
        <v>0.0</v>
      </c>
      <c r="U974" t="n">
        <v>0.0</v>
      </c>
      <c r="V974" t="n">
        <v>0.0</v>
      </c>
      <c r="W974" t="inlineStr">
        <is>
          <t/>
        </is>
      </c>
      <c r="X974" t="n">
        <v>0.0</v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n">
        <v>0.0</v>
      </c>
      <c r="AI974" t="n">
        <v>0.0</v>
      </c>
      <c r="AJ974" t="n">
        <v>0.0</v>
      </c>
      <c r="AK974" t="inlineStr">
        <is>
          <t/>
        </is>
      </c>
      <c r="AL974" t="inlineStr">
        <is>
          <t/>
        </is>
      </c>
    </row>
    <row r="975">
      <c r="A975" t="inlineStr">
        <is>
          <t>跟爸妈商量后，一整条只需360💰</t>
        </is>
      </c>
      <c r="B975" t="inlineStr">
        <is>
          <t>69382453000000001e023427</t>
        </is>
      </c>
      <c r="C975" s="974" t="n">
        <f>HYPERLINK("https://www.xiaohongshu.com/explore/69382453000000001e023427?xsec_token=TB0A09PqRCzsPFC3N13yAkHBSc4FjeHxA6IJUCtKGi4Z8=&amp;xsec_source=pc_trdark","https://www.xiaohongshu.com/explore/69382453000000001e023427?xsec_token=TB0A09PqRCzsPFC3N13yAkHBSc4FjeHxA6IJUCtKGi4Z8=&amp;xsec_source=pc_trdark")</f>
        <v>0.0</v>
      </c>
      <c r="D975" t="inlineStr">
        <is>
          <t>鲜水湾</t>
        </is>
      </c>
      <c r="E975" t="inlineStr">
        <is>
          <t>49316638994</t>
        </is>
      </c>
      <c r="F975" t="inlineStr">
        <is>
          <t>2025-12-09 21:29:55</t>
        </is>
      </c>
      <c r="G975" t="inlineStr">
        <is>
          <t>图文</t>
        </is>
      </c>
      <c r="H975" t="inlineStr">
        <is>
          <t>智利三文鱼切块·整条三文鱼·深海鱼一人食健康饮食</t>
        </is>
      </c>
      <c r="I975" t="inlineStr">
        <is>
          <t>691ac562a524ee0001b51d7b</t>
        </is>
      </c>
      <c r="J975" t="inlineStr">
        <is>
          <t/>
        </is>
      </c>
      <c r="K975" t="n">
        <v>0.0</v>
      </c>
      <c r="L975" t="n">
        <v>0.0</v>
      </c>
      <c r="M975" t="n">
        <v>0.0</v>
      </c>
      <c r="N975" t="inlineStr">
        <is>
          <t/>
        </is>
      </c>
      <c r="O975" t="n">
        <v>0.0</v>
      </c>
      <c r="P975" t="n">
        <v>0.0</v>
      </c>
      <c r="Q975" t="inlineStr">
        <is>
          <t/>
        </is>
      </c>
      <c r="R975" t="inlineStr">
        <is>
          <t/>
        </is>
      </c>
      <c r="S975" t="n">
        <v>0.0</v>
      </c>
      <c r="T975" t="n">
        <v>0.0</v>
      </c>
      <c r="U975" t="n">
        <v>0.0</v>
      </c>
      <c r="V975" t="n">
        <v>0.0</v>
      </c>
      <c r="W975" t="inlineStr">
        <is>
          <t/>
        </is>
      </c>
      <c r="X975" t="n">
        <v>0.0</v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n">
        <v>0.0</v>
      </c>
      <c r="AI975" t="n">
        <v>0.0</v>
      </c>
      <c r="AJ975" t="n">
        <v>0.0</v>
      </c>
      <c r="AK975" t="inlineStr">
        <is>
          <t/>
        </is>
      </c>
      <c r="AL975" t="inlineStr">
        <is>
          <t/>
        </is>
      </c>
    </row>
    <row r="976">
      <c r="A976" t="inlineStr">
        <is>
          <t>越吃越瘦的快乐，是整条三文鱼给的</t>
        </is>
      </c>
      <c r="B976" t="inlineStr">
        <is>
          <t>6937e457000000001e038158</t>
        </is>
      </c>
      <c r="C976" s="975" t="n">
        <f>HYPERLINK("https://www.xiaohongshu.com/explore/6937e457000000001e038158?xsec_token=TBm581DxyfKxLtHTMgt_7Xf1z8c1RGdlZUOUUVoH73L7c=&amp;xsec_source=pc_trdark","https://www.xiaohongshu.com/explore/6937e457000000001e038158?xsec_token=TBm581DxyfKxLtHTMgt_7Xf1z8c1RGdlZUOUUVoH73L7c=&amp;xsec_source=pc_trdark")</f>
        <v>0.0</v>
      </c>
      <c r="D976" t="inlineStr">
        <is>
          <t>鲜水湾</t>
        </is>
      </c>
      <c r="E976" t="inlineStr">
        <is>
          <t>49316638994</t>
        </is>
      </c>
      <c r="F976" t="inlineStr">
        <is>
          <t>2025-12-09 16:56:55</t>
        </is>
      </c>
      <c r="G976" t="inlineStr">
        <is>
          <t>图文</t>
        </is>
      </c>
      <c r="H976" t="inlineStr">
        <is>
          <t>智利三文鱼切块·整条三文鱼·深海鱼一人食健康饮食</t>
        </is>
      </c>
      <c r="I976" t="inlineStr">
        <is>
          <t>691ac562a524ee0001b51d7b</t>
        </is>
      </c>
      <c r="J976" t="inlineStr">
        <is>
          <t/>
        </is>
      </c>
      <c r="K976" t="n">
        <v>0.0</v>
      </c>
      <c r="L976" t="n">
        <v>0.0</v>
      </c>
      <c r="M976" t="n">
        <v>0.0</v>
      </c>
      <c r="N976" t="inlineStr">
        <is>
          <t/>
        </is>
      </c>
      <c r="O976" t="n">
        <v>0.0</v>
      </c>
      <c r="P976" t="n">
        <v>0.0</v>
      </c>
      <c r="Q976" t="inlineStr">
        <is>
          <t/>
        </is>
      </c>
      <c r="R976" t="inlineStr">
        <is>
          <t/>
        </is>
      </c>
      <c r="S976" t="n">
        <v>0.0</v>
      </c>
      <c r="T976" t="n">
        <v>0.0</v>
      </c>
      <c r="U976" t="n">
        <v>0.0</v>
      </c>
      <c r="V976" t="n">
        <v>0.0</v>
      </c>
      <c r="W976" t="inlineStr">
        <is>
          <t/>
        </is>
      </c>
      <c r="X976" t="n">
        <v>0.0</v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  <c r="AK976" t="inlineStr">
        <is>
          <t/>
        </is>
      </c>
      <c r="AL976" t="inlineStr">
        <is>
          <t/>
        </is>
      </c>
    </row>
    <row r="977">
      <c r="A977" t="inlineStr">
        <is>
          <t>一个很变态，但可以瘦的方法</t>
        </is>
      </c>
      <c r="B977" t="inlineStr">
        <is>
          <t>6936e236000000001e033d69</t>
        </is>
      </c>
      <c r="C977" s="976" t="n">
        <f>HYPERLINK("https://www.xiaohongshu.com/explore/6936e236000000001e033d69?xsec_token=TBlR01uRP0dY963Q_AxX8vHG9NopxmE4c_Kx3ofNqu-5I=&amp;xsec_source=pc_trdark","https://www.xiaohongshu.com/explore/6936e236000000001e033d69?xsec_token=TBlR01uRP0dY963Q_AxX8vHG9NopxmE4c_Kx3ofNqu-5I=&amp;xsec_source=pc_trdark")</f>
        <v>0.0</v>
      </c>
      <c r="D977" t="inlineStr">
        <is>
          <t>鲜水湾</t>
        </is>
      </c>
      <c r="E977" t="inlineStr">
        <is>
          <t>49316638994</t>
        </is>
      </c>
      <c r="F977" t="inlineStr">
        <is>
          <t>2025-12-08 22:35:34</t>
        </is>
      </c>
      <c r="G977" t="inlineStr">
        <is>
          <t>视频</t>
        </is>
      </c>
      <c r="H977" t="inlineStr">
        <is>
          <t>大虾基围虾王牌大虾厄瓜多尔白虾盐冻虾仁海洋大虾送礼顺丰包邮</t>
        </is>
      </c>
      <c r="I977" t="inlineStr">
        <is>
          <t>690aeb7be379430001e686ac</t>
        </is>
      </c>
      <c r="J977" t="n">
        <v>14.0</v>
      </c>
      <c r="K977" t="n">
        <v>0.0</v>
      </c>
      <c r="L977" t="n">
        <v>0.0</v>
      </c>
      <c r="M977" t="n">
        <v>0.0</v>
      </c>
      <c r="N977" t="inlineStr">
        <is>
          <t/>
        </is>
      </c>
      <c r="O977" t="n">
        <v>0.0</v>
      </c>
      <c r="P977" t="n">
        <v>0.0</v>
      </c>
      <c r="Q977" t="inlineStr">
        <is>
          <t/>
        </is>
      </c>
      <c r="R977" t="inlineStr">
        <is>
          <t/>
        </is>
      </c>
      <c r="S977" t="n">
        <v>0.0</v>
      </c>
      <c r="T977" t="n">
        <v>0.0</v>
      </c>
      <c r="U977" t="n">
        <v>0.0</v>
      </c>
      <c r="V977" t="n">
        <v>0.0</v>
      </c>
      <c r="W977" t="inlineStr">
        <is>
          <t/>
        </is>
      </c>
      <c r="X977" t="n">
        <v>0.0</v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 t="n">
        <v>0.0</v>
      </c>
      <c r="AJ977" t="n">
        <v>0.0</v>
      </c>
      <c r="AK977" t="inlineStr">
        <is>
          <t/>
        </is>
      </c>
      <c r="AL977" t="inlineStr">
        <is>
          <t/>
        </is>
      </c>
    </row>
    <row r="978">
      <c r="A978" t="inlineStr">
        <is>
          <t>太喜欢小红书了！比山姆还实惠</t>
        </is>
      </c>
      <c r="B978" t="inlineStr">
        <is>
          <t>69367f13000000001f005aef</t>
        </is>
      </c>
      <c r="C978" s="977" t="n">
        <f>HYPERLINK("https://www.xiaohongshu.com/explore/69367f13000000001f005aef?xsec_token=TBlR01uRP0dY963Q_AxX8vHBOKSHOJrXd3qrdXkuvz998=&amp;xsec_source=pc_trdark","https://www.xiaohongshu.com/explore/69367f13000000001f005aef?xsec_token=TBlR01uRP0dY963Q_AxX8vHBOKSHOJrXd3qrdXkuvz998=&amp;xsec_source=pc_trdark")</f>
        <v>0.0</v>
      </c>
      <c r="D978" t="inlineStr">
        <is>
          <t>鲜水湾</t>
        </is>
      </c>
      <c r="E978" t="inlineStr">
        <is>
          <t>49316638994</t>
        </is>
      </c>
      <c r="F978" t="inlineStr">
        <is>
          <t>2025-12-08 15:32:35</t>
        </is>
      </c>
      <c r="G978" t="inlineStr">
        <is>
          <t>图文</t>
        </is>
      </c>
      <c r="H978" t="inlineStr">
        <is>
          <t>智利三文鱼切块·整条三文鱼·深海鱼一人食健康饮食</t>
        </is>
      </c>
      <c r="I978" t="inlineStr">
        <is>
          <t>691ac562a524ee0001b51d7b</t>
        </is>
      </c>
      <c r="J978" t="inlineStr">
        <is>
          <t/>
        </is>
      </c>
      <c r="K978" t="n">
        <v>0.0</v>
      </c>
      <c r="L978" t="n">
        <v>0.0</v>
      </c>
      <c r="M978" t="n">
        <v>0.0</v>
      </c>
      <c r="N978" t="inlineStr">
        <is>
          <t/>
        </is>
      </c>
      <c r="O978" t="n">
        <v>0.0</v>
      </c>
      <c r="P978" t="n">
        <v>0.0</v>
      </c>
      <c r="Q978" t="inlineStr">
        <is>
          <t/>
        </is>
      </c>
      <c r="R978" t="inlineStr">
        <is>
          <t/>
        </is>
      </c>
      <c r="S978" t="n">
        <v>0.0</v>
      </c>
      <c r="T978" t="n">
        <v>0.0</v>
      </c>
      <c r="U978" t="n">
        <v>0.0</v>
      </c>
      <c r="V978" t="n">
        <v>0.0</v>
      </c>
      <c r="W978" t="inlineStr">
        <is>
          <t/>
        </is>
      </c>
      <c r="X978" t="n">
        <v>0.0</v>
      </c>
      <c r="Y978" t="n">
        <v>0.0</v>
      </c>
      <c r="Z978" t="n">
        <v>0.0</v>
      </c>
      <c r="AA978" t="n">
        <v>0.0</v>
      </c>
      <c r="AB978" t="n">
        <v>0.0</v>
      </c>
      <c r="AC978" t="n">
        <v>0.0</v>
      </c>
      <c r="AD978" t="n">
        <v>0.0</v>
      </c>
      <c r="AE978" t="n">
        <v>0.0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inlineStr">
        <is>
          <t/>
        </is>
      </c>
      <c r="AL978" t="inlineStr">
        <is>
          <t/>
        </is>
      </c>
    </row>
    <row r="979">
      <c r="A979" t="inlineStr">
        <is>
          <t>69💰看着不起眼 实际够我吃一个周</t>
        </is>
      </c>
      <c r="B979" t="inlineStr">
        <is>
          <t>6935948e000000001f004a65</t>
        </is>
      </c>
      <c r="C979" s="978" t="n">
        <f>HYPERLINK("https://www.xiaohongshu.com/explore/6935948e000000001f004a65?xsec_token=TBVD2oNyykPWo5AeaDpfHB-spXXPzORjROCJhBE0vFZuE=&amp;xsec_source=pc_trdark","https://www.xiaohongshu.com/explore/6935948e000000001f004a65?xsec_token=TBVD2oNyykPWo5AeaDpfHB-spXXPzORjROCJhBE0vFZuE=&amp;xsec_source=pc_trdark")</f>
        <v>0.0</v>
      </c>
      <c r="D979" t="inlineStr">
        <is>
          <t>鲜水湾</t>
        </is>
      </c>
      <c r="E979" t="inlineStr">
        <is>
          <t>49316638994</t>
        </is>
      </c>
      <c r="F979" t="inlineStr">
        <is>
          <t>2025-12-07 22:51:58</t>
        </is>
      </c>
      <c r="G979" t="inlineStr">
        <is>
          <t>图文</t>
        </is>
      </c>
      <c r="H979" t="inlineStr">
        <is>
          <t>大虾基围虾王牌大虾厄瓜多尔白虾盐冻虾仁海洋大虾送礼顺丰包邮</t>
        </is>
      </c>
      <c r="I979" t="inlineStr">
        <is>
          <t>690aeb7be379430001e686ac</t>
        </is>
      </c>
      <c r="J979" t="inlineStr">
        <is>
          <t/>
        </is>
      </c>
      <c r="K979" t="n">
        <v>0.0</v>
      </c>
      <c r="L979" t="n">
        <v>0.0</v>
      </c>
      <c r="M979" t="n">
        <v>0.0</v>
      </c>
      <c r="N979" t="inlineStr">
        <is>
          <t/>
        </is>
      </c>
      <c r="O979" t="n">
        <v>0.0</v>
      </c>
      <c r="P979" t="n">
        <v>0.0</v>
      </c>
      <c r="Q979" t="inlineStr">
        <is>
          <t/>
        </is>
      </c>
      <c r="R979" t="inlineStr">
        <is>
          <t/>
        </is>
      </c>
      <c r="S979" t="n">
        <v>0.0</v>
      </c>
      <c r="T979" t="n">
        <v>0.0</v>
      </c>
      <c r="U979" t="n">
        <v>0.0</v>
      </c>
      <c r="V979" t="n">
        <v>0.0</v>
      </c>
      <c r="W979" t="inlineStr">
        <is>
          <t/>
        </is>
      </c>
      <c r="X979" t="n">
        <v>0.0</v>
      </c>
      <c r="Y979" t="n">
        <v>0.0</v>
      </c>
      <c r="Z979" t="n">
        <v>0.0</v>
      </c>
      <c r="AA979" t="n">
        <v>0.0</v>
      </c>
      <c r="AB979" t="n">
        <v>0.0</v>
      </c>
      <c r="AC979" t="n">
        <v>0.0</v>
      </c>
      <c r="AD979" t="n">
        <v>0.0</v>
      </c>
      <c r="AE979" t="n">
        <v>0.0</v>
      </c>
      <c r="AF979" t="n">
        <v>0.0</v>
      </c>
      <c r="AG979" t="n">
        <v>0.0</v>
      </c>
      <c r="AH979" t="n">
        <v>0.0</v>
      </c>
      <c r="AI979" t="n">
        <v>0.0</v>
      </c>
      <c r="AJ979" t="n">
        <v>0.0</v>
      </c>
      <c r="AK979" t="inlineStr">
        <is>
          <t/>
        </is>
      </c>
      <c r="AL979" t="inlineStr">
        <is>
          <t/>
        </is>
      </c>
    </row>
    <row r="980">
      <c r="A980" t="inlineStr">
        <is>
          <t>爸妈对我每天吃虾表示很奢侈</t>
        </is>
      </c>
      <c r="B980" t="inlineStr">
        <is>
          <t>693397b8000000001d03918c</t>
        </is>
      </c>
      <c r="C980" s="979" t="n">
        <f>HYPERLINK("https://www.xiaohongshu.com/explore/693397b8000000001d03918c?xsec_token=TBtLw60d0rN_yGhfj7_ewzhZQrEH49D2EswsFkD3n_bkY=&amp;xsec_source=pc_trdark","https://www.xiaohongshu.com/explore/693397b8000000001d03918c?xsec_token=TBtLw60d0rN_yGhfj7_ewzhZQrEH49D2EswsFkD3n_bkY=&amp;xsec_source=pc_trdark")</f>
        <v>0.0</v>
      </c>
      <c r="D980" t="inlineStr">
        <is>
          <t>鲜水湾甄选</t>
        </is>
      </c>
      <c r="E980" t="inlineStr">
        <is>
          <t>27401929161</t>
        </is>
      </c>
      <c r="F980" t="inlineStr">
        <is>
          <t>2025-12-06 10:40:56</t>
        </is>
      </c>
      <c r="G980" t="inlineStr">
        <is>
          <t>图文</t>
        </is>
      </c>
      <c r="H980" t="inlineStr">
        <is>
          <t>大虾基围虾王牌大虾厄瓜多尔白虾盐冻虾仁海洋大虾送礼顺丰包邮</t>
        </is>
      </c>
      <c r="I980" t="inlineStr">
        <is>
          <t>690aeb7be379430001e686ac</t>
        </is>
      </c>
      <c r="J980" t="inlineStr">
        <is>
          <t/>
        </is>
      </c>
      <c r="K980" t="n">
        <v>0.0</v>
      </c>
      <c r="L980" t="n">
        <v>0.0</v>
      </c>
      <c r="M980" t="n">
        <v>0.0</v>
      </c>
      <c r="N980" t="inlineStr">
        <is>
          <t/>
        </is>
      </c>
      <c r="O980" t="n">
        <v>0.0</v>
      </c>
      <c r="P980" t="n">
        <v>0.0</v>
      </c>
      <c r="Q980" t="inlineStr">
        <is>
          <t/>
        </is>
      </c>
      <c r="R980" t="inlineStr">
        <is>
          <t/>
        </is>
      </c>
      <c r="S980" t="n">
        <v>0.0</v>
      </c>
      <c r="T980" t="n">
        <v>0.0</v>
      </c>
      <c r="U980" t="n">
        <v>0.0</v>
      </c>
      <c r="V980" t="n">
        <v>0.0</v>
      </c>
      <c r="W980" t="inlineStr">
        <is>
          <t/>
        </is>
      </c>
      <c r="X980" t="n">
        <v>0.0</v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n">
        <v>0.0</v>
      </c>
      <c r="AI980" t="n">
        <v>0.0</v>
      </c>
      <c r="AJ980" t="n">
        <v>0.0</v>
      </c>
      <c r="AK980" t="inlineStr">
        <is>
          <t/>
        </is>
      </c>
      <c r="AL980" t="inlineStr">
        <is>
          <t/>
        </is>
      </c>
    </row>
    <row r="981">
      <c r="A981" t="inlineStr">
        <is>
          <t>我妈说：你就41r一直卖，总会出单的</t>
        </is>
      </c>
      <c r="B981" t="inlineStr">
        <is>
          <t>6932a29d000000001e0213f6</t>
        </is>
      </c>
      <c r="C981" s="980" t="n">
        <f>HYPERLINK("https://www.xiaohongshu.com/explore/6932a29d000000001e0213f6?xsec_token=TBpgGkEYDo_gVOMrYT9wIn9z6vfXDhvw6nIa3HACWFP9s=&amp;xsec_source=pc_trdark","https://www.xiaohongshu.com/explore/6932a29d000000001e0213f6?xsec_token=TBpgGkEYDo_gVOMrYT9wIn9z6vfXDhvw6nIa3HACWFP9s=&amp;xsec_source=pc_trdark")</f>
        <v>0.0</v>
      </c>
      <c r="D981" t="inlineStr">
        <is>
          <t>鲜水湾</t>
        </is>
      </c>
      <c r="E981" t="inlineStr">
        <is>
          <t>49316638994</t>
        </is>
      </c>
      <c r="F981" t="inlineStr">
        <is>
          <t>2025-12-05 17:15:09</t>
        </is>
      </c>
      <c r="G981" t="inlineStr">
        <is>
          <t>图文</t>
        </is>
      </c>
      <c r="H981" t="inlineStr">
        <is>
          <t>智利三文鱼切块·整条三文鱼·深海鱼一人食健康饮食</t>
        </is>
      </c>
      <c r="I981" t="inlineStr">
        <is>
          <t>691ac562a524ee0001b51d7b</t>
        </is>
      </c>
      <c r="J981" t="inlineStr">
        <is>
          <t/>
        </is>
      </c>
      <c r="K981" t="n">
        <v>0.0</v>
      </c>
      <c r="L981" t="n">
        <v>0.0</v>
      </c>
      <c r="M981" t="n">
        <v>0.0</v>
      </c>
      <c r="N981" t="inlineStr">
        <is>
          <t/>
        </is>
      </c>
      <c r="O981" t="n">
        <v>0.0</v>
      </c>
      <c r="P981" t="n">
        <v>0.0</v>
      </c>
      <c r="Q981" t="inlineStr">
        <is>
          <t/>
        </is>
      </c>
      <c r="R981" t="inlineStr">
        <is>
          <t/>
        </is>
      </c>
      <c r="S981" t="n">
        <v>0.0</v>
      </c>
      <c r="T981" t="n">
        <v>0.0</v>
      </c>
      <c r="U981" t="n">
        <v>0.0</v>
      </c>
      <c r="V981" t="n">
        <v>0.0</v>
      </c>
      <c r="W981" t="inlineStr">
        <is>
          <t/>
        </is>
      </c>
      <c r="X981" t="n">
        <v>0.0</v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  <c r="AK981" t="inlineStr">
        <is>
          <t/>
        </is>
      </c>
      <c r="AL981" t="inlineStr">
        <is>
          <t/>
        </is>
      </c>
    </row>
    <row r="982">
      <c r="A982" t="inlineStr">
        <is>
          <t>马上元旦了，都来囤我家大虾吧！！</t>
        </is>
      </c>
      <c r="B982" t="inlineStr">
        <is>
          <t>69328cb8000000001f0062ce</t>
        </is>
      </c>
      <c r="C982" s="981" t="n">
        <f>HYPERLINK("https://www.xiaohongshu.com/explore/69328cb8000000001f0062ce?xsec_token=TBpgGkEYDo_gVOMrYT9wIn94nVVTjcLT2GuGmQI9u37lQ=&amp;xsec_source=pc_trdark","https://www.xiaohongshu.com/explore/69328cb8000000001f0062ce?xsec_token=TBpgGkEYDo_gVOMrYT9wIn94nVVTjcLT2GuGmQI9u37lQ=&amp;xsec_source=pc_trdark")</f>
        <v>0.0</v>
      </c>
      <c r="D982" t="inlineStr">
        <is>
          <t>鲜水湾</t>
        </is>
      </c>
      <c r="E982" t="inlineStr">
        <is>
          <t>49316638994</t>
        </is>
      </c>
      <c r="F982" t="inlineStr">
        <is>
          <t>2025-12-05 15:41:44</t>
        </is>
      </c>
      <c r="G982" t="inlineStr">
        <is>
          <t>图文</t>
        </is>
      </c>
      <c r="H982" t="inlineStr">
        <is>
          <t>大虾基围虾王牌大虾厄瓜多尔白虾盐冻虾仁海洋大虾送礼顺丰包邮</t>
        </is>
      </c>
      <c r="I982" t="inlineStr">
        <is>
          <t>690aeb7be379430001e686ac</t>
        </is>
      </c>
      <c r="J982" t="inlineStr">
        <is>
          <t/>
        </is>
      </c>
      <c r="K982" t="n">
        <v>0.0</v>
      </c>
      <c r="L982" t="n">
        <v>0.0</v>
      </c>
      <c r="M982" t="n">
        <v>0.0</v>
      </c>
      <c r="N982" t="inlineStr">
        <is>
          <t/>
        </is>
      </c>
      <c r="O982" t="n">
        <v>0.0</v>
      </c>
      <c r="P982" t="n">
        <v>0.0</v>
      </c>
      <c r="Q982" t="inlineStr">
        <is>
          <t/>
        </is>
      </c>
      <c r="R982" t="inlineStr">
        <is>
          <t/>
        </is>
      </c>
      <c r="S982" t="n">
        <v>0.0</v>
      </c>
      <c r="T982" t="n">
        <v>0.0</v>
      </c>
      <c r="U982" t="n">
        <v>0.0</v>
      </c>
      <c r="V982" t="n">
        <v>0.0</v>
      </c>
      <c r="W982" t="inlineStr">
        <is>
          <t/>
        </is>
      </c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 t="n">
        <v>0.0</v>
      </c>
      <c r="AJ982" t="n">
        <v>0.0</v>
      </c>
      <c r="AK982" t="inlineStr">
        <is>
          <t/>
        </is>
      </c>
      <c r="AL982" t="inlineStr">
        <is>
          <t/>
        </is>
      </c>
    </row>
    <row r="983">
      <c r="A983" t="inlineStr">
        <is>
          <t>爸妈愁的睡不着觉，49.9r一箱五斤包邮了</t>
        </is>
      </c>
      <c r="B983" t="inlineStr">
        <is>
          <t>69327b24000000001b0327c8</t>
        </is>
      </c>
      <c r="C983" s="982" t="n">
        <f>HYPERLINK("https://www.xiaohongshu.com/explore/69327b24000000001b0327c8?xsec_token=TBpgGkEYDo_gVOMrYT9wIn9-DahFoYsOH1I4Xr9al5eZM=&amp;xsec_source=pc_trdark","https://www.xiaohongshu.com/explore/69327b24000000001b0327c8?xsec_token=TBpgGkEYDo_gVOMrYT9wIn9-DahFoYsOH1I4Xr9al5eZM=&amp;xsec_source=pc_trdark")</f>
        <v>0.0</v>
      </c>
      <c r="D983" t="inlineStr">
        <is>
          <t>婉婉上班吃什么</t>
        </is>
      </c>
      <c r="E983" t="inlineStr">
        <is>
          <t>11434449706</t>
        </is>
      </c>
      <c r="F983" t="inlineStr">
        <is>
          <t>2025-12-05 14:26:44</t>
        </is>
      </c>
      <c r="G983" t="inlineStr">
        <is>
          <t>视频</t>
        </is>
      </c>
      <c r="H983" t="inlineStr">
        <is>
          <t>生蚝乳山生蚝海蛎子顺丰包邮</t>
        </is>
      </c>
      <c r="I983" t="inlineStr">
        <is>
          <t>690c70971b787900010866cc</t>
        </is>
      </c>
      <c r="J983" t="n">
        <v>37.0</v>
      </c>
      <c r="K983" t="n">
        <v>0.0</v>
      </c>
      <c r="L983" t="n">
        <v>0.0</v>
      </c>
      <c r="M983" t="n">
        <v>0.0</v>
      </c>
      <c r="N983" t="inlineStr">
        <is>
          <t/>
        </is>
      </c>
      <c r="O983" t="n">
        <v>0.0</v>
      </c>
      <c r="P983" t="n">
        <v>0.0</v>
      </c>
      <c r="Q983" t="inlineStr">
        <is>
          <t/>
        </is>
      </c>
      <c r="R983" t="inlineStr">
        <is>
          <t/>
        </is>
      </c>
      <c r="S983" t="n">
        <v>0.0</v>
      </c>
      <c r="T983" t="n">
        <v>0.0</v>
      </c>
      <c r="U983" t="n">
        <v>0.0</v>
      </c>
      <c r="V983" t="n">
        <v>0.0</v>
      </c>
      <c r="W983" t="inlineStr">
        <is>
          <t/>
        </is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inlineStr">
        <is>
          <t/>
        </is>
      </c>
      <c r="AL983" t="inlineStr">
        <is>
          <t/>
        </is>
      </c>
    </row>
    <row r="984">
      <c r="A984" t="inlineStr">
        <is>
          <t>在鲜水湾囤了整条三文鱼</t>
        </is>
      </c>
      <c r="B984" t="inlineStr">
        <is>
          <t>6931794a000000001e0341c1</t>
        </is>
      </c>
      <c r="C984" s="983" t="n">
        <f>HYPERLINK("https://www.xiaohongshu.com/explore/6931794a000000001e0341c1?xsec_token=TBE4JBHwTJxKVcqB99kbkXON1IMczlroWgeidikGIS-VU=&amp;xsec_source=pc_trdark","https://www.xiaohongshu.com/explore/6931794a000000001e0341c1?xsec_token=TBE4JBHwTJxKVcqB99kbkXON1IMczlroWgeidikGIS-VU=&amp;xsec_source=pc_trdark")</f>
        <v>0.0</v>
      </c>
      <c r="D984" t="inlineStr">
        <is>
          <t>鲜水湾</t>
        </is>
      </c>
      <c r="E984" t="inlineStr">
        <is>
          <t>49316638994</t>
        </is>
      </c>
      <c r="F984" t="inlineStr">
        <is>
          <t>2025-12-04 20:06:34</t>
        </is>
      </c>
      <c r="G984" t="inlineStr">
        <is>
          <t>图文</t>
        </is>
      </c>
      <c r="H984" t="inlineStr">
        <is>
          <t>智利三文鱼切块·整条三文鱼·深海鱼一人食健康饮食</t>
        </is>
      </c>
      <c r="I984" t="inlineStr">
        <is>
          <t>691ac562a524ee0001b51d7b</t>
        </is>
      </c>
      <c r="J984" t="inlineStr">
        <is>
          <t/>
        </is>
      </c>
      <c r="K984" t="n">
        <v>0.0</v>
      </c>
      <c r="L984" t="n">
        <v>0.0</v>
      </c>
      <c r="M984" t="n">
        <v>0.0</v>
      </c>
      <c r="N984" t="inlineStr">
        <is>
          <t/>
        </is>
      </c>
      <c r="O984" t="n">
        <v>0.0</v>
      </c>
      <c r="P984" t="n">
        <v>0.0</v>
      </c>
      <c r="Q984" t="inlineStr">
        <is>
          <t/>
        </is>
      </c>
      <c r="R984" t="inlineStr">
        <is>
          <t/>
        </is>
      </c>
      <c r="S984" t="n">
        <v>0.0</v>
      </c>
      <c r="T984" t="n">
        <v>0.0</v>
      </c>
      <c r="U984" t="n">
        <v>0.0</v>
      </c>
      <c r="V984" t="n">
        <v>0.0</v>
      </c>
      <c r="W984" t="inlineStr">
        <is>
          <t/>
        </is>
      </c>
      <c r="X984" t="n">
        <v>0.0</v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 t="n">
        <v>0.0</v>
      </c>
      <c r="AJ984" t="n">
        <v>0.0</v>
      </c>
      <c r="AK984" t="inlineStr">
        <is>
          <t/>
        </is>
      </c>
      <c r="AL984" t="inlineStr">
        <is>
          <t/>
        </is>
      </c>
    </row>
    <row r="985">
      <c r="A985" t="inlineStr">
        <is>
          <t>79块钱💰以为没多少，实际够我吃半个月</t>
        </is>
      </c>
      <c r="B985" t="inlineStr">
        <is>
          <t>69313a79000000001f008142</t>
        </is>
      </c>
      <c r="C985" s="984" t="n">
        <f>HYPERLINK("https://www.xiaohongshu.com/explore/69313a79000000001f008142?xsec_token=TBE4JBHwTJxKVcqB99kbkXOCfjHVAQel4Nyp_x1ucs2EQ=&amp;xsec_source=pc_trdark","https://www.xiaohongshu.com/explore/69313a79000000001f008142?xsec_token=TBE4JBHwTJxKVcqB99kbkXOCfjHVAQel4Nyp_x1ucs2EQ=&amp;xsec_source=pc_trdark")</f>
        <v>0.0</v>
      </c>
      <c r="D985" t="inlineStr">
        <is>
          <t>鲜水湾</t>
        </is>
      </c>
      <c r="E985" t="inlineStr">
        <is>
          <t>49316638994</t>
        </is>
      </c>
      <c r="F985" t="inlineStr">
        <is>
          <t>2025-12-04 15:38:33</t>
        </is>
      </c>
      <c r="G985" t="inlineStr">
        <is>
          <t>图文</t>
        </is>
      </c>
      <c r="H985" t="inlineStr">
        <is>
          <t>大虾基围虾王牌大虾厄瓜多尔白虾盐冻虾仁海洋大虾送礼顺丰包邮</t>
        </is>
      </c>
      <c r="I985" t="inlineStr">
        <is>
          <t>690aeb7be379430001e686ac</t>
        </is>
      </c>
      <c r="J985" t="inlineStr">
        <is>
          <t/>
        </is>
      </c>
      <c r="K985" t="n">
        <v>0.0</v>
      </c>
      <c r="L985" t="n">
        <v>0.0</v>
      </c>
      <c r="M985" t="n">
        <v>0.0</v>
      </c>
      <c r="N985" t="inlineStr">
        <is>
          <t/>
        </is>
      </c>
      <c r="O985" t="n">
        <v>0.0</v>
      </c>
      <c r="P985" t="n">
        <v>0.0</v>
      </c>
      <c r="Q985" t="inlineStr">
        <is>
          <t/>
        </is>
      </c>
      <c r="R985" t="inlineStr">
        <is>
          <t/>
        </is>
      </c>
      <c r="S985" t="n">
        <v>0.0</v>
      </c>
      <c r="T985" t="n">
        <v>0.0</v>
      </c>
      <c r="U985" t="n">
        <v>0.0</v>
      </c>
      <c r="V985" t="n">
        <v>0.0</v>
      </c>
      <c r="W985" t="inlineStr">
        <is>
          <t/>
        </is>
      </c>
      <c r="X985" t="n">
        <v>0.0</v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n">
        <v>0.0</v>
      </c>
      <c r="AI985" t="n">
        <v>0.0</v>
      </c>
      <c r="AJ985" t="n">
        <v>0.0</v>
      </c>
      <c r="AK985" t="inlineStr">
        <is>
          <t/>
        </is>
      </c>
      <c r="AL985" t="inlineStr">
        <is>
          <t/>
        </is>
      </c>
    </row>
    <row r="986">
      <c r="A986" t="inlineStr">
        <is>
          <t>误以为很贵，实际80块够吃一周的大虾</t>
        </is>
      </c>
      <c r="B986" t="inlineStr">
        <is>
          <t>692c173c000000001e0263ff</t>
        </is>
      </c>
      <c r="C986" s="985" t="n">
        <f>HYPERLINK("https://www.xiaohongshu.com/explore/692c173c000000001e0263ff?xsec_token=TBH8WU3GpU8LFNJoNsVUYXEq2iwAL-tVREG-1oFvuX0eQ=&amp;xsec_source=pc_trdark","https://www.xiaohongshu.com/explore/692c173c000000001e0263ff?xsec_token=TBH8WU3GpU8LFNJoNsVUYXEq2iwAL-tVREG-1oFvuX0eQ=&amp;xsec_source=pc_trdark")</f>
        <v>0.0</v>
      </c>
      <c r="D986" t="inlineStr">
        <is>
          <t>鲜水湾</t>
        </is>
      </c>
      <c r="E986" t="inlineStr">
        <is>
          <t>49316638994</t>
        </is>
      </c>
      <c r="F986" t="inlineStr">
        <is>
          <t>2025-11-30 18:06:52</t>
        </is>
      </c>
      <c r="G986" t="inlineStr">
        <is>
          <t>图文</t>
        </is>
      </c>
      <c r="H986" t="inlineStr">
        <is>
          <t>大虾基围虾王牌大虾厄瓜多尔白虾盐冻虾仁海洋大虾送礼顺丰包邮</t>
        </is>
      </c>
      <c r="I986" t="inlineStr">
        <is>
          <t>690aeb7be379430001e686ac</t>
        </is>
      </c>
      <c r="J986" t="inlineStr">
        <is>
          <t/>
        </is>
      </c>
      <c r="K986" t="n">
        <v>0.0</v>
      </c>
      <c r="L986" t="n">
        <v>0.0</v>
      </c>
      <c r="M986" t="n">
        <v>0.0</v>
      </c>
      <c r="N986" t="inlineStr">
        <is>
          <t/>
        </is>
      </c>
      <c r="O986" t="n">
        <v>0.0</v>
      </c>
      <c r="P986" t="n">
        <v>0.0</v>
      </c>
      <c r="Q986" t="inlineStr">
        <is>
          <t/>
        </is>
      </c>
      <c r="R986" t="inlineStr">
        <is>
          <t/>
        </is>
      </c>
      <c r="S986" t="n">
        <v>0.0</v>
      </c>
      <c r="T986" t="n">
        <v>0.0</v>
      </c>
      <c r="U986" t="n">
        <v>0.0</v>
      </c>
      <c r="V986" t="n">
        <v>0.0</v>
      </c>
      <c r="W986" t="inlineStr">
        <is>
          <t/>
        </is>
      </c>
      <c r="X986" t="n">
        <v>0.0</v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n">
        <v>0.0</v>
      </c>
      <c r="AI986" t="n">
        <v>0.0</v>
      </c>
      <c r="AJ986" t="n">
        <v>0.0</v>
      </c>
      <c r="AK986" t="inlineStr">
        <is>
          <t/>
        </is>
      </c>
      <c r="AL986" t="inlineStr">
        <is>
          <t/>
        </is>
      </c>
    </row>
    <row r="987">
      <c r="A987" t="inlineStr">
        <is>
          <t>一个能撑死人，但热量很低的东西</t>
        </is>
      </c>
      <c r="B987" t="inlineStr">
        <is>
          <t>69231eff000000001e022941</t>
        </is>
      </c>
      <c r="C987" s="986" t="n">
        <f>HYPERLINK("https://www.xiaohongshu.com/explore/69231eff000000001e022941?xsec_token=TBBxL79LDzc6WqpUNHJD-EhcFqaVjs_EY-zYiTuVgkqhk=&amp;xsec_source=pc_trdark","https://www.xiaohongshu.com/explore/69231eff000000001e022941?xsec_token=TBBxL79LDzc6WqpUNHJD-EhcFqaVjs_EY-zYiTuVgkqhk=&amp;xsec_source=pc_trdark")</f>
        <v>0.0</v>
      </c>
      <c r="D987" t="inlineStr">
        <is>
          <t>鲜水湾</t>
        </is>
      </c>
      <c r="E987" t="inlineStr">
        <is>
          <t>49316638994</t>
        </is>
      </c>
      <c r="F987" t="inlineStr">
        <is>
          <t>2025-11-23 22:49:35</t>
        </is>
      </c>
      <c r="G987" t="inlineStr">
        <is>
          <t>图文</t>
        </is>
      </c>
      <c r="H987" t="inlineStr">
        <is>
          <t>大虾基围虾王牌大虾厄瓜多尔白虾盐冻虾仁海洋大虾送礼顺丰包邮</t>
        </is>
      </c>
      <c r="I987" t="inlineStr">
        <is>
          <t>690aeb7be379430001e686ac</t>
        </is>
      </c>
      <c r="J987" t="inlineStr">
        <is>
          <t/>
        </is>
      </c>
      <c r="K987" t="n">
        <v>0.0</v>
      </c>
      <c r="L987" t="n">
        <v>0.0</v>
      </c>
      <c r="M987" t="n">
        <v>0.0</v>
      </c>
      <c r="N987" t="inlineStr">
        <is>
          <t/>
        </is>
      </c>
      <c r="O987" t="n">
        <v>0.0</v>
      </c>
      <c r="P987" t="n">
        <v>0.0</v>
      </c>
      <c r="Q987" t="inlineStr">
        <is>
          <t/>
        </is>
      </c>
      <c r="R987" t="inlineStr">
        <is>
          <t/>
        </is>
      </c>
      <c r="S987" t="n">
        <v>0.0</v>
      </c>
      <c r="T987" t="n">
        <v>0.0</v>
      </c>
      <c r="U987" t="n">
        <v>0.0</v>
      </c>
      <c r="V987" t="n">
        <v>0.0</v>
      </c>
      <c r="W987" t="inlineStr">
        <is>
          <t/>
        </is>
      </c>
      <c r="X987" t="n">
        <v>0.0</v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n">
        <v>0.0</v>
      </c>
      <c r="AI987" t="n">
        <v>0.0</v>
      </c>
      <c r="AJ987" t="n">
        <v>0.0</v>
      </c>
      <c r="AK987" t="inlineStr">
        <is>
          <t/>
        </is>
      </c>
      <c r="AL987" t="inlineStr">
        <is>
          <t/>
        </is>
      </c>
    </row>
    <row r="988">
      <c r="A988" t="inlineStr">
        <is>
          <t>70块承包半月夜宵！这虾比泡面还值😭</t>
        </is>
      </c>
      <c r="B988" t="inlineStr">
        <is>
          <t>6920750f000000001f00bac4</t>
        </is>
      </c>
      <c r="C988" s="987" t="n">
        <f>HYPERLINK("https://www.xiaohongshu.com/explore/6920750f000000001f00bac4?xsec_token=TBcFPi-sXQaNHkCFFlo4RRGUWWKBNJpCXMFlBfgp8VVvE=&amp;xsec_source=pc_trdark","https://www.xiaohongshu.com/explore/6920750f000000001f00bac4?xsec_token=TBcFPi-sXQaNHkCFFlo4RRGUWWKBNJpCXMFlBfgp8VVvE=&amp;xsec_source=pc_trdark")</f>
        <v>0.0</v>
      </c>
      <c r="D988" t="inlineStr">
        <is>
          <t>鲜水湾</t>
        </is>
      </c>
      <c r="E988" t="inlineStr">
        <is>
          <t>49316638994</t>
        </is>
      </c>
      <c r="F988" t="inlineStr">
        <is>
          <t>2025-11-21 22:19:59</t>
        </is>
      </c>
      <c r="G988" t="inlineStr">
        <is>
          <t>图文</t>
        </is>
      </c>
      <c r="H988" t="inlineStr">
        <is>
          <t>大虾基围虾王牌大虾厄瓜多尔白虾盐冻虾仁海洋大虾送礼顺丰包邮</t>
        </is>
      </c>
      <c r="I988" t="inlineStr">
        <is>
          <t>690aeb7be379430001e686ac</t>
        </is>
      </c>
      <c r="J988" t="inlineStr">
        <is>
          <t/>
        </is>
      </c>
      <c r="K988" t="n">
        <v>0.0</v>
      </c>
      <c r="L988" t="n">
        <v>0.0</v>
      </c>
      <c r="M988" t="n">
        <v>0.0</v>
      </c>
      <c r="N988" t="inlineStr">
        <is>
          <t/>
        </is>
      </c>
      <c r="O988" t="n">
        <v>0.0</v>
      </c>
      <c r="P988" t="n">
        <v>0.0</v>
      </c>
      <c r="Q988" t="inlineStr">
        <is>
          <t/>
        </is>
      </c>
      <c r="R988" t="inlineStr">
        <is>
          <t/>
        </is>
      </c>
      <c r="S988" t="n">
        <v>0.0</v>
      </c>
      <c r="T988" t="n">
        <v>0.0</v>
      </c>
      <c r="U988" t="n">
        <v>0.0</v>
      </c>
      <c r="V988" t="n">
        <v>0.0</v>
      </c>
      <c r="W988" t="inlineStr">
        <is>
          <t/>
        </is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n">
        <v>0.0</v>
      </c>
      <c r="AI988" t="n">
        <v>0.0</v>
      </c>
      <c r="AJ988" t="n">
        <v>0.0</v>
      </c>
      <c r="AK988" t="inlineStr">
        <is>
          <t/>
        </is>
      </c>
      <c r="AL988" t="inlineStr">
        <is>
          <t/>
        </is>
      </c>
    </row>
    <row r="989">
      <c r="A989" t="inlineStr">
        <is>
          <t>我爸说便宜卖吧，反正就这一季 59.9五斤</t>
        </is>
      </c>
      <c r="B989" t="inlineStr">
        <is>
          <t>691ebdcb000000001e002b14</t>
        </is>
      </c>
      <c r="C989" s="988" t="n">
        <f>HYPERLINK("https://www.xiaohongshu.com/explore/691ebdcb000000001e002b14?xsec_token=TBP5gqTrG7DCZJhae0kWWz8MreBPBR2VXWtg4UwlogV50=&amp;xsec_source=pc_trdark","https://www.xiaohongshu.com/explore/691ebdcb000000001e002b14?xsec_token=TBP5gqTrG7DCZJhae0kWWz8MreBPBR2VXWtg4UwlogV50=&amp;xsec_source=pc_trdark")</f>
        <v>0.0</v>
      </c>
      <c r="D989" t="inlineStr">
        <is>
          <t>婉婉上班吃什么</t>
        </is>
      </c>
      <c r="E989" t="inlineStr">
        <is>
          <t>11434449706</t>
        </is>
      </c>
      <c r="F989" t="inlineStr">
        <is>
          <t>2025-11-20 15:05:47</t>
        </is>
      </c>
      <c r="G989" t="inlineStr">
        <is>
          <t>视频</t>
        </is>
      </c>
      <c r="H989" t="inlineStr">
        <is>
          <t>生蚝乳山生蚝海蛎子顺丰包邮</t>
        </is>
      </c>
      <c r="I989" t="inlineStr">
        <is>
          <t>690c70971b787900010866cc</t>
        </is>
      </c>
      <c r="J989" t="n">
        <v>30.0</v>
      </c>
      <c r="K989" t="n">
        <v>0.0</v>
      </c>
      <c r="L989" t="n">
        <v>0.0</v>
      </c>
      <c r="M989" t="n">
        <v>0.0</v>
      </c>
      <c r="N989" t="inlineStr">
        <is>
          <t/>
        </is>
      </c>
      <c r="O989" t="n">
        <v>0.0</v>
      </c>
      <c r="P989" t="n">
        <v>0.0</v>
      </c>
      <c r="Q989" t="inlineStr">
        <is>
          <t/>
        </is>
      </c>
      <c r="R989" t="inlineStr">
        <is>
          <t/>
        </is>
      </c>
      <c r="S989" t="n">
        <v>0.0</v>
      </c>
      <c r="T989" t="n">
        <v>0.0</v>
      </c>
      <c r="U989" t="n">
        <v>0.0</v>
      </c>
      <c r="V989" t="n">
        <v>0.0</v>
      </c>
      <c r="W989" t="inlineStr">
        <is>
          <t/>
        </is>
      </c>
      <c r="X989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0.0</v>
      </c>
      <c r="AG989" t="n">
        <v>0.0</v>
      </c>
      <c r="AH989" t="n">
        <v>0.0</v>
      </c>
      <c r="AI989" t="n">
        <v>0.0</v>
      </c>
      <c r="AJ989" t="n">
        <v>0.0</v>
      </c>
      <c r="AK989" t="inlineStr">
        <is>
          <t/>
        </is>
      </c>
      <c r="AL989" t="inlineStr">
        <is>
          <t/>
        </is>
      </c>
    </row>
    <row r="990">
      <c r="A990" t="inlineStr">
        <is>
          <t>新店开业❗️69.9💰3斤海洋大虾</t>
        </is>
      </c>
      <c r="B990" t="inlineStr">
        <is>
          <t>691dce53000000001e02d187</t>
        </is>
      </c>
      <c r="C990" s="989" t="n">
        <f>HYPERLINK("https://www.xiaohongshu.com/explore/691dce53000000001e02d187?xsec_token=TBfJie4P5Jl9AylR95m8dPVDgQ-Ha3QDdSqFX56jLyr08=&amp;xsec_source=pc_trdark","https://www.xiaohongshu.com/explore/691dce53000000001e02d187?xsec_token=TBfJie4P5Jl9AylR95m8dPVDgQ-Ha3QDdSqFX56jLyr08=&amp;xsec_source=pc_trdark")</f>
        <v>0.0</v>
      </c>
      <c r="D990" t="inlineStr">
        <is>
          <t>鲜水湾</t>
        </is>
      </c>
      <c r="E990" t="inlineStr">
        <is>
          <t>49316638994</t>
        </is>
      </c>
      <c r="F990" t="inlineStr">
        <is>
          <t>2025-11-19 22:04:03</t>
        </is>
      </c>
      <c r="G990" t="inlineStr">
        <is>
          <t>图文</t>
        </is>
      </c>
      <c r="H990" t="inlineStr">
        <is>
          <t>大虾基围虾王牌大虾厄瓜多尔白虾盐冻虾仁海洋大虾送礼顺丰包邮</t>
        </is>
      </c>
      <c r="I990" t="inlineStr">
        <is>
          <t>690aeb7be379430001e686ac</t>
        </is>
      </c>
      <c r="J990" t="inlineStr">
        <is>
          <t/>
        </is>
      </c>
      <c r="K990" t="n">
        <v>0.0</v>
      </c>
      <c r="L990" t="n">
        <v>0.0</v>
      </c>
      <c r="M990" t="n">
        <v>0.0</v>
      </c>
      <c r="N990" t="inlineStr">
        <is>
          <t/>
        </is>
      </c>
      <c r="O990" t="n">
        <v>0.0</v>
      </c>
      <c r="P990" t="n">
        <v>0.0</v>
      </c>
      <c r="Q990" t="inlineStr">
        <is>
          <t/>
        </is>
      </c>
      <c r="R990" t="inlineStr">
        <is>
          <t/>
        </is>
      </c>
      <c r="S990" t="n">
        <v>0.0</v>
      </c>
      <c r="T990" t="n">
        <v>0.0</v>
      </c>
      <c r="U990" t="n">
        <v>0.0</v>
      </c>
      <c r="V990" t="n">
        <v>0.0</v>
      </c>
      <c r="W990" t="inlineStr">
        <is>
          <t/>
        </is>
      </c>
      <c r="X990" t="n">
        <v>0.0</v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0.0</v>
      </c>
      <c r="AH990" t="n">
        <v>0.0</v>
      </c>
      <c r="AI990" t="n">
        <v>0.0</v>
      </c>
      <c r="AJ990" t="n">
        <v>0.0</v>
      </c>
      <c r="AK990" t="inlineStr">
        <is>
          <t/>
        </is>
      </c>
      <c r="AL990" t="inlineStr">
        <is>
          <t/>
        </is>
      </c>
    </row>
    <row r="991">
      <c r="A991" t="inlineStr">
        <is>
          <t>吃完一箱接着一箱！边吃边叟的快乐谁懂！</t>
        </is>
      </c>
      <c r="B991" t="inlineStr">
        <is>
          <t>691d8a01000000001f00e76d</t>
        </is>
      </c>
      <c r="C991" s="990" t="n">
        <f>HYPERLINK("https://www.xiaohongshu.com/explore/691d8a01000000001f00e76d?xsec_token=TBfJie4P5Jl9AylR95m8dPVGAoGaCz8bdb17x6g-MVeIE=&amp;xsec_source=pc_trdark","https://www.xiaohongshu.com/explore/691d8a01000000001f00e76d?xsec_token=TBfJie4P5Jl9AylR95m8dPVGAoGaCz8bdb17x6g-MVeIE=&amp;xsec_source=pc_trdark")</f>
        <v>0.0</v>
      </c>
      <c r="D991" t="inlineStr">
        <is>
          <t>鲜水湾</t>
        </is>
      </c>
      <c r="E991" t="inlineStr">
        <is>
          <t>49316638994</t>
        </is>
      </c>
      <c r="F991" t="inlineStr">
        <is>
          <t>2025-11-19 17:12:33</t>
        </is>
      </c>
      <c r="G991" t="inlineStr">
        <is>
          <t>图文</t>
        </is>
      </c>
      <c r="H991" t="inlineStr">
        <is>
          <t>大虾基围虾王牌大虾厄瓜多尔白虾盐冻虾仁海洋大虾送礼顺丰包邮</t>
        </is>
      </c>
      <c r="I991" t="inlineStr">
        <is>
          <t>690aeb7be379430001e686ac</t>
        </is>
      </c>
      <c r="J991" t="inlineStr">
        <is>
          <t/>
        </is>
      </c>
      <c r="K991" t="n">
        <v>0.0</v>
      </c>
      <c r="L991" t="n">
        <v>0.0</v>
      </c>
      <c r="M991" t="n">
        <v>0.0</v>
      </c>
      <c r="N991" t="inlineStr">
        <is>
          <t/>
        </is>
      </c>
      <c r="O991" t="n">
        <v>0.0</v>
      </c>
      <c r="P991" t="n">
        <v>0.0</v>
      </c>
      <c r="Q991" t="inlineStr">
        <is>
          <t/>
        </is>
      </c>
      <c r="R991" t="inlineStr">
        <is>
          <t/>
        </is>
      </c>
      <c r="S991" t="n">
        <v>0.0</v>
      </c>
      <c r="T991" t="n">
        <v>0.0</v>
      </c>
      <c r="U991" t="n">
        <v>0.0</v>
      </c>
      <c r="V991" t="n">
        <v>0.0</v>
      </c>
      <c r="W991" t="inlineStr">
        <is>
          <t/>
        </is>
      </c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n">
        <v>0.0</v>
      </c>
      <c r="AI991" t="n">
        <v>0.0</v>
      </c>
      <c r="AJ991" t="n">
        <v>0.0</v>
      </c>
      <c r="AK991" t="inlineStr">
        <is>
          <t/>
        </is>
      </c>
      <c r="AL991" t="inlineStr">
        <is>
          <t/>
        </is>
      </c>
    </row>
    <row r="992">
      <c r="A992" t="inlineStr">
        <is>
          <t>剥壳停不下来！Q弹鲜甜的大虾太绝了</t>
        </is>
      </c>
      <c r="B992" t="inlineStr">
        <is>
          <t>691d5e13000000001e032699</t>
        </is>
      </c>
      <c r="C992" s="991" t="n">
        <f>HYPERLINK("https://www.xiaohongshu.com/explore/691d5e13000000001e032699?xsec_token=TBfJie4P5Jl9AylR95m8dPVE7EZuDaB2Ew_HLIS6mqC7Y=&amp;xsec_source=pc_trdark","https://www.xiaohongshu.com/explore/691d5e13000000001e032699?xsec_token=TBfJie4P5Jl9AylR95m8dPVE7EZuDaB2Ew_HLIS6mqC7Y=&amp;xsec_source=pc_trdark")</f>
        <v>0.0</v>
      </c>
      <c r="D992" t="inlineStr">
        <is>
          <t>鲜水湾</t>
        </is>
      </c>
      <c r="E992" t="inlineStr">
        <is>
          <t>49316638994</t>
        </is>
      </c>
      <c r="F992" t="inlineStr">
        <is>
          <t>2025-11-19 14:05:07</t>
        </is>
      </c>
      <c r="G992" t="inlineStr">
        <is>
          <t>图文</t>
        </is>
      </c>
      <c r="H992" t="inlineStr">
        <is>
          <t>大虾基围虾王牌大虾厄瓜多尔白虾盐冻虾仁海洋大虾送礼顺丰包邮</t>
        </is>
      </c>
      <c r="I992" t="inlineStr">
        <is>
          <t>690aeb7be379430001e686ac</t>
        </is>
      </c>
      <c r="J992" t="inlineStr">
        <is>
          <t/>
        </is>
      </c>
      <c r="K992" t="n">
        <v>0.0</v>
      </c>
      <c r="L992" t="n">
        <v>0.0</v>
      </c>
      <c r="M992" t="n">
        <v>0.0</v>
      </c>
      <c r="N992" t="inlineStr">
        <is>
          <t/>
        </is>
      </c>
      <c r="O992" t="n">
        <v>0.0</v>
      </c>
      <c r="P992" t="n">
        <v>0.0</v>
      </c>
      <c r="Q992" t="inlineStr">
        <is>
          <t/>
        </is>
      </c>
      <c r="R992" t="inlineStr">
        <is>
          <t/>
        </is>
      </c>
      <c r="S992" t="n">
        <v>0.0</v>
      </c>
      <c r="T992" t="n">
        <v>0.0</v>
      </c>
      <c r="U992" t="n">
        <v>0.0</v>
      </c>
      <c r="V992" t="n">
        <v>0.0</v>
      </c>
      <c r="W992" t="inlineStr">
        <is>
          <t/>
        </is>
      </c>
      <c r="X992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  <c r="AE992" t="n">
        <v>0.0</v>
      </c>
      <c r="AF992" t="n">
        <v>0.0</v>
      </c>
      <c r="AG992" t="n">
        <v>0.0</v>
      </c>
      <c r="AH992" t="n">
        <v>0.0</v>
      </c>
      <c r="AI992" t="n">
        <v>0.0</v>
      </c>
      <c r="AJ992" t="n">
        <v>0.0</v>
      </c>
      <c r="AK992" t="inlineStr">
        <is>
          <t/>
        </is>
      </c>
      <c r="AL992" t="inlineStr">
        <is>
          <t/>
        </is>
      </c>
    </row>
    <row r="993">
      <c r="A993" t="inlineStr">
        <is>
          <t>我承认它是冷冻虾，但口感依旧吊打活虾</t>
        </is>
      </c>
      <c r="B993" t="inlineStr">
        <is>
          <t>691d3244000000001e022987</t>
        </is>
      </c>
      <c r="C993" s="992" t="n">
        <f>HYPERLINK("https://www.xiaohongshu.com/explore/691d3244000000001e022987?xsec_token=TBfJie4P5Jl9AylR95m8dPVCh6Mg80LBBLw3XEH6DNBDs=&amp;xsec_source=pc_trdark","https://www.xiaohongshu.com/explore/691d3244000000001e022987?xsec_token=TBfJie4P5Jl9AylR95m8dPVCh6Mg80LBBLw3XEH6DNBDs=&amp;xsec_source=pc_trdark")</f>
        <v>0.0</v>
      </c>
      <c r="D993" t="inlineStr">
        <is>
          <t>鲜水湾</t>
        </is>
      </c>
      <c r="E993" t="inlineStr">
        <is>
          <t>49316638994</t>
        </is>
      </c>
      <c r="F993" t="inlineStr">
        <is>
          <t>2025-11-19 10:58:12</t>
        </is>
      </c>
      <c r="G993" t="inlineStr">
        <is>
          <t>图文</t>
        </is>
      </c>
      <c r="H993" t="inlineStr">
        <is>
          <t>大虾基围虾王牌大虾厄瓜多尔白虾盐冻虾仁海洋大虾送礼顺丰包邮</t>
        </is>
      </c>
      <c r="I993" t="inlineStr">
        <is>
          <t>690aeb7be379430001e686ac</t>
        </is>
      </c>
      <c r="J993" t="inlineStr">
        <is>
          <t/>
        </is>
      </c>
      <c r="K993" t="n">
        <v>0.0</v>
      </c>
      <c r="L993" t="n">
        <v>0.0</v>
      </c>
      <c r="M993" t="n">
        <v>0.0</v>
      </c>
      <c r="N993" t="inlineStr">
        <is>
          <t/>
        </is>
      </c>
      <c r="O993" t="n">
        <v>0.0</v>
      </c>
      <c r="P993" t="n">
        <v>0.0</v>
      </c>
      <c r="Q993" t="inlineStr">
        <is>
          <t/>
        </is>
      </c>
      <c r="R993" t="inlineStr">
        <is>
          <t/>
        </is>
      </c>
      <c r="S993" t="n">
        <v>0.0</v>
      </c>
      <c r="T993" t="n">
        <v>0.0</v>
      </c>
      <c r="U993" t="n">
        <v>0.0</v>
      </c>
      <c r="V993" t="n">
        <v>0.0</v>
      </c>
      <c r="W993" t="inlineStr">
        <is>
          <t/>
        </is>
      </c>
      <c r="X993" t="n">
        <v>0.0</v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n">
        <v>0.0</v>
      </c>
      <c r="AI993" t="n">
        <v>0.0</v>
      </c>
      <c r="AJ993" t="n">
        <v>0.0</v>
      </c>
      <c r="AK993" t="inlineStr">
        <is>
          <t/>
        </is>
      </c>
      <c r="AL993" t="inlineStr">
        <is>
          <t/>
        </is>
      </c>
    </row>
    <row r="994">
      <c r="A994" t="inlineStr">
        <is>
          <t>巨惊艳❗️乳山真有好生蚝</t>
        </is>
      </c>
      <c r="B994" t="inlineStr">
        <is>
          <t>691c9929000000001f00e731</t>
        </is>
      </c>
      <c r="C994" s="993" t="n">
        <f>HYPERLINK("https://www.xiaohongshu.com/explore/691c9929000000001f00e731?xsec_token=TBIS8v-01Optb7rxCGgHk_CYuHmRqFoAej7AxOXXyebHw=&amp;xsec_source=pc_trdark","https://www.xiaohongshu.com/explore/691c9929000000001f00e731?xsec_token=TBIS8v-01Optb7rxCGgHk_CYuHmRqFoAej7AxOXXyebHw=&amp;xsec_source=pc_trdark")</f>
        <v>0.0</v>
      </c>
      <c r="D994" t="inlineStr">
        <is>
          <t>婉婉上班吃什么</t>
        </is>
      </c>
      <c r="E994" t="inlineStr">
        <is>
          <t>11434449706</t>
        </is>
      </c>
      <c r="F994" t="inlineStr">
        <is>
          <t>2025-11-19 00:04:57</t>
        </is>
      </c>
      <c r="G994" t="inlineStr">
        <is>
          <t>图文</t>
        </is>
      </c>
      <c r="H994" t="inlineStr">
        <is>
          <t>生蚝乳山生蚝海蛎子顺丰包邮</t>
        </is>
      </c>
      <c r="I994" t="inlineStr">
        <is>
          <t>690c70971b787900010866cc</t>
        </is>
      </c>
      <c r="J994" t="inlineStr">
        <is>
          <t/>
        </is>
      </c>
      <c r="K994" t="n">
        <v>0.0</v>
      </c>
      <c r="L994" t="n">
        <v>0.0</v>
      </c>
      <c r="M994" t="n">
        <v>0.0</v>
      </c>
      <c r="N994" t="inlineStr">
        <is>
          <t/>
        </is>
      </c>
      <c r="O994" t="n">
        <v>0.0</v>
      </c>
      <c r="P994" t="n">
        <v>0.0</v>
      </c>
      <c r="Q994" t="inlineStr">
        <is>
          <t/>
        </is>
      </c>
      <c r="R994" t="inlineStr">
        <is>
          <t/>
        </is>
      </c>
      <c r="S994" t="n">
        <v>0.0</v>
      </c>
      <c r="T994" t="n">
        <v>0.0</v>
      </c>
      <c r="U994" t="n">
        <v>0.0</v>
      </c>
      <c r="V994" t="n">
        <v>0.0</v>
      </c>
      <c r="W994" t="inlineStr">
        <is>
          <t/>
        </is>
      </c>
      <c r="X994" t="n">
        <v>0.0</v>
      </c>
      <c r="Y994" t="n">
        <v>0.0</v>
      </c>
      <c r="Z994" t="n">
        <v>0.0</v>
      </c>
      <c r="AA994" t="n">
        <v>0.0</v>
      </c>
      <c r="AB994" t="n">
        <v>0.0</v>
      </c>
      <c r="AC994" t="n">
        <v>0.0</v>
      </c>
      <c r="AD994" t="n">
        <v>0.0</v>
      </c>
      <c r="AE994" t="n">
        <v>0.0</v>
      </c>
      <c r="AF994" t="n">
        <v>0.0</v>
      </c>
      <c r="AG994" t="n">
        <v>0.0</v>
      </c>
      <c r="AH994" t="n">
        <v>0.0</v>
      </c>
      <c r="AI994" t="n">
        <v>0.0</v>
      </c>
      <c r="AJ994" t="n">
        <v>0.0</v>
      </c>
      <c r="AK994" t="inlineStr">
        <is>
          <t/>
        </is>
      </c>
      <c r="AL994" t="inlineStr">
        <is>
          <t/>
        </is>
      </c>
    </row>
    <row r="995">
      <c r="A995" t="inlineStr">
        <is>
          <t>没招了，我爸让我在网上卖生蚝，谁买啊🥲</t>
        </is>
      </c>
      <c r="B995" t="inlineStr">
        <is>
          <t>691c462f000000001e007a24</t>
        </is>
      </c>
      <c r="C995" s="994" t="n">
        <f>HYPERLINK("https://www.xiaohongshu.com/explore/691c462f000000001e007a24?xsec_token=TBIS8v-01Optb7rxCGgHk_CUD45soF8KRG4e2bLv4cw1c=&amp;xsec_source=pc_trdark","https://www.xiaohongshu.com/explore/691c462f000000001e007a24?xsec_token=TBIS8v-01Optb7rxCGgHk_CUD45soF8KRG4e2bLv4cw1c=&amp;xsec_source=pc_trdark")</f>
        <v>0.0</v>
      </c>
      <c r="D995" t="inlineStr">
        <is>
          <t>婉婉上班吃什么</t>
        </is>
      </c>
      <c r="E995" t="inlineStr">
        <is>
          <t>11434449706</t>
        </is>
      </c>
      <c r="F995" t="inlineStr">
        <is>
          <t>2025-11-18 19:10:50</t>
        </is>
      </c>
      <c r="G995" t="inlineStr">
        <is>
          <t>视频</t>
        </is>
      </c>
      <c r="H995" t="inlineStr">
        <is>
          <t>生蚝乳山生蚝海蛎子顺丰包邮</t>
        </is>
      </c>
      <c r="I995" t="inlineStr">
        <is>
          <t>690c70971b787900010866cc</t>
        </is>
      </c>
      <c r="J995" t="n">
        <v>28.0</v>
      </c>
      <c r="K995" t="n">
        <v>0.0</v>
      </c>
      <c r="L995" t="n">
        <v>0.0</v>
      </c>
      <c r="M995" t="n">
        <v>0.0</v>
      </c>
      <c r="N995" t="inlineStr">
        <is>
          <t/>
        </is>
      </c>
      <c r="O995" t="n">
        <v>0.0</v>
      </c>
      <c r="P995" t="n">
        <v>0.0</v>
      </c>
      <c r="Q995" t="inlineStr">
        <is>
          <t/>
        </is>
      </c>
      <c r="R995" t="inlineStr">
        <is>
          <t/>
        </is>
      </c>
      <c r="S995" t="n">
        <v>0.0</v>
      </c>
      <c r="T995" t="n">
        <v>0.0</v>
      </c>
      <c r="U995" t="n">
        <v>0.0</v>
      </c>
      <c r="V995" t="n">
        <v>0.0</v>
      </c>
      <c r="W995" t="inlineStr">
        <is>
          <t/>
        </is>
      </c>
      <c r="X995" t="n">
        <v>0.0</v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n">
        <v>0.0</v>
      </c>
      <c r="AI995" t="n">
        <v>0.0</v>
      </c>
      <c r="AJ995" t="n">
        <v>0.0</v>
      </c>
      <c r="AK995" t="inlineStr">
        <is>
          <t/>
        </is>
      </c>
      <c r="AL995" t="inlineStr">
        <is>
          <t/>
        </is>
      </c>
    </row>
    <row r="996">
      <c r="A996" t="inlineStr">
        <is>
          <t>不愧是10w网友认证过的减重餐？？太绝了‼️</t>
        </is>
      </c>
      <c r="B996" t="inlineStr">
        <is>
          <t>691a8ff8000000000402b2b6</t>
        </is>
      </c>
      <c r="C996" s="995" t="n">
        <f>HYPERLINK("https://www.xiaohongshu.com/explore/691a8ff8000000000402b2b6?xsec_token=TB7_xX17zVvyJQL8hbcdzoIKGb5aaUt1KEEMh2gAbuHz0=&amp;xsec_source=pc_trdark","https://www.xiaohongshu.com/explore/691a8ff8000000000402b2b6?xsec_token=TB7_xX17zVvyJQL8hbcdzoIKGb5aaUt1KEEMh2gAbuHz0=&amp;xsec_source=pc_trdark")</f>
        <v>0.0</v>
      </c>
      <c r="D996" t="inlineStr">
        <is>
          <t>鲜水湾</t>
        </is>
      </c>
      <c r="E996" t="inlineStr">
        <is>
          <t>49316638994</t>
        </is>
      </c>
      <c r="F996" t="inlineStr">
        <is>
          <t>2025-11-17 11:01:12</t>
        </is>
      </c>
      <c r="G996" t="inlineStr">
        <is>
          <t>图文</t>
        </is>
      </c>
      <c r="H996" t="inlineStr">
        <is>
          <t>大虾基围虾王牌大虾厄瓜多尔白虾盐冻虾仁海洋大虾送礼顺丰包邮</t>
        </is>
      </c>
      <c r="I996" t="inlineStr">
        <is>
          <t>690aeb7be379430001e686ac</t>
        </is>
      </c>
      <c r="J996" t="inlineStr">
        <is>
          <t/>
        </is>
      </c>
      <c r="K996" t="n">
        <v>0.0</v>
      </c>
      <c r="L996" t="n">
        <v>0.0</v>
      </c>
      <c r="M996" t="n">
        <v>0.0</v>
      </c>
      <c r="N996" t="inlineStr">
        <is>
          <t/>
        </is>
      </c>
      <c r="O996" t="n">
        <v>0.0</v>
      </c>
      <c r="P996" t="n">
        <v>0.0</v>
      </c>
      <c r="Q996" t="inlineStr">
        <is>
          <t/>
        </is>
      </c>
      <c r="R996" t="inlineStr">
        <is>
          <t/>
        </is>
      </c>
      <c r="S996" t="n">
        <v>0.0</v>
      </c>
      <c r="T996" t="n">
        <v>0.0</v>
      </c>
      <c r="U996" t="n">
        <v>0.0</v>
      </c>
      <c r="V996" t="n">
        <v>0.0</v>
      </c>
      <c r="W996" t="inlineStr">
        <is>
          <t/>
        </is>
      </c>
      <c r="X996" t="n">
        <v>0.0</v>
      </c>
      <c r="Y996" t="n">
        <v>0.0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  <c r="AE996" t="n">
        <v>0.0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inlineStr">
        <is>
          <t/>
        </is>
      </c>
      <c r="AL996" t="inlineStr">
        <is>
          <t/>
        </is>
      </c>
    </row>
    <row r="997">
      <c r="A997" t="inlineStr">
        <is>
          <t>控体人看到了嘛！上班带饭真的超简单</t>
        </is>
      </c>
      <c r="B997" t="inlineStr">
        <is>
          <t>691988350000000005039d0a</t>
        </is>
      </c>
      <c r="C997" s="996" t="n">
        <f>HYPERLINK("https://www.xiaohongshu.com/explore/691988350000000005039d0a?xsec_token=TB2xQZ9GExXu1-ypvMpLTYcAi3PmHc60D8TJtvFnEXAVU=&amp;xsec_source=pc_trdark","https://www.xiaohongshu.com/explore/691988350000000005039d0a?xsec_token=TB2xQZ9GExXu1-ypvMpLTYcAi3PmHc60D8TJtvFnEXAVU=&amp;xsec_source=pc_trdark")</f>
        <v>0.0</v>
      </c>
      <c r="D997" t="inlineStr">
        <is>
          <t>鲜水湾</t>
        </is>
      </c>
      <c r="E997" t="inlineStr">
        <is>
          <t>49316638994</t>
        </is>
      </c>
      <c r="F997" t="inlineStr">
        <is>
          <t>2025-11-16 16:15:49</t>
        </is>
      </c>
      <c r="G997" t="inlineStr">
        <is>
          <t>图文</t>
        </is>
      </c>
      <c r="H997" t="inlineStr">
        <is>
          <t>大虾基围虾王牌大虾厄瓜多尔白虾盐冻虾仁海洋大虾送礼顺丰包邮</t>
        </is>
      </c>
      <c r="I997" t="inlineStr">
        <is>
          <t>690aeb7be379430001e686ac</t>
        </is>
      </c>
      <c r="J997" t="inlineStr">
        <is>
          <t/>
        </is>
      </c>
      <c r="K997" t="n">
        <v>0.0</v>
      </c>
      <c r="L997" t="n">
        <v>0.0</v>
      </c>
      <c r="M997" t="n">
        <v>0.0</v>
      </c>
      <c r="N997" t="inlineStr">
        <is>
          <t/>
        </is>
      </c>
      <c r="O997" t="n">
        <v>0.0</v>
      </c>
      <c r="P997" t="n">
        <v>0.0</v>
      </c>
      <c r="Q997" t="inlineStr">
        <is>
          <t/>
        </is>
      </c>
      <c r="R997" t="inlineStr">
        <is>
          <t/>
        </is>
      </c>
      <c r="S997" t="n">
        <v>0.0</v>
      </c>
      <c r="T997" t="n">
        <v>0.0</v>
      </c>
      <c r="U997" t="n">
        <v>0.0</v>
      </c>
      <c r="V997" t="n">
        <v>0.0</v>
      </c>
      <c r="W997" t="inlineStr">
        <is>
          <t/>
        </is>
      </c>
      <c r="X997" t="n">
        <v>0.0</v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n">
        <v>0.0</v>
      </c>
      <c r="AI997" t="n">
        <v>0.0</v>
      </c>
      <c r="AJ997" t="n">
        <v>0.0</v>
      </c>
      <c r="AK997" t="inlineStr">
        <is>
          <t/>
        </is>
      </c>
      <c r="AL997" t="inlineStr">
        <is>
          <t/>
        </is>
      </c>
    </row>
    <row r="998">
      <c r="A998" t="inlineStr">
        <is>
          <t>对60几块钱的概念越来越模糊了</t>
        </is>
      </c>
      <c r="B998" t="inlineStr">
        <is>
          <t>69183e3c0000000004006b70</t>
        </is>
      </c>
      <c r="C998" s="997" t="n">
        <f>HYPERLINK("https://www.xiaohongshu.com/explore/69183e3c0000000004006b70?xsec_token=TB2jG8LClQLNxZisl2ii_FqC3p32S6OzT1pH3_buH1iFI=&amp;xsec_source=pc_trdark","https://www.xiaohongshu.com/explore/69183e3c0000000004006b70?xsec_token=TB2jG8LClQLNxZisl2ii_FqC3p32S6OzT1pH3_buH1iFI=&amp;xsec_source=pc_trdark")</f>
        <v>0.0</v>
      </c>
      <c r="D998" t="inlineStr">
        <is>
          <t>鲜水湾</t>
        </is>
      </c>
      <c r="E998" t="inlineStr">
        <is>
          <t>49316638994</t>
        </is>
      </c>
      <c r="F998" t="inlineStr">
        <is>
          <t>2025-11-15 16:47:56</t>
        </is>
      </c>
      <c r="G998" t="inlineStr">
        <is>
          <t>图文</t>
        </is>
      </c>
      <c r="H998" t="inlineStr">
        <is>
          <t>大虾基围虾王牌大虾厄瓜多尔白虾盐冻虾仁海洋大虾送礼顺丰包邮</t>
        </is>
      </c>
      <c r="I998" t="inlineStr">
        <is>
          <t>690aeb7be379430001e686ac</t>
        </is>
      </c>
      <c r="J998" t="inlineStr">
        <is>
          <t/>
        </is>
      </c>
      <c r="K998" t="n">
        <v>0.0</v>
      </c>
      <c r="L998" t="n">
        <v>0.0</v>
      </c>
      <c r="M998" t="n">
        <v>0.0</v>
      </c>
      <c r="N998" t="inlineStr">
        <is>
          <t/>
        </is>
      </c>
      <c r="O998" t="n">
        <v>0.0</v>
      </c>
      <c r="P998" t="n">
        <v>0.0</v>
      </c>
      <c r="Q998" t="inlineStr">
        <is>
          <t/>
        </is>
      </c>
      <c r="R998" t="inlineStr">
        <is>
          <t/>
        </is>
      </c>
      <c r="S998" t="n">
        <v>0.0</v>
      </c>
      <c r="T998" t="n">
        <v>0.0</v>
      </c>
      <c r="U998" t="n">
        <v>0.0</v>
      </c>
      <c r="V998" t="n">
        <v>0.0</v>
      </c>
      <c r="W998" t="inlineStr">
        <is>
          <t/>
        </is>
      </c>
      <c r="X998" t="n">
        <v>0.0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0.0</v>
      </c>
      <c r="AG998" t="n">
        <v>0.0</v>
      </c>
      <c r="AH998" t="n">
        <v>0.0</v>
      </c>
      <c r="AI998" t="n">
        <v>0.0</v>
      </c>
      <c r="AJ998" t="n">
        <v>0.0</v>
      </c>
      <c r="AK998" t="inlineStr">
        <is>
          <t/>
        </is>
      </c>
      <c r="AL998" t="inlineStr">
        <is>
          <t/>
        </is>
      </c>
    </row>
    <row r="999">
      <c r="A999" t="inlineStr">
        <is>
          <t>连不爱网购的老妈都催我囤大虾！</t>
        </is>
      </c>
      <c r="B999" t="inlineStr">
        <is>
          <t>691837c30000000004017464</t>
        </is>
      </c>
      <c r="C999" s="998" t="n">
        <f>HYPERLINK("https://www.xiaohongshu.com/explore/691837c30000000004017464?xsec_token=TB2jG8LClQLNxZisl2ii_FqJK3qqI7shX4ABma525rQKY=&amp;xsec_source=pc_trdark","https://www.xiaohongshu.com/explore/691837c30000000004017464?xsec_token=TB2jG8LClQLNxZisl2ii_FqJK3qqI7shX4ABma525rQKY=&amp;xsec_source=pc_trdark")</f>
        <v>0.0</v>
      </c>
      <c r="D999" t="inlineStr">
        <is>
          <t>鲜水湾</t>
        </is>
      </c>
      <c r="E999" t="inlineStr">
        <is>
          <t>49316638994</t>
        </is>
      </c>
      <c r="F999" t="inlineStr">
        <is>
          <t>2025-11-15 16:20:19</t>
        </is>
      </c>
      <c r="G999" t="inlineStr">
        <is>
          <t>图文</t>
        </is>
      </c>
      <c r="H999" t="inlineStr">
        <is>
          <t>大虾基围虾王牌大虾厄瓜多尔白虾盐冻虾仁海洋大虾送礼顺丰包邮</t>
        </is>
      </c>
      <c r="I999" t="inlineStr">
        <is>
          <t>690aeb7be379430001e686ac</t>
        </is>
      </c>
      <c r="J999" t="inlineStr">
        <is>
          <t/>
        </is>
      </c>
      <c r="K999" t="n">
        <v>0.0</v>
      </c>
      <c r="L999" t="n">
        <v>0.0</v>
      </c>
      <c r="M999" t="n">
        <v>0.0</v>
      </c>
      <c r="N999" t="inlineStr">
        <is>
          <t/>
        </is>
      </c>
      <c r="O999" t="n">
        <v>0.0</v>
      </c>
      <c r="P999" t="n">
        <v>0.0</v>
      </c>
      <c r="Q999" t="inlineStr">
        <is>
          <t/>
        </is>
      </c>
      <c r="R999" t="inlineStr">
        <is>
          <t/>
        </is>
      </c>
      <c r="S999" t="n">
        <v>0.0</v>
      </c>
      <c r="T999" t="n">
        <v>0.0</v>
      </c>
      <c r="U999" t="n">
        <v>0.0</v>
      </c>
      <c r="V999" t="n">
        <v>0.0</v>
      </c>
      <c r="W999" t="inlineStr">
        <is>
          <t/>
        </is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n">
        <v>0.0</v>
      </c>
      <c r="AI999" t="n">
        <v>0.0</v>
      </c>
      <c r="AJ999" t="n">
        <v>0.0</v>
      </c>
      <c r="AK999" t="inlineStr">
        <is>
          <t/>
        </is>
      </c>
      <c r="AL999" t="inlineStr">
        <is>
          <t/>
        </is>
      </c>
    </row>
    <row r="1000">
      <c r="A1000" t="inlineStr">
        <is>
          <t>看着平平无奇，大虾减酯吃属实高调</t>
        </is>
      </c>
      <c r="B1000" t="inlineStr">
        <is>
          <t>6915f2e80000000004011f79</t>
        </is>
      </c>
      <c r="C1000" s="999" t="n">
        <f>HYPERLINK("https://www.xiaohongshu.com/explore/6915f2e80000000004011f79?xsec_token=TBAg-veJq-9HvX6LdnoJFXatNOHb01KWFRfK1Xd1kSRNA=&amp;xsec_source=pc_trdark","https://www.xiaohongshu.com/explore/6915f2e80000000004011f79?xsec_token=TBAg-veJq-9HvX6LdnoJFXatNOHb01KWFRfK1Xd1kSRNA=&amp;xsec_source=pc_trdark")</f>
        <v>0.0</v>
      </c>
      <c r="D1000" t="inlineStr">
        <is>
          <t>鲜水湾</t>
        </is>
      </c>
      <c r="E1000" t="inlineStr">
        <is>
          <t>49316638994</t>
        </is>
      </c>
      <c r="F1000" t="inlineStr">
        <is>
          <t>2025-11-13 23:02:00</t>
        </is>
      </c>
      <c r="G1000" t="inlineStr">
        <is>
          <t>图文</t>
        </is>
      </c>
      <c r="H1000" t="inlineStr">
        <is>
          <t>大虾基围虾王牌大虾厄瓜多尔白虾盐冻虾仁海洋大虾送礼顺丰包邮</t>
        </is>
      </c>
      <c r="I1000" t="inlineStr">
        <is>
          <t>690aeb7be379430001e686ac</t>
        </is>
      </c>
      <c r="J1000" t="inlineStr">
        <is>
          <t/>
        </is>
      </c>
      <c r="K1000" t="n">
        <v>0.0</v>
      </c>
      <c r="L1000" t="n">
        <v>0.0</v>
      </c>
      <c r="M1000" t="n">
        <v>0.0</v>
      </c>
      <c r="N1000" t="inlineStr">
        <is>
          <t/>
        </is>
      </c>
      <c r="O1000" t="n">
        <v>0.0</v>
      </c>
      <c r="P1000" t="n">
        <v>0.0</v>
      </c>
      <c r="Q1000" t="inlineStr">
        <is>
          <t/>
        </is>
      </c>
      <c r="R1000" t="inlineStr">
        <is>
          <t/>
        </is>
      </c>
      <c r="S1000" t="n">
        <v>0.0</v>
      </c>
      <c r="T1000" t="n">
        <v>0.0</v>
      </c>
      <c r="U1000" t="n">
        <v>0.0</v>
      </c>
      <c r="V1000" t="n">
        <v>0.0</v>
      </c>
      <c r="W1000" t="inlineStr">
        <is>
          <t/>
        </is>
      </c>
      <c r="X1000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n">
        <v>0.0</v>
      </c>
      <c r="AI1000" t="n">
        <v>0.0</v>
      </c>
      <c r="AJ1000" t="n">
        <v>0.0</v>
      </c>
      <c r="AK1000" t="inlineStr">
        <is>
          <t/>
        </is>
      </c>
      <c r="AL1000" t="inlineStr">
        <is>
          <t/>
        </is>
      </c>
    </row>
    <row r="1001">
      <c r="A1001" t="inlineStr">
        <is>
          <t>不要低估60+💰的购买力，敞开吃吧…</t>
        </is>
      </c>
      <c r="B1001" t="inlineStr">
        <is>
          <t>6915a71900000000050315c1</t>
        </is>
      </c>
      <c r="C1001" s="1000" t="n">
        <f>HYPERLINK("https://www.xiaohongshu.com/explore/6915a71900000000050315c1?xsec_token=TBAg-veJq-9HvX6LdnoJFXam1UmZ7vP4SKjS-YNGARor4=&amp;xsec_source=pc_trdark","https://www.xiaohongshu.com/explore/6915a71900000000050315c1?xsec_token=TBAg-veJq-9HvX6LdnoJFXam1UmZ7vP4SKjS-YNGARor4=&amp;xsec_source=pc_trdark")</f>
        <v>0.0</v>
      </c>
      <c r="D1001" t="inlineStr">
        <is>
          <t>鲜水湾</t>
        </is>
      </c>
      <c r="E1001" t="inlineStr">
        <is>
          <t>49316638994</t>
        </is>
      </c>
      <c r="F1001" t="inlineStr">
        <is>
          <t>2025-11-13 17:38:33</t>
        </is>
      </c>
      <c r="G1001" t="inlineStr">
        <is>
          <t>图文</t>
        </is>
      </c>
      <c r="H1001" t="inlineStr">
        <is>
          <t>大虾基围虾王牌大虾厄瓜多尔白虾盐冻虾仁海洋大虾送礼顺丰包邮</t>
        </is>
      </c>
      <c r="I1001" t="inlineStr">
        <is>
          <t>690aeb7be379430001e686ac</t>
        </is>
      </c>
      <c r="J1001" t="inlineStr">
        <is>
          <t/>
        </is>
      </c>
      <c r="K1001" t="n">
        <v>0.0</v>
      </c>
      <c r="L1001" t="n">
        <v>0.0</v>
      </c>
      <c r="M1001" t="n">
        <v>0.0</v>
      </c>
      <c r="N1001" t="inlineStr">
        <is>
          <t/>
        </is>
      </c>
      <c r="O1001" t="n">
        <v>0.0</v>
      </c>
      <c r="P1001" t="n">
        <v>0.0</v>
      </c>
      <c r="Q1001" t="inlineStr">
        <is>
          <t/>
        </is>
      </c>
      <c r="R1001" t="inlineStr">
        <is>
          <t/>
        </is>
      </c>
      <c r="S1001" t="n">
        <v>0.0</v>
      </c>
      <c r="T1001" t="n">
        <v>0.0</v>
      </c>
      <c r="U1001" t="n">
        <v>0.0</v>
      </c>
      <c r="V1001" t="n">
        <v>0.0</v>
      </c>
      <c r="W1001" t="inlineStr">
        <is>
          <t/>
        </is>
      </c>
      <c r="X1001" t="n">
        <v>0.0</v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n">
        <v>0.0</v>
      </c>
      <c r="AI1001" t="n">
        <v>0.0</v>
      </c>
      <c r="AJ1001" t="n">
        <v>0.0</v>
      </c>
      <c r="AK1001" t="inlineStr">
        <is>
          <t/>
        </is>
      </c>
      <c r="AL1001" t="inlineStr">
        <is>
          <t/>
        </is>
      </c>
    </row>
    <row r="1002">
      <c r="A1002" t="inlineStr">
        <is>
          <t>太香了！60多就能买满满一箱大虾！</t>
        </is>
      </c>
      <c r="B1002" t="inlineStr">
        <is>
          <t>6915760a0000000004013483</t>
        </is>
      </c>
      <c r="C1002" s="1001" t="n">
        <f>HYPERLINK("https://www.xiaohongshu.com/explore/6915760a0000000004013483?xsec_token=TBAg-veJq-9HvX6LdnoJFXanh0ElIUwIIMEaByNHvqITs=&amp;xsec_source=pc_trdark","https://www.xiaohongshu.com/explore/6915760a0000000004013483?xsec_token=TBAg-veJq-9HvX6LdnoJFXanh0ElIUwIIMEaByNHvqITs=&amp;xsec_source=pc_trdark")</f>
        <v>0.0</v>
      </c>
      <c r="D1002" t="inlineStr">
        <is>
          <t>鲜水湾</t>
        </is>
      </c>
      <c r="E1002" t="inlineStr">
        <is>
          <t>49316638994</t>
        </is>
      </c>
      <c r="F1002" t="inlineStr">
        <is>
          <t>2025-11-13 14:09:14</t>
        </is>
      </c>
      <c r="G1002" t="inlineStr">
        <is>
          <t>图文</t>
        </is>
      </c>
      <c r="H1002" t="inlineStr">
        <is>
          <t>大虾基围虾王牌大虾厄瓜多尔白虾盐冻虾仁海洋大虾送礼顺丰包邮</t>
        </is>
      </c>
      <c r="I1002" t="inlineStr">
        <is>
          <t>690aeb7be379430001e686ac</t>
        </is>
      </c>
      <c r="J1002" t="inlineStr">
        <is>
          <t/>
        </is>
      </c>
      <c r="K1002" t="n">
        <v>0.0</v>
      </c>
      <c r="L1002" t="n">
        <v>0.0</v>
      </c>
      <c r="M1002" t="n">
        <v>0.0</v>
      </c>
      <c r="N1002" t="inlineStr">
        <is>
          <t/>
        </is>
      </c>
      <c r="O1002" t="n">
        <v>0.0</v>
      </c>
      <c r="P1002" t="n">
        <v>0.0</v>
      </c>
      <c r="Q1002" t="inlineStr">
        <is>
          <t/>
        </is>
      </c>
      <c r="R1002" t="inlineStr">
        <is>
          <t/>
        </is>
      </c>
      <c r="S1002" t="n">
        <v>0.0</v>
      </c>
      <c r="T1002" t="n">
        <v>0.0</v>
      </c>
      <c r="U1002" t="n">
        <v>0.0</v>
      </c>
      <c r="V1002" t="n">
        <v>0.0</v>
      </c>
      <c r="W1002" t="inlineStr">
        <is>
          <t/>
        </is>
      </c>
      <c r="X1002" t="n">
        <v>0.0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n">
        <v>0.0</v>
      </c>
      <c r="AI1002" t="n">
        <v>0.0</v>
      </c>
      <c r="AJ1002" t="n">
        <v>0.0</v>
      </c>
      <c r="AK1002" t="inlineStr">
        <is>
          <t/>
        </is>
      </c>
      <c r="AL1002" t="inlineStr">
        <is>
          <t/>
        </is>
      </c>
    </row>
    <row r="1003">
      <c r="A1003" t="inlineStr">
        <is>
          <t>跟风买的！50+一箱的生蚝是真的肥！</t>
        </is>
      </c>
      <c r="B1003" t="inlineStr">
        <is>
          <t>69153e6b0000000005002992</t>
        </is>
      </c>
      <c r="C1003" s="1002" t="n">
        <f>HYPERLINK("https://www.xiaohongshu.com/explore/69153e6b0000000005002992?xsec_token=TBAg-veJq-9HvX6LdnoJFXatoMwJKXk0eA6yFWEwD8dLc=&amp;xsec_source=pc_trdark","https://www.xiaohongshu.com/explore/69153e6b0000000005002992?xsec_token=TBAg-veJq-9HvX6LdnoJFXatoMwJKXk0eA6yFWEwD8dLc=&amp;xsec_source=pc_trdark")</f>
        <v>0.0</v>
      </c>
      <c r="D1003" t="inlineStr">
        <is>
          <t>婉婉上班吃什么</t>
        </is>
      </c>
      <c r="E1003" t="inlineStr">
        <is>
          <t>11434449706</t>
        </is>
      </c>
      <c r="F1003" t="inlineStr">
        <is>
          <t>2025-11-13 10:11:56</t>
        </is>
      </c>
      <c r="G1003" t="inlineStr">
        <is>
          <t>视频</t>
        </is>
      </c>
      <c r="H1003" t="inlineStr">
        <is>
          <t>生蚝乳山生蚝海蛎子顺丰包邮</t>
        </is>
      </c>
      <c r="I1003" t="inlineStr">
        <is>
          <t>690c70971b787900010866cc</t>
        </is>
      </c>
      <c r="J1003" t="n">
        <v>29.0</v>
      </c>
      <c r="K1003" t="n">
        <v>0.0</v>
      </c>
      <c r="L1003" t="n">
        <v>0.0</v>
      </c>
      <c r="M1003" t="n">
        <v>0.0</v>
      </c>
      <c r="N1003" t="inlineStr">
        <is>
          <t/>
        </is>
      </c>
      <c r="O1003" t="n">
        <v>0.0</v>
      </c>
      <c r="P1003" t="n">
        <v>0.0</v>
      </c>
      <c r="Q1003" t="inlineStr">
        <is>
          <t/>
        </is>
      </c>
      <c r="R1003" t="inlineStr">
        <is>
          <t/>
        </is>
      </c>
      <c r="S1003" t="n">
        <v>0.0</v>
      </c>
      <c r="T1003" t="n">
        <v>0.0</v>
      </c>
      <c r="U1003" t="n">
        <v>0.0</v>
      </c>
      <c r="V1003" t="n">
        <v>0.0</v>
      </c>
      <c r="W1003" t="inlineStr">
        <is>
          <t/>
        </is>
      </c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inlineStr">
        <is>
          <t/>
        </is>
      </c>
      <c r="AL1003" t="inlineStr">
        <is>
          <t/>
        </is>
      </c>
    </row>
    <row r="1004">
      <c r="A1004" t="inlineStr">
        <is>
          <t>一个撑死人，但热量很低的东西</t>
        </is>
      </c>
      <c r="B1004" t="inlineStr">
        <is>
          <t>691536610000000005038349</t>
        </is>
      </c>
      <c r="C1004" s="1003" t="n">
        <f>HYPERLINK("https://www.xiaohongshu.com/explore/691536610000000005038349?xsec_token=TBAg-veJq-9HvX6LdnoJFXarZMzV1DxcevWIzpzDNO-ZI=&amp;xsec_source=pc_trdark","https://www.xiaohongshu.com/explore/691536610000000005038349?xsec_token=TBAg-veJq-9HvX6LdnoJFXarZMzV1DxcevWIzpzDNO-ZI=&amp;xsec_source=pc_trdark")</f>
        <v>0.0</v>
      </c>
      <c r="D1004" t="inlineStr">
        <is>
          <t>鲜水湾</t>
        </is>
      </c>
      <c r="E1004" t="inlineStr">
        <is>
          <t>49316638994</t>
        </is>
      </c>
      <c r="F1004" t="inlineStr">
        <is>
          <t>2025-11-13 09:37:37</t>
        </is>
      </c>
      <c r="G1004" t="inlineStr">
        <is>
          <t>图文</t>
        </is>
      </c>
      <c r="H1004" t="inlineStr">
        <is>
          <t>大虾基围虾王牌大虾厄瓜多尔白虾盐冻虾仁海洋大虾送礼顺丰包邮</t>
        </is>
      </c>
      <c r="I1004" t="inlineStr">
        <is>
          <t>690aeb7be379430001e686ac</t>
        </is>
      </c>
      <c r="J1004" t="inlineStr">
        <is>
          <t/>
        </is>
      </c>
      <c r="K1004" t="n">
        <v>0.0</v>
      </c>
      <c r="L1004" t="n">
        <v>0.0</v>
      </c>
      <c r="M1004" t="n">
        <v>0.0</v>
      </c>
      <c r="N1004" t="inlineStr">
        <is>
          <t/>
        </is>
      </c>
      <c r="O1004" t="n">
        <v>0.0</v>
      </c>
      <c r="P1004" t="n">
        <v>0.0</v>
      </c>
      <c r="Q1004" t="inlineStr">
        <is>
          <t/>
        </is>
      </c>
      <c r="R1004" t="inlineStr">
        <is>
          <t/>
        </is>
      </c>
      <c r="S1004" t="n">
        <v>0.0</v>
      </c>
      <c r="T1004" t="n">
        <v>0.0</v>
      </c>
      <c r="U1004" t="n">
        <v>0.0</v>
      </c>
      <c r="V1004" t="n">
        <v>0.0</v>
      </c>
      <c r="W1004" t="inlineStr">
        <is>
          <t/>
        </is>
      </c>
      <c r="X1004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n">
        <v>0.0</v>
      </c>
      <c r="AI1004" t="n">
        <v>0.0</v>
      </c>
      <c r="AJ1004" t="n">
        <v>0.0</v>
      </c>
      <c r="AK1004" t="inlineStr">
        <is>
          <t/>
        </is>
      </c>
      <c r="AL1004" t="inlineStr">
        <is>
          <t/>
        </is>
      </c>
    </row>
    <row r="1005">
      <c r="A1005" t="inlineStr">
        <is>
          <t>太香了！60几块就能买满满一箱大虾！</t>
        </is>
      </c>
      <c r="B1005" t="inlineStr">
        <is>
          <t>69149d800000000004029271</t>
        </is>
      </c>
      <c r="C1005" s="1004" t="n">
        <f>HYPERLINK("https://www.xiaohongshu.com/explore/69149d800000000004029271?xsec_token=TBaXvlcWwd_4ttBIqZOUWAkxG2PWnf14AsrVjjjB_-7ek=&amp;xsec_source=pc_trdark","https://www.xiaohongshu.com/explore/69149d800000000004029271?xsec_token=TBaXvlcWwd_4ttBIqZOUWAkxG2PWnf14AsrVjjjB_-7ek=&amp;xsec_source=pc_trdark")</f>
        <v>0.0</v>
      </c>
      <c r="D1005" t="inlineStr">
        <is>
          <t>鲜水湾</t>
        </is>
      </c>
      <c r="E1005" t="inlineStr">
        <is>
          <t>49316638994</t>
        </is>
      </c>
      <c r="F1005" t="inlineStr">
        <is>
          <t>2025-11-12 22:45:20</t>
        </is>
      </c>
      <c r="G1005" t="inlineStr">
        <is>
          <t>图文</t>
        </is>
      </c>
      <c r="H1005" t="inlineStr">
        <is>
          <t>大虾基围虾王牌大虾厄瓜多尔白虾盐冻虾仁海洋大虾送礼顺丰包邮</t>
        </is>
      </c>
      <c r="I1005" t="inlineStr">
        <is>
          <t>690aeb7be379430001e686ac</t>
        </is>
      </c>
      <c r="J1005" t="inlineStr">
        <is>
          <t/>
        </is>
      </c>
      <c r="K1005" t="n">
        <v>0.0</v>
      </c>
      <c r="L1005" t="n">
        <v>0.0</v>
      </c>
      <c r="M1005" t="n">
        <v>0.0</v>
      </c>
      <c r="N1005" t="inlineStr">
        <is>
          <t/>
        </is>
      </c>
      <c r="O1005" t="n">
        <v>0.0</v>
      </c>
      <c r="P1005" t="n">
        <v>0.0</v>
      </c>
      <c r="Q1005" t="inlineStr">
        <is>
          <t/>
        </is>
      </c>
      <c r="R1005" t="inlineStr">
        <is>
          <t/>
        </is>
      </c>
      <c r="S1005" t="n">
        <v>0.0</v>
      </c>
      <c r="T1005" t="n">
        <v>0.0</v>
      </c>
      <c r="U1005" t="n">
        <v>0.0</v>
      </c>
      <c r="V1005" t="n">
        <v>0.0</v>
      </c>
      <c r="W1005" t="inlineStr">
        <is>
          <t/>
        </is>
      </c>
      <c r="X1005" t="n">
        <v>0.0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inlineStr">
        <is>
          <t/>
        </is>
      </c>
      <c r="AL1005" t="inlineStr">
        <is>
          <t/>
        </is>
      </c>
    </row>
    <row r="1006">
      <c r="A1006" t="inlineStr">
        <is>
          <t>对不起，减酯人的白月光，真的不踩雷</t>
        </is>
      </c>
      <c r="B1006" t="inlineStr">
        <is>
          <t>6914588500000000040292dc</t>
        </is>
      </c>
      <c r="C1006" s="1005" t="n">
        <f>HYPERLINK("https://www.xiaohongshu.com/explore/6914588500000000040292dc?xsec_token=TBaXvlcWwd_4ttBIqZOUWAk0YJ_nBpwGV4KfCEu0alswI=&amp;xsec_source=pc_trdark","https://www.xiaohongshu.com/explore/6914588500000000040292dc?xsec_token=TBaXvlcWwd_4ttBIqZOUWAk0YJ_nBpwGV4KfCEu0alswI=&amp;xsec_source=pc_trdark")</f>
        <v>0.0</v>
      </c>
      <c r="D1006" t="inlineStr">
        <is>
          <t>鲜水湾</t>
        </is>
      </c>
      <c r="E1006" t="inlineStr">
        <is>
          <t>49316638994</t>
        </is>
      </c>
      <c r="F1006" t="inlineStr">
        <is>
          <t>2025-11-12 17:51:01</t>
        </is>
      </c>
      <c r="G1006" t="inlineStr">
        <is>
          <t>图文</t>
        </is>
      </c>
      <c r="H1006" t="inlineStr">
        <is>
          <t>大虾基围虾王牌大虾厄瓜多尔白虾盐冻虾仁海洋大虾送礼顺丰包邮</t>
        </is>
      </c>
      <c r="I1006" t="inlineStr">
        <is>
          <t>690aeb7be379430001e686ac</t>
        </is>
      </c>
      <c r="J1006" t="inlineStr">
        <is>
          <t/>
        </is>
      </c>
      <c r="K1006" t="n">
        <v>0.0</v>
      </c>
      <c r="L1006" t="n">
        <v>0.0</v>
      </c>
      <c r="M1006" t="n">
        <v>0.0</v>
      </c>
      <c r="N1006" t="inlineStr">
        <is>
          <t/>
        </is>
      </c>
      <c r="O1006" t="n">
        <v>0.0</v>
      </c>
      <c r="P1006" t="n">
        <v>0.0</v>
      </c>
      <c r="Q1006" t="inlineStr">
        <is>
          <t/>
        </is>
      </c>
      <c r="R1006" t="inlineStr">
        <is>
          <t/>
        </is>
      </c>
      <c r="S1006" t="n">
        <v>0.0</v>
      </c>
      <c r="T1006" t="n">
        <v>0.0</v>
      </c>
      <c r="U1006" t="n">
        <v>0.0</v>
      </c>
      <c r="V1006" t="n">
        <v>0.0</v>
      </c>
      <c r="W1006" t="inlineStr">
        <is>
          <t/>
        </is>
      </c>
      <c r="X1006" t="n">
        <v>0.0</v>
      </c>
      <c r="Y1006" t="n">
        <v>0.0</v>
      </c>
      <c r="Z1006" t="n">
        <v>0.0</v>
      </c>
      <c r="AA1006" t="n">
        <v>0.0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n">
        <v>0.0</v>
      </c>
      <c r="AI1006" t="n">
        <v>0.0</v>
      </c>
      <c r="AJ1006" t="n">
        <v>0.0</v>
      </c>
      <c r="AK1006" t="inlineStr">
        <is>
          <t/>
        </is>
      </c>
      <c r="AL1006" t="inlineStr">
        <is>
          <t/>
        </is>
      </c>
    </row>
    <row r="1007">
      <c r="A1007" t="inlineStr">
        <is>
          <t>60几块钱的购买力，远比我想得多得多</t>
        </is>
      </c>
      <c r="B1007" t="inlineStr">
        <is>
          <t>691441d10000000005030f68</t>
        </is>
      </c>
      <c r="C1007" s="1006" t="n">
        <f>HYPERLINK("https://www.xiaohongshu.com/explore/691441d10000000005030f68?xsec_token=TBaXvlcWwd_4ttBIqZOUWAk4TCcJLygE0Kvb13kaLE6xU=&amp;xsec_source=pc_trdark","https://www.xiaohongshu.com/explore/691441d10000000005030f68?xsec_token=TBaXvlcWwd_4ttBIqZOUWAk4TCcJLygE0Kvb13kaLE6xU=&amp;xsec_source=pc_trdark")</f>
        <v>0.0</v>
      </c>
      <c r="D1007" t="inlineStr">
        <is>
          <t>鲜水湾</t>
        </is>
      </c>
      <c r="E1007" t="inlineStr">
        <is>
          <t>49316638994</t>
        </is>
      </c>
      <c r="F1007" t="inlineStr">
        <is>
          <t>2025-11-12 16:14:09</t>
        </is>
      </c>
      <c r="G1007" t="inlineStr">
        <is>
          <t>图文</t>
        </is>
      </c>
      <c r="H1007" t="inlineStr">
        <is>
          <t>大虾基围虾王牌大虾厄瓜多尔白虾盐冻虾仁海洋大虾送礼顺丰包邮</t>
        </is>
      </c>
      <c r="I1007" t="inlineStr">
        <is>
          <t>690aeb7be379430001e686ac</t>
        </is>
      </c>
      <c r="J1007" t="inlineStr">
        <is>
          <t/>
        </is>
      </c>
      <c r="K1007" t="n">
        <v>0.0</v>
      </c>
      <c r="L1007" t="n">
        <v>0.0</v>
      </c>
      <c r="M1007" t="n">
        <v>0.0</v>
      </c>
      <c r="N1007" t="inlineStr">
        <is>
          <t/>
        </is>
      </c>
      <c r="O1007" t="n">
        <v>0.0</v>
      </c>
      <c r="P1007" t="n">
        <v>0.0</v>
      </c>
      <c r="Q1007" t="inlineStr">
        <is>
          <t/>
        </is>
      </c>
      <c r="R1007" t="inlineStr">
        <is>
          <t/>
        </is>
      </c>
      <c r="S1007" t="n">
        <v>0.0</v>
      </c>
      <c r="T1007" t="n">
        <v>0.0</v>
      </c>
      <c r="U1007" t="n">
        <v>0.0</v>
      </c>
      <c r="V1007" t="n">
        <v>0.0</v>
      </c>
      <c r="W1007" t="inlineStr">
        <is>
          <t/>
        </is>
      </c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 t="n">
        <v>0.0</v>
      </c>
      <c r="AJ1007" t="n">
        <v>0.0</v>
      </c>
      <c r="AK1007" t="inlineStr">
        <is>
          <t/>
        </is>
      </c>
      <c r="AL1007" t="inlineStr">
        <is>
          <t/>
        </is>
      </c>
    </row>
    <row r="1008">
      <c r="A1008" t="inlineStr">
        <is>
          <t>凭一己之力带动办公室回购了10箱</t>
        </is>
      </c>
      <c r="B1008" t="inlineStr">
        <is>
          <t>69142b920000000004001b6b</t>
        </is>
      </c>
      <c r="C1008" s="1007" t="n">
        <f>HYPERLINK("https://www.xiaohongshu.com/explore/69142b920000000004001b6b?xsec_token=TBaXvlcWwd_4ttBIqZOUWAk9vdzY8ohUSZj3BrEk9v42s=&amp;xsec_source=pc_trdark","https://www.xiaohongshu.com/explore/69142b920000000004001b6b?xsec_token=TBaXvlcWwd_4ttBIqZOUWAk9vdzY8ohUSZj3BrEk9v42s=&amp;xsec_source=pc_trdark")</f>
        <v>0.0</v>
      </c>
      <c r="D1008" t="inlineStr">
        <is>
          <t>鲜水湾</t>
        </is>
      </c>
      <c r="E1008" t="inlineStr">
        <is>
          <t>49316638994</t>
        </is>
      </c>
      <c r="F1008" t="inlineStr">
        <is>
          <t>2025-11-12 14:39:14</t>
        </is>
      </c>
      <c r="G1008" t="inlineStr">
        <is>
          <t>图文</t>
        </is>
      </c>
      <c r="H1008" t="inlineStr">
        <is>
          <t>大虾基围虾王牌大虾厄瓜多尔白虾盐冻虾仁海洋大虾送礼顺丰包邮</t>
        </is>
      </c>
      <c r="I1008" t="inlineStr">
        <is>
          <t>690aeb7be379430001e686ac</t>
        </is>
      </c>
      <c r="J1008" t="inlineStr">
        <is>
          <t/>
        </is>
      </c>
      <c r="K1008" t="n">
        <v>0.0</v>
      </c>
      <c r="L1008" t="n">
        <v>0.0</v>
      </c>
      <c r="M1008" t="n">
        <v>0.0</v>
      </c>
      <c r="N1008" t="inlineStr">
        <is>
          <t/>
        </is>
      </c>
      <c r="O1008" t="n">
        <v>0.0</v>
      </c>
      <c r="P1008" t="n">
        <v>0.0</v>
      </c>
      <c r="Q1008" t="inlineStr">
        <is>
          <t/>
        </is>
      </c>
      <c r="R1008" t="inlineStr">
        <is>
          <t/>
        </is>
      </c>
      <c r="S1008" t="n">
        <v>0.0</v>
      </c>
      <c r="T1008" t="n">
        <v>0.0</v>
      </c>
      <c r="U1008" t="n">
        <v>0.0</v>
      </c>
      <c r="V1008" t="n">
        <v>0.0</v>
      </c>
      <c r="W1008" t="inlineStr">
        <is>
          <t/>
        </is>
      </c>
      <c r="X1008" t="n">
        <v>0.0</v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n">
        <v>0.0</v>
      </c>
      <c r="AI1008" t="n">
        <v>0.0</v>
      </c>
      <c r="AJ1008" t="n">
        <v>0.0</v>
      </c>
      <c r="AK1008" t="inlineStr">
        <is>
          <t/>
        </is>
      </c>
      <c r="AL1008" t="inlineStr">
        <is>
          <t/>
        </is>
      </c>
    </row>
    <row r="1009">
      <c r="A1009" t="inlineStr">
        <is>
          <t>好吃我已经说累了，没看到就随缘吧</t>
        </is>
      </c>
      <c r="B1009" t="inlineStr">
        <is>
          <t>69141ff30000000004004dac</t>
        </is>
      </c>
      <c r="C1009" s="1008" t="n">
        <f>HYPERLINK("https://www.xiaohongshu.com/explore/69141ff30000000004004dac?xsec_token=TBaXvlcWwd_4ttBIqZOUWAk2BjKO4Cr5CifWDaQ8pvdtM=&amp;xsec_source=pc_trdark","https://www.xiaohongshu.com/explore/69141ff30000000004004dac?xsec_token=TBaXvlcWwd_4ttBIqZOUWAk2BjKO4Cr5CifWDaQ8pvdtM=&amp;xsec_source=pc_trdark")</f>
        <v>0.0</v>
      </c>
      <c r="D1009" t="inlineStr">
        <is>
          <t>婉婉上班吃什么</t>
        </is>
      </c>
      <c r="E1009" t="inlineStr">
        <is>
          <t>11434449706</t>
        </is>
      </c>
      <c r="F1009" t="inlineStr">
        <is>
          <t>2025-11-12 13:49:39</t>
        </is>
      </c>
      <c r="G1009" t="inlineStr">
        <is>
          <t>视频</t>
        </is>
      </c>
      <c r="H1009" t="inlineStr">
        <is>
          <t>生蚝乳山生蚝海蛎子顺丰包邮</t>
        </is>
      </c>
      <c r="I1009" t="inlineStr">
        <is>
          <t>690c70971b787900010866cc</t>
        </is>
      </c>
      <c r="J1009" t="n">
        <v>17.0</v>
      </c>
      <c r="K1009" t="n">
        <v>0.0</v>
      </c>
      <c r="L1009" t="n">
        <v>0.0</v>
      </c>
      <c r="M1009" t="n">
        <v>0.0</v>
      </c>
      <c r="N1009" t="inlineStr">
        <is>
          <t/>
        </is>
      </c>
      <c r="O1009" t="n">
        <v>0.0</v>
      </c>
      <c r="P1009" t="n">
        <v>0.0</v>
      </c>
      <c r="Q1009" t="inlineStr">
        <is>
          <t/>
        </is>
      </c>
      <c r="R1009" t="inlineStr">
        <is>
          <t/>
        </is>
      </c>
      <c r="S1009" t="n">
        <v>0.0</v>
      </c>
      <c r="T1009" t="n">
        <v>0.0</v>
      </c>
      <c r="U1009" t="n">
        <v>0.0</v>
      </c>
      <c r="V1009" t="n">
        <v>0.0</v>
      </c>
      <c r="W1009" t="inlineStr">
        <is>
          <t/>
        </is>
      </c>
      <c r="X1009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n">
        <v>0.0</v>
      </c>
      <c r="AI1009" t="n">
        <v>0.0</v>
      </c>
      <c r="AJ1009" t="n">
        <v>0.0</v>
      </c>
      <c r="AK1009" t="inlineStr">
        <is>
          <t/>
        </is>
      </c>
      <c r="AL1009" t="inlineStr">
        <is>
          <t/>
        </is>
      </c>
    </row>
    <row r="1010">
      <c r="A1010" t="inlineStr">
        <is>
          <t>好吃我已经说累了，没看到就随缘吧！</t>
        </is>
      </c>
      <c r="B1010" t="inlineStr">
        <is>
          <t>691417bd0000000005030f0d</t>
        </is>
      </c>
      <c r="C1010" s="1009" t="n">
        <f>HYPERLINK("https://www.xiaohongshu.com/explore/691417bd0000000005030f0d?xsec_token=TBaXvlcWwd_4ttBIqZOUWAk7TEQNKjvFHsyZ2f00p00MU=&amp;xsec_source=pc_trdark","https://www.xiaohongshu.com/explore/691417bd0000000005030f0d?xsec_token=TBaXvlcWwd_4ttBIqZOUWAk7TEQNKjvFHsyZ2f00p00MU=&amp;xsec_source=pc_trdark")</f>
        <v>0.0</v>
      </c>
      <c r="D1010" t="inlineStr">
        <is>
          <t>鲜水湾</t>
        </is>
      </c>
      <c r="E1010" t="inlineStr">
        <is>
          <t>49316638994</t>
        </is>
      </c>
      <c r="F1010" t="inlineStr">
        <is>
          <t>2025-11-12 13:14:37</t>
        </is>
      </c>
      <c r="G1010" t="inlineStr">
        <is>
          <t>图文</t>
        </is>
      </c>
      <c r="H1010" t="inlineStr">
        <is>
          <t>大虾基围虾王牌大虾厄瓜多尔白虾盐冻虾仁海洋大虾送礼顺丰包邮</t>
        </is>
      </c>
      <c r="I1010" t="inlineStr">
        <is>
          <t>690aeb7be379430001e686ac</t>
        </is>
      </c>
      <c r="J1010" t="inlineStr">
        <is>
          <t/>
        </is>
      </c>
      <c r="K1010" t="n">
        <v>0.0</v>
      </c>
      <c r="L1010" t="n">
        <v>0.0</v>
      </c>
      <c r="M1010" t="n">
        <v>0.0</v>
      </c>
      <c r="N1010" t="inlineStr">
        <is>
          <t/>
        </is>
      </c>
      <c r="O1010" t="n">
        <v>0.0</v>
      </c>
      <c r="P1010" t="n">
        <v>0.0</v>
      </c>
      <c r="Q1010" t="inlineStr">
        <is>
          <t/>
        </is>
      </c>
      <c r="R1010" t="inlineStr">
        <is>
          <t/>
        </is>
      </c>
      <c r="S1010" t="n">
        <v>0.0</v>
      </c>
      <c r="T1010" t="n">
        <v>0.0</v>
      </c>
      <c r="U1010" t="n">
        <v>0.0</v>
      </c>
      <c r="V1010" t="n">
        <v>0.0</v>
      </c>
      <c r="W1010" t="inlineStr">
        <is>
          <t/>
        </is>
      </c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n">
        <v>0.0</v>
      </c>
      <c r="AI1010" t="n">
        <v>0.0</v>
      </c>
      <c r="AJ1010" t="n">
        <v>0.0</v>
      </c>
      <c r="AK1010" t="inlineStr">
        <is>
          <t/>
        </is>
      </c>
      <c r="AL1010" t="inlineStr">
        <is>
          <t/>
        </is>
      </c>
    </row>
    <row r="1011">
      <c r="A1011" t="inlineStr">
        <is>
          <t>破案了！！！怪不得身材瘦的女生都喜欢吃虾</t>
        </is>
      </c>
      <c r="B1011" t="inlineStr">
        <is>
          <t>6913fbb10000000005010120</t>
        </is>
      </c>
      <c r="C1011" s="1010" t="n">
        <f>HYPERLINK("https://www.xiaohongshu.com/explore/6913fbb10000000005010120?xsec_token=TBuRf-kx9cRMi3U9rbAm1Pe-2l94JterWmSi6Vd5TOvKs=&amp;xsec_source=pc_trdark","https://www.xiaohongshu.com/explore/6913fbb10000000005010120?xsec_token=TBuRf-kx9cRMi3U9rbAm1Pe-2l94JterWmSi6Vd5TOvKs=&amp;xsec_source=pc_trdark")</f>
        <v>0.0</v>
      </c>
      <c r="D1011" t="inlineStr">
        <is>
          <t>鲜水湾</t>
        </is>
      </c>
      <c r="E1011" t="inlineStr">
        <is>
          <t>49316638994</t>
        </is>
      </c>
      <c r="F1011" t="inlineStr">
        <is>
          <t>2025-11-12 11:14:57</t>
        </is>
      </c>
      <c r="G1011" t="inlineStr">
        <is>
          <t>图文</t>
        </is>
      </c>
      <c r="H1011" t="inlineStr">
        <is>
          <t>大虾基围虾王牌大虾厄瓜多尔白虾盐冻虾仁海洋大虾送礼顺丰包邮</t>
        </is>
      </c>
      <c r="I1011" t="inlineStr">
        <is>
          <t>690aeb7be379430001e686ac</t>
        </is>
      </c>
      <c r="J1011" t="inlineStr">
        <is>
          <t/>
        </is>
      </c>
      <c r="K1011" t="n">
        <v>0.0</v>
      </c>
      <c r="L1011" t="n">
        <v>0.0</v>
      </c>
      <c r="M1011" t="n">
        <v>0.0</v>
      </c>
      <c r="N1011" t="inlineStr">
        <is>
          <t/>
        </is>
      </c>
      <c r="O1011" t="n">
        <v>0.0</v>
      </c>
      <c r="P1011" t="n">
        <v>0.0</v>
      </c>
      <c r="Q1011" t="inlineStr">
        <is>
          <t/>
        </is>
      </c>
      <c r="R1011" t="inlineStr">
        <is>
          <t/>
        </is>
      </c>
      <c r="S1011" t="n">
        <v>0.0</v>
      </c>
      <c r="T1011" t="n">
        <v>0.0</v>
      </c>
      <c r="U1011" t="n">
        <v>0.0</v>
      </c>
      <c r="V1011" t="n">
        <v>0.0</v>
      </c>
      <c r="W1011" t="inlineStr">
        <is>
          <t/>
        </is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inlineStr">
        <is>
          <t/>
        </is>
      </c>
      <c r="AL1011" t="inlineStr">
        <is>
          <t/>
        </is>
      </c>
    </row>
    <row r="1012">
      <c r="A1012" t="inlineStr">
        <is>
          <t>感谢小红书，让我感受到69.9吃一周的快乐！</t>
        </is>
      </c>
      <c r="B1012" t="inlineStr">
        <is>
          <t>6913ee9d0000000007016882</t>
        </is>
      </c>
      <c r="C1012" s="1011" t="n">
        <f>HYPERLINK("https://www.xiaohongshu.com/explore/6913ee9d0000000007016882?xsec_token=TBuRf-kx9cRMi3U9rbAm1Pe8DVCyJ3Zxqwm_4r98psAvs=&amp;xsec_source=pc_trdark","https://www.xiaohongshu.com/explore/6913ee9d0000000007016882?xsec_token=TBuRf-kx9cRMi3U9rbAm1Pe8DVCyJ3Zxqwm_4r98psAvs=&amp;xsec_source=pc_trdark")</f>
        <v>0.0</v>
      </c>
      <c r="D1012" t="inlineStr">
        <is>
          <t>鲜水湾甄选</t>
        </is>
      </c>
      <c r="E1012" t="inlineStr">
        <is>
          <t>27401929161</t>
        </is>
      </c>
      <c r="F1012" t="inlineStr">
        <is>
          <t>2025-11-12 10:19:09</t>
        </is>
      </c>
      <c r="G1012" t="inlineStr">
        <is>
          <t>图文</t>
        </is>
      </c>
      <c r="H1012" t="inlineStr">
        <is>
          <t>大虾基围虾王牌大虾厄瓜多尔白虾盐冻虾仁海洋大虾送礼顺丰包邮</t>
        </is>
      </c>
      <c r="I1012" t="inlineStr">
        <is>
          <t>690aeb7be379430001e686ac</t>
        </is>
      </c>
      <c r="J1012" t="inlineStr">
        <is>
          <t/>
        </is>
      </c>
      <c r="K1012" t="n">
        <v>0.0</v>
      </c>
      <c r="L1012" t="n">
        <v>0.0</v>
      </c>
      <c r="M1012" t="n">
        <v>0.0</v>
      </c>
      <c r="N1012" t="inlineStr">
        <is>
          <t/>
        </is>
      </c>
      <c r="O1012" t="n">
        <v>0.0</v>
      </c>
      <c r="P1012" t="n">
        <v>0.0</v>
      </c>
      <c r="Q1012" t="inlineStr">
        <is>
          <t/>
        </is>
      </c>
      <c r="R1012" t="inlineStr">
        <is>
          <t/>
        </is>
      </c>
      <c r="S1012" t="n">
        <v>0.0</v>
      </c>
      <c r="T1012" t="n">
        <v>0.0</v>
      </c>
      <c r="U1012" t="n">
        <v>0.0</v>
      </c>
      <c r="V1012" t="n">
        <v>0.0</v>
      </c>
      <c r="W1012" t="inlineStr">
        <is>
          <t/>
        </is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inlineStr">
        <is>
          <t/>
        </is>
      </c>
      <c r="AL1012" t="inlineStr">
        <is>
          <t/>
        </is>
      </c>
    </row>
    <row r="1013">
      <c r="A1013" t="inlineStr">
        <is>
          <t>健身党的优质蛋白！60多的大虾超划算</t>
        </is>
      </c>
      <c r="B1013" t="inlineStr">
        <is>
          <t>6913e42a00000000050133fc</t>
        </is>
      </c>
      <c r="C1013" s="1012" t="n">
        <f>HYPERLINK("https://www.xiaohongshu.com/explore/6913e42a00000000050133fc?xsec_token=TBuRf-kx9cRMi3U9rbAm1Pe6WLdTVG4Xw6AsmAU7FAU5w=&amp;xsec_source=pc_trdark","https://www.xiaohongshu.com/explore/6913e42a00000000050133fc?xsec_token=TBuRf-kx9cRMi3U9rbAm1Pe6WLdTVG4Xw6AsmAU7FAU5w=&amp;xsec_source=pc_trdark")</f>
        <v>0.0</v>
      </c>
      <c r="D1013" t="inlineStr">
        <is>
          <t>鲜水湾</t>
        </is>
      </c>
      <c r="E1013" t="inlineStr">
        <is>
          <t>49316638994</t>
        </is>
      </c>
      <c r="F1013" t="inlineStr">
        <is>
          <t>2025-11-12 09:34:34</t>
        </is>
      </c>
      <c r="G1013" t="inlineStr">
        <is>
          <t>图文</t>
        </is>
      </c>
      <c r="H1013" t="inlineStr">
        <is>
          <t>大虾基围虾王牌大虾厄瓜多尔白虾盐冻虾仁海洋大虾送礼顺丰包邮</t>
        </is>
      </c>
      <c r="I1013" t="inlineStr">
        <is>
          <t>690aeb7be379430001e686ac</t>
        </is>
      </c>
      <c r="J1013" t="inlineStr">
        <is>
          <t/>
        </is>
      </c>
      <c r="K1013" t="n">
        <v>0.0</v>
      </c>
      <c r="L1013" t="n">
        <v>0.0</v>
      </c>
      <c r="M1013" t="n">
        <v>0.0</v>
      </c>
      <c r="N1013" t="inlineStr">
        <is>
          <t/>
        </is>
      </c>
      <c r="O1013" t="n">
        <v>0.0</v>
      </c>
      <c r="P1013" t="n">
        <v>0.0</v>
      </c>
      <c r="Q1013" t="inlineStr">
        <is>
          <t/>
        </is>
      </c>
      <c r="R1013" t="inlineStr">
        <is>
          <t/>
        </is>
      </c>
      <c r="S1013" t="n">
        <v>0.0</v>
      </c>
      <c r="T1013" t="n">
        <v>0.0</v>
      </c>
      <c r="U1013" t="n">
        <v>0.0</v>
      </c>
      <c r="V1013" t="n">
        <v>0.0</v>
      </c>
      <c r="W1013" t="inlineStr">
        <is>
          <t/>
        </is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n">
        <v>0.0</v>
      </c>
      <c r="AI1013" t="n">
        <v>0.0</v>
      </c>
      <c r="AJ1013" t="n">
        <v>0.0</v>
      </c>
      <c r="AK1013" t="inlineStr">
        <is>
          <t/>
        </is>
      </c>
      <c r="AL1013" t="inlineStr">
        <is>
          <t/>
        </is>
      </c>
    </row>
    <row r="1014">
      <c r="A1014" t="inlineStr">
        <is>
          <t>60多块的购买力解决上班族十天的优质蛋白</t>
        </is>
      </c>
      <c r="B1014" t="inlineStr">
        <is>
          <t>6913498d0000000004003e56</t>
        </is>
      </c>
      <c r="C1014" s="1013" t="n">
        <f>HYPERLINK("https://www.xiaohongshu.com/explore/6913498d0000000004003e56?xsec_token=TBuRf-kx9cRMi3U9rbAm1Pe6Y7t0mc0gMNlSQ5U3k5_mc=&amp;xsec_source=pc_trdark","https://www.xiaohongshu.com/explore/6913498d0000000004003e56?xsec_token=TBuRf-kx9cRMi3U9rbAm1Pe6Y7t0mc0gMNlSQ5U3k5_mc=&amp;xsec_source=pc_trdark")</f>
        <v>0.0</v>
      </c>
      <c r="D1014" t="inlineStr">
        <is>
          <t>鲜水湾</t>
        </is>
      </c>
      <c r="E1014" t="inlineStr">
        <is>
          <t>49316638994</t>
        </is>
      </c>
      <c r="F1014" t="inlineStr">
        <is>
          <t>2025-11-11 22:34:53</t>
        </is>
      </c>
      <c r="G1014" t="inlineStr">
        <is>
          <t>图文</t>
        </is>
      </c>
      <c r="H1014" t="inlineStr">
        <is>
          <t>大虾基围虾王牌大虾厄瓜多尔白虾盐冻虾仁海洋大虾送礼顺丰包邮</t>
        </is>
      </c>
      <c r="I1014" t="inlineStr">
        <is>
          <t>690aeb7be379430001e686ac</t>
        </is>
      </c>
      <c r="J1014" t="inlineStr">
        <is>
          <t/>
        </is>
      </c>
      <c r="K1014" t="n">
        <v>0.0</v>
      </c>
      <c r="L1014" t="n">
        <v>0.0</v>
      </c>
      <c r="M1014" t="n">
        <v>0.0</v>
      </c>
      <c r="N1014" t="inlineStr">
        <is>
          <t/>
        </is>
      </c>
      <c r="O1014" t="n">
        <v>0.0</v>
      </c>
      <c r="P1014" t="n">
        <v>0.0</v>
      </c>
      <c r="Q1014" t="inlineStr">
        <is>
          <t/>
        </is>
      </c>
      <c r="R1014" t="inlineStr">
        <is>
          <t/>
        </is>
      </c>
      <c r="S1014" t="n">
        <v>0.0</v>
      </c>
      <c r="T1014" t="n">
        <v>0.0</v>
      </c>
      <c r="U1014" t="n">
        <v>0.0</v>
      </c>
      <c r="V1014" t="n">
        <v>0.0</v>
      </c>
      <c r="W1014" t="inlineStr">
        <is>
          <t/>
        </is>
      </c>
      <c r="X1014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n">
        <v>0.0</v>
      </c>
      <c r="AI1014" t="n">
        <v>0.0</v>
      </c>
      <c r="AJ1014" t="n">
        <v>0.0</v>
      </c>
      <c r="AK1014" t="inlineStr">
        <is>
          <t/>
        </is>
      </c>
      <c r="AL1014" t="inlineStr">
        <is>
          <t/>
        </is>
      </c>
    </row>
    <row r="1015">
      <c r="A1015" t="inlineStr">
        <is>
          <t>说一个撑死人但热量很低的东西</t>
        </is>
      </c>
      <c r="B1015" t="inlineStr">
        <is>
          <t>6912f5760000000005001201</t>
        </is>
      </c>
      <c r="C1015" s="1014" t="n">
        <f>HYPERLINK("https://www.xiaohongshu.com/explore/6912f5760000000005001201?xsec_token=TBnZN0DmKGIQMnPXPN25j7p8hJBwnFk_A2WnB_UFtZgSg=&amp;xsec_source=pc_trdark","https://www.xiaohongshu.com/explore/6912f5760000000005001201?xsec_token=TBnZN0DmKGIQMnPXPN25j7p8hJBwnFk_A2WnB_UFtZgSg=&amp;xsec_source=pc_trdark")</f>
        <v>0.0</v>
      </c>
      <c r="D1015" t="inlineStr">
        <is>
          <t>鲜水湾</t>
        </is>
      </c>
      <c r="E1015" t="inlineStr">
        <is>
          <t>49316638994</t>
        </is>
      </c>
      <c r="F1015" t="inlineStr">
        <is>
          <t>2025-11-11 16:36:06</t>
        </is>
      </c>
      <c r="G1015" t="inlineStr">
        <is>
          <t>图文</t>
        </is>
      </c>
      <c r="H1015" t="inlineStr">
        <is>
          <t>大虾基围虾王牌大虾厄瓜多尔白虾盐冻虾仁海洋大虾送礼顺丰包邮</t>
        </is>
      </c>
      <c r="I1015" t="inlineStr">
        <is>
          <t>690aeb7be379430001e686ac</t>
        </is>
      </c>
      <c r="J1015" t="inlineStr">
        <is>
          <t/>
        </is>
      </c>
      <c r="K1015" t="n">
        <v>0.0</v>
      </c>
      <c r="L1015" t="n">
        <v>0.0</v>
      </c>
      <c r="M1015" t="n">
        <v>0.0</v>
      </c>
      <c r="N1015" t="inlineStr">
        <is>
          <t/>
        </is>
      </c>
      <c r="O1015" t="n">
        <v>0.0</v>
      </c>
      <c r="P1015" t="n">
        <v>0.0</v>
      </c>
      <c r="Q1015" t="inlineStr">
        <is>
          <t/>
        </is>
      </c>
      <c r="R1015" t="inlineStr">
        <is>
          <t/>
        </is>
      </c>
      <c r="S1015" t="n">
        <v>0.0</v>
      </c>
      <c r="T1015" t="n">
        <v>0.0</v>
      </c>
      <c r="U1015" t="n">
        <v>0.0</v>
      </c>
      <c r="V1015" t="n">
        <v>0.0</v>
      </c>
      <c r="W1015" t="inlineStr">
        <is>
          <t/>
        </is>
      </c>
      <c r="X1015" t="n">
        <v>0.0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0.0</v>
      </c>
      <c r="AF1015" t="n">
        <v>0.0</v>
      </c>
      <c r="AG1015" t="n">
        <v>0.0</v>
      </c>
      <c r="AH1015" t="n">
        <v>0.0</v>
      </c>
      <c r="AI1015" t="n">
        <v>0.0</v>
      </c>
      <c r="AJ1015" t="n">
        <v>0.0</v>
      </c>
      <c r="AK1015" t="inlineStr">
        <is>
          <t/>
        </is>
      </c>
      <c r="AL1015" t="inlineStr">
        <is>
          <t/>
        </is>
      </c>
    </row>
    <row r="1016">
      <c r="A1016" t="inlineStr">
        <is>
          <t>随手一买带动全办公室开始减酯</t>
        </is>
      </c>
      <c r="B1016" t="inlineStr">
        <is>
          <t>6912ce19000000000401511c</t>
        </is>
      </c>
      <c r="C1016" s="1015" t="n">
        <f>HYPERLINK("https://www.xiaohongshu.com/explore/6912ce19000000000401511c?xsec_token=TBnZN0DmKGIQMnPXPN25j7p1p3SVu36K-RH3cJ0MoB2ls=&amp;xsec_source=pc_trdark","https://www.xiaohongshu.com/explore/6912ce19000000000401511c?xsec_token=TBnZN0DmKGIQMnPXPN25j7p1p3SVu36K-RH3cJ0MoB2ls=&amp;xsec_source=pc_trdark")</f>
        <v>0.0</v>
      </c>
      <c r="D1016" t="inlineStr">
        <is>
          <t>鲜水湾</t>
        </is>
      </c>
      <c r="E1016" t="inlineStr">
        <is>
          <t>49316638994</t>
        </is>
      </c>
      <c r="F1016" t="inlineStr">
        <is>
          <t>2025-11-11 13:48:09</t>
        </is>
      </c>
      <c r="G1016" t="inlineStr">
        <is>
          <t>图文</t>
        </is>
      </c>
      <c r="H1016" t="inlineStr">
        <is>
          <t>大虾基围虾王牌大虾厄瓜多尔白虾盐冻虾仁海洋大虾送礼顺丰包邮</t>
        </is>
      </c>
      <c r="I1016" t="inlineStr">
        <is>
          <t>690aeb7be379430001e686ac</t>
        </is>
      </c>
      <c r="J1016" t="inlineStr">
        <is>
          <t/>
        </is>
      </c>
      <c r="K1016" t="n">
        <v>0.0</v>
      </c>
      <c r="L1016" t="n">
        <v>0.0</v>
      </c>
      <c r="M1016" t="n">
        <v>0.0</v>
      </c>
      <c r="N1016" t="inlineStr">
        <is>
          <t/>
        </is>
      </c>
      <c r="O1016" t="n">
        <v>0.0</v>
      </c>
      <c r="P1016" t="n">
        <v>0.0</v>
      </c>
      <c r="Q1016" t="inlineStr">
        <is>
          <t/>
        </is>
      </c>
      <c r="R1016" t="inlineStr">
        <is>
          <t/>
        </is>
      </c>
      <c r="S1016" t="n">
        <v>0.0</v>
      </c>
      <c r="T1016" t="n">
        <v>0.0</v>
      </c>
      <c r="U1016" t="n">
        <v>0.0</v>
      </c>
      <c r="V1016" t="n">
        <v>0.0</v>
      </c>
      <c r="W1016" t="inlineStr">
        <is>
          <t/>
        </is>
      </c>
      <c r="X1016" t="n">
        <v>0.0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n">
        <v>0.0</v>
      </c>
      <c r="AI1016" t="n">
        <v>0.0</v>
      </c>
      <c r="AJ1016" t="n">
        <v>0.0</v>
      </c>
      <c r="AK1016" t="inlineStr">
        <is>
          <t/>
        </is>
      </c>
      <c r="AL1016" t="inlineStr">
        <is>
          <t/>
        </is>
      </c>
    </row>
    <row r="1017">
      <c r="A1017" t="inlineStr">
        <is>
          <t>70块承包半月减酯晚餐，这虾比鸡胸肉还值！</t>
        </is>
      </c>
      <c r="B1017" t="inlineStr">
        <is>
          <t>6912ace8000000000402b13c</t>
        </is>
      </c>
      <c r="C1017" s="1016" t="n">
        <f>HYPERLINK("https://www.xiaohongshu.com/explore/6912ace8000000000402b13c?xsec_token=TBnZN0DmKGIQMnPXPN25j7p5R48zN_711aWAsPlk28634=&amp;xsec_source=pc_trdark","https://www.xiaohongshu.com/explore/6912ace8000000000402b13c?xsec_token=TBnZN0DmKGIQMnPXPN25j7p5R48zN_711aWAsPlk28634=&amp;xsec_source=pc_trdark")</f>
        <v>0.0</v>
      </c>
      <c r="D1017" t="inlineStr">
        <is>
          <t>鲜水湾</t>
        </is>
      </c>
      <c r="E1017" t="inlineStr">
        <is>
          <t>49316638994</t>
        </is>
      </c>
      <c r="F1017" t="inlineStr">
        <is>
          <t>2025-11-11 11:26:32</t>
        </is>
      </c>
      <c r="G1017" t="inlineStr">
        <is>
          <t>图文</t>
        </is>
      </c>
      <c r="H1017" t="inlineStr">
        <is>
          <t>大虾基围虾王牌大虾厄瓜多尔白虾盐冻虾仁海洋大虾送礼顺丰包邮</t>
        </is>
      </c>
      <c r="I1017" t="inlineStr">
        <is>
          <t>690aeb7be379430001e686ac</t>
        </is>
      </c>
      <c r="J1017" t="inlineStr">
        <is>
          <t/>
        </is>
      </c>
      <c r="K1017" t="n">
        <v>0.0</v>
      </c>
      <c r="L1017" t="n">
        <v>0.0</v>
      </c>
      <c r="M1017" t="n">
        <v>0.0</v>
      </c>
      <c r="N1017" t="inlineStr">
        <is>
          <t/>
        </is>
      </c>
      <c r="O1017" t="n">
        <v>0.0</v>
      </c>
      <c r="P1017" t="n">
        <v>0.0</v>
      </c>
      <c r="Q1017" t="inlineStr">
        <is>
          <t/>
        </is>
      </c>
      <c r="R1017" t="inlineStr">
        <is>
          <t/>
        </is>
      </c>
      <c r="S1017" t="n">
        <v>0.0</v>
      </c>
      <c r="T1017" t="n">
        <v>0.0</v>
      </c>
      <c r="U1017" t="n">
        <v>0.0</v>
      </c>
      <c r="V1017" t="n">
        <v>0.0</v>
      </c>
      <c r="W1017" t="inlineStr">
        <is>
          <t/>
        </is>
      </c>
      <c r="X1017" t="n">
        <v>0.0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0.0</v>
      </c>
      <c r="AH1017" t="n">
        <v>0.0</v>
      </c>
      <c r="AI1017" t="n">
        <v>0.0</v>
      </c>
      <c r="AJ1017" t="n">
        <v>0.0</v>
      </c>
      <c r="AK1017" t="inlineStr">
        <is>
          <t/>
        </is>
      </c>
      <c r="AL1017" t="inlineStr">
        <is>
          <t/>
        </is>
      </c>
    </row>
    <row r="1018">
      <c r="A1018" t="inlineStr">
        <is>
          <t>真的低估60多块的购买力，20多一斤赶紧冲</t>
        </is>
      </c>
      <c r="B1018" t="inlineStr">
        <is>
          <t>691292660000000004007ce2</t>
        </is>
      </c>
      <c r="C1018" s="1017" t="n">
        <f>HYPERLINK("https://www.xiaohongshu.com/explore/691292660000000004007ce2?xsec_token=TBnZN0DmKGIQMnPXPN25j7pwWOMvxhl-fwhEn8oSqBanY=&amp;xsec_source=pc_trdark","https://www.xiaohongshu.com/explore/691292660000000004007ce2?xsec_token=TBnZN0DmKGIQMnPXPN25j7pwWOMvxhl-fwhEn8oSqBanY=&amp;xsec_source=pc_trdark")</f>
        <v>0.0</v>
      </c>
      <c r="D1018" t="inlineStr">
        <is>
          <t>鲜水湾</t>
        </is>
      </c>
      <c r="E1018" t="inlineStr">
        <is>
          <t>49316638994</t>
        </is>
      </c>
      <c r="F1018" t="inlineStr">
        <is>
          <t>2025-11-11 09:33:26</t>
        </is>
      </c>
      <c r="G1018" t="inlineStr">
        <is>
          <t>图文</t>
        </is>
      </c>
      <c r="H1018" t="inlineStr">
        <is>
          <t>大虾基围虾王牌大虾厄瓜多尔白虾盐冻虾仁海洋大虾送礼顺丰包邮</t>
        </is>
      </c>
      <c r="I1018" t="inlineStr">
        <is>
          <t>690aeb7be379430001e686ac</t>
        </is>
      </c>
      <c r="J1018" t="inlineStr">
        <is>
          <t/>
        </is>
      </c>
      <c r="K1018" t="n">
        <v>0.0</v>
      </c>
      <c r="L1018" t="n">
        <v>0.0</v>
      </c>
      <c r="M1018" t="n">
        <v>0.0</v>
      </c>
      <c r="N1018" t="inlineStr">
        <is>
          <t/>
        </is>
      </c>
      <c r="O1018" t="n">
        <v>0.0</v>
      </c>
      <c r="P1018" t="n">
        <v>0.0</v>
      </c>
      <c r="Q1018" t="inlineStr">
        <is>
          <t/>
        </is>
      </c>
      <c r="R1018" t="inlineStr">
        <is>
          <t/>
        </is>
      </c>
      <c r="S1018" t="n">
        <v>0.0</v>
      </c>
      <c r="T1018" t="n">
        <v>0.0</v>
      </c>
      <c r="U1018" t="n">
        <v>0.0</v>
      </c>
      <c r="V1018" t="n">
        <v>0.0</v>
      </c>
      <c r="W1018" t="inlineStr">
        <is>
          <t/>
        </is>
      </c>
      <c r="X1018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n">
        <v>0.0</v>
      </c>
      <c r="AI1018" t="n">
        <v>0.0</v>
      </c>
      <c r="AJ1018" t="n">
        <v>0.0</v>
      </c>
      <c r="AK1018" t="inlineStr">
        <is>
          <t/>
        </is>
      </c>
      <c r="AL1018" t="inlineStr">
        <is>
          <t/>
        </is>
      </c>
    </row>
    <row r="1019">
      <c r="A1019" t="inlineStr">
        <is>
          <t>对60几块钱的概念越来越模糊了</t>
        </is>
      </c>
      <c r="B1019" t="inlineStr">
        <is>
          <t>6911df3c00000000040159fe</t>
        </is>
      </c>
      <c r="C1019" s="1018" t="n">
        <f>HYPERLINK("https://www.xiaohongshu.com/explore/6911df3c00000000040159fe?xsec_token=TBrsrV1jnhRUA39f7gREfx-PBbjoMfE3SRuDJCCHpYba8=&amp;xsec_source=pc_trdark","https://www.xiaohongshu.com/explore/6911df3c00000000040159fe?xsec_token=TBrsrV1jnhRUA39f7gREfx-PBbjoMfE3SRuDJCCHpYba8=&amp;xsec_source=pc_trdark")</f>
        <v>0.0</v>
      </c>
      <c r="D1019" t="inlineStr">
        <is>
          <t>鲜水湾</t>
        </is>
      </c>
      <c r="E1019" t="inlineStr">
        <is>
          <t>49316638994</t>
        </is>
      </c>
      <c r="F1019" t="inlineStr">
        <is>
          <t>2025-11-10 20:49:00</t>
        </is>
      </c>
      <c r="G1019" t="inlineStr">
        <is>
          <t>图文</t>
        </is>
      </c>
      <c r="H1019" t="inlineStr">
        <is>
          <t>大虾基围虾王牌大虾厄瓜多尔白虾盐冻虾仁海洋大虾送礼顺丰包邮</t>
        </is>
      </c>
      <c r="I1019" t="inlineStr">
        <is>
          <t>690aeb7be379430001e686ac</t>
        </is>
      </c>
      <c r="J1019" t="inlineStr">
        <is>
          <t/>
        </is>
      </c>
      <c r="K1019" t="n">
        <v>0.0</v>
      </c>
      <c r="L1019" t="n">
        <v>0.0</v>
      </c>
      <c r="M1019" t="n">
        <v>0.0</v>
      </c>
      <c r="N1019" t="inlineStr">
        <is>
          <t/>
        </is>
      </c>
      <c r="O1019" t="n">
        <v>0.0</v>
      </c>
      <c r="P1019" t="n">
        <v>0.0</v>
      </c>
      <c r="Q1019" t="inlineStr">
        <is>
          <t/>
        </is>
      </c>
      <c r="R1019" t="inlineStr">
        <is>
          <t/>
        </is>
      </c>
      <c r="S1019" t="n">
        <v>0.0</v>
      </c>
      <c r="T1019" t="n">
        <v>0.0</v>
      </c>
      <c r="U1019" t="n">
        <v>0.0</v>
      </c>
      <c r="V1019" t="n">
        <v>0.0</v>
      </c>
      <c r="W1019" t="inlineStr">
        <is>
          <t/>
        </is>
      </c>
      <c r="X1019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n">
        <v>0.0</v>
      </c>
      <c r="AI1019" t="n">
        <v>0.0</v>
      </c>
      <c r="AJ1019" t="n">
        <v>0.0</v>
      </c>
      <c r="AK1019" t="inlineStr">
        <is>
          <t/>
        </is>
      </c>
      <c r="AL1019" t="inlineStr">
        <is>
          <t/>
        </is>
      </c>
    </row>
    <row r="1020">
      <c r="A1020" t="inlineStr">
        <is>
          <t>原以为不便宜，其实70多3斤大虾太过瘾</t>
        </is>
      </c>
      <c r="B1020" t="inlineStr">
        <is>
          <t>6911a9ec000000000400776e</t>
        </is>
      </c>
      <c r="C1020" s="1019" t="n">
        <f>HYPERLINK("https://www.xiaohongshu.com/explore/6911a9ec000000000400776e?xsec_token=TBrsrV1jnhRUA39f7gREfx-NDMNdCUZoelquOKT1cOnP0=&amp;xsec_source=pc_trdark","https://www.xiaohongshu.com/explore/6911a9ec000000000400776e?xsec_token=TBrsrV1jnhRUA39f7gREfx-NDMNdCUZoelquOKT1cOnP0=&amp;xsec_source=pc_trdark")</f>
        <v>0.0</v>
      </c>
      <c r="D1020" t="inlineStr">
        <is>
          <t>鲜水湾</t>
        </is>
      </c>
      <c r="E1020" t="inlineStr">
        <is>
          <t>49316638994</t>
        </is>
      </c>
      <c r="F1020" t="inlineStr">
        <is>
          <t>2025-11-10 17:01:32</t>
        </is>
      </c>
      <c r="G1020" t="inlineStr">
        <is>
          <t>图文</t>
        </is>
      </c>
      <c r="H1020" t="inlineStr">
        <is>
          <t>大虾基围虾王牌大虾厄瓜多尔白虾盐冻虾仁海洋大虾送礼顺丰包邮</t>
        </is>
      </c>
      <c r="I1020" t="inlineStr">
        <is>
          <t>690aeb7be379430001e686ac</t>
        </is>
      </c>
      <c r="J1020" t="inlineStr">
        <is>
          <t/>
        </is>
      </c>
      <c r="K1020" t="n">
        <v>0.0</v>
      </c>
      <c r="L1020" t="n">
        <v>0.0</v>
      </c>
      <c r="M1020" t="n">
        <v>0.0</v>
      </c>
      <c r="N1020" t="inlineStr">
        <is>
          <t/>
        </is>
      </c>
      <c r="O1020" t="n">
        <v>0.0</v>
      </c>
      <c r="P1020" t="n">
        <v>0.0</v>
      </c>
      <c r="Q1020" t="inlineStr">
        <is>
          <t/>
        </is>
      </c>
      <c r="R1020" t="inlineStr">
        <is>
          <t/>
        </is>
      </c>
      <c r="S1020" t="n">
        <v>0.0</v>
      </c>
      <c r="T1020" t="n">
        <v>0.0</v>
      </c>
      <c r="U1020" t="n">
        <v>0.0</v>
      </c>
      <c r="V1020" t="n">
        <v>0.0</v>
      </c>
      <c r="W1020" t="inlineStr">
        <is>
          <t/>
        </is>
      </c>
      <c r="X1020" t="n">
        <v>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inlineStr">
        <is>
          <t/>
        </is>
      </c>
      <c r="AL1020" t="inlineStr">
        <is>
          <t/>
        </is>
      </c>
    </row>
    <row r="1021">
      <c r="A1021" t="inlineStr">
        <is>
          <t>没招了，我妈让我在网上卖，谁买啊🥲</t>
        </is>
      </c>
      <c r="B1021" t="inlineStr">
        <is>
          <t>6911a66d0000000004002444</t>
        </is>
      </c>
      <c r="C1021" s="1020" t="n">
        <f>HYPERLINK("https://www.xiaohongshu.com/explore/6911a66d0000000004002444?xsec_token=TBrsrV1jnhRUA39f7gREfx-DSs2aoYkBZUAeponFZ3Bsc=&amp;xsec_source=pc_trdark","https://www.xiaohongshu.com/explore/6911a66d0000000004002444?xsec_token=TBrsrV1jnhRUA39f7gREfx-DSs2aoYkBZUAeponFZ3Bsc=&amp;xsec_source=pc_trdark")</f>
        <v>0.0</v>
      </c>
      <c r="D1021" t="inlineStr">
        <is>
          <t>婉婉上班吃什么</t>
        </is>
      </c>
      <c r="E1021" t="inlineStr">
        <is>
          <t>11434449706</t>
        </is>
      </c>
      <c r="F1021" t="inlineStr">
        <is>
          <t>2025-11-10 16:46:37</t>
        </is>
      </c>
      <c r="G1021" t="inlineStr">
        <is>
          <t>视频</t>
        </is>
      </c>
      <c r="H1021" t="inlineStr">
        <is>
          <t>生蚝乳山生蚝海蛎子顺丰包邮</t>
        </is>
      </c>
      <c r="I1021" t="inlineStr">
        <is>
          <t>690c70971b787900010866cc</t>
        </is>
      </c>
      <c r="J1021" t="n">
        <v>14.0</v>
      </c>
      <c r="K1021" t="n">
        <v>0.0</v>
      </c>
      <c r="L1021" t="n">
        <v>0.0</v>
      </c>
      <c r="M1021" t="n">
        <v>0.0</v>
      </c>
      <c r="N1021" t="inlineStr">
        <is>
          <t/>
        </is>
      </c>
      <c r="O1021" t="n">
        <v>0.0</v>
      </c>
      <c r="P1021" t="n">
        <v>0.0</v>
      </c>
      <c r="Q1021" t="inlineStr">
        <is>
          <t/>
        </is>
      </c>
      <c r="R1021" t="inlineStr">
        <is>
          <t/>
        </is>
      </c>
      <c r="S1021" t="n">
        <v>0.0</v>
      </c>
      <c r="T1021" t="n">
        <v>0.0</v>
      </c>
      <c r="U1021" t="n">
        <v>0.0</v>
      </c>
      <c r="V1021" t="n">
        <v>0.0</v>
      </c>
      <c r="W1021" t="inlineStr">
        <is>
          <t/>
        </is>
      </c>
      <c r="X1021" t="n">
        <v>0.0</v>
      </c>
      <c r="Y1021" t="n">
        <v>0.0</v>
      </c>
      <c r="Z1021" t="n">
        <v>0.0</v>
      </c>
      <c r="AA1021" t="n">
        <v>0.0</v>
      </c>
      <c r="AB1021" t="n">
        <v>0.0</v>
      </c>
      <c r="AC1021" t="n">
        <v>0.0</v>
      </c>
      <c r="AD1021" t="n">
        <v>0.0</v>
      </c>
      <c r="AE1021" t="n">
        <v>0.0</v>
      </c>
      <c r="AF1021" t="n">
        <v>0.0</v>
      </c>
      <c r="AG1021" t="n">
        <v>0.0</v>
      </c>
      <c r="AH1021" t="n">
        <v>0.0</v>
      </c>
      <c r="AI1021" t="n">
        <v>0.0</v>
      </c>
      <c r="AJ1021" t="n">
        <v>0.0</v>
      </c>
      <c r="AK1021" t="inlineStr">
        <is>
          <t/>
        </is>
      </c>
      <c r="AL1021" t="inlineStr">
        <is>
          <t/>
        </is>
      </c>
    </row>
    <row r="1022">
      <c r="A1022" t="inlineStr">
        <is>
          <t>终于知道年轻人爱大虾的理由了……</t>
        </is>
      </c>
      <c r="B1022" t="inlineStr">
        <is>
          <t>691185f4000000000703b57a</t>
        </is>
      </c>
      <c r="C1022" s="1021" t="n">
        <f>HYPERLINK("https://www.xiaohongshu.com/explore/691185f4000000000703b57a?xsec_token=TBrsrV1jnhRUA39f7gREfx-NTLmV1A7aUV7O42PPhiFzo=&amp;xsec_source=pc_trdark","https://www.xiaohongshu.com/explore/691185f4000000000703b57a?xsec_token=TBrsrV1jnhRUA39f7gREfx-NTLmV1A7aUV7O42PPhiFzo=&amp;xsec_source=pc_trdark")</f>
        <v>0.0</v>
      </c>
      <c r="D1022" t="inlineStr">
        <is>
          <t>鲜水湾甄选</t>
        </is>
      </c>
      <c r="E1022" t="inlineStr">
        <is>
          <t>27401929161</t>
        </is>
      </c>
      <c r="F1022" t="inlineStr">
        <is>
          <t>2025-11-10 14:28:04</t>
        </is>
      </c>
      <c r="G1022" t="inlineStr">
        <is>
          <t>图文</t>
        </is>
      </c>
      <c r="H1022" t="inlineStr">
        <is>
          <t>大虾基围虾王牌大虾厄瓜多尔白虾盐冻虾仁海洋大虾送礼顺丰包邮</t>
        </is>
      </c>
      <c r="I1022" t="inlineStr">
        <is>
          <t>690aeb7be379430001e686ac</t>
        </is>
      </c>
      <c r="J1022" t="inlineStr">
        <is>
          <t/>
        </is>
      </c>
      <c r="K1022" t="n">
        <v>0.0</v>
      </c>
      <c r="L1022" t="n">
        <v>0.0</v>
      </c>
      <c r="M1022" t="n">
        <v>0.0</v>
      </c>
      <c r="N1022" t="inlineStr">
        <is>
          <t/>
        </is>
      </c>
      <c r="O1022" t="n">
        <v>0.0</v>
      </c>
      <c r="P1022" t="n">
        <v>0.0</v>
      </c>
      <c r="Q1022" t="inlineStr">
        <is>
          <t/>
        </is>
      </c>
      <c r="R1022" t="inlineStr">
        <is>
          <t/>
        </is>
      </c>
      <c r="S1022" t="n">
        <v>0.0</v>
      </c>
      <c r="T1022" t="n">
        <v>0.0</v>
      </c>
      <c r="U1022" t="n">
        <v>0.0</v>
      </c>
      <c r="V1022" t="n">
        <v>0.0</v>
      </c>
      <c r="W1022" t="inlineStr">
        <is>
          <t/>
        </is>
      </c>
      <c r="X1022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inlineStr">
        <is>
          <t/>
        </is>
      </c>
      <c r="AL1022" t="inlineStr">
        <is>
          <t/>
        </is>
      </c>
    </row>
    <row r="1023">
      <c r="A1023" t="inlineStr">
        <is>
          <t>真心建议身材管理期的姐妹试试我家的大虾</t>
        </is>
      </c>
      <c r="B1023" t="inlineStr">
        <is>
          <t>69115c820000000004013603</t>
        </is>
      </c>
      <c r="C1023" s="1022" t="n">
        <f>HYPERLINK("https://www.xiaohongshu.com/explore/69115c820000000004013603?xsec_token=TBrsrV1jnhRUA39f7gREfx-CYy7YvpUJRJgs-N3LJGr5A=&amp;xsec_source=pc_trdark","https://www.xiaohongshu.com/explore/69115c820000000004013603?xsec_token=TBrsrV1jnhRUA39f7gREfx-CYy7YvpUJRJgs-N3LJGr5A=&amp;xsec_source=pc_trdark")</f>
        <v>0.0</v>
      </c>
      <c r="D1023" t="inlineStr">
        <is>
          <t>鲜水湾</t>
        </is>
      </c>
      <c r="E1023" t="inlineStr">
        <is>
          <t>49316638994</t>
        </is>
      </c>
      <c r="F1023" t="inlineStr">
        <is>
          <t>2025-11-10 11:31:14</t>
        </is>
      </c>
      <c r="G1023" t="inlineStr">
        <is>
          <t>图文</t>
        </is>
      </c>
      <c r="H1023" t="inlineStr">
        <is>
          <t>大虾基围虾王牌大虾厄瓜多尔白虾盐冻虾仁海洋大虾送礼顺丰包邮</t>
        </is>
      </c>
      <c r="I1023" t="inlineStr">
        <is>
          <t>690aeb7be379430001e686ac</t>
        </is>
      </c>
      <c r="J1023" t="inlineStr">
        <is>
          <t/>
        </is>
      </c>
      <c r="K1023" t="n">
        <v>0.0</v>
      </c>
      <c r="L1023" t="n">
        <v>0.0</v>
      </c>
      <c r="M1023" t="n">
        <v>0.0</v>
      </c>
      <c r="N1023" t="inlineStr">
        <is>
          <t/>
        </is>
      </c>
      <c r="O1023" t="n">
        <v>0.0</v>
      </c>
      <c r="P1023" t="n">
        <v>0.0</v>
      </c>
      <c r="Q1023" t="inlineStr">
        <is>
          <t/>
        </is>
      </c>
      <c r="R1023" t="inlineStr">
        <is>
          <t/>
        </is>
      </c>
      <c r="S1023" t="n">
        <v>0.0</v>
      </c>
      <c r="T1023" t="n">
        <v>0.0</v>
      </c>
      <c r="U1023" t="n">
        <v>0.0</v>
      </c>
      <c r="V1023" t="n">
        <v>0.0</v>
      </c>
      <c r="W1023" t="inlineStr">
        <is>
          <t/>
        </is>
      </c>
      <c r="X1023" t="n">
        <v>0.0</v>
      </c>
      <c r="Y1023" t="n">
        <v>0.0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  <c r="AE1023" t="n">
        <v>0.0</v>
      </c>
      <c r="AF1023" t="n">
        <v>0.0</v>
      </c>
      <c r="AG1023" t="n">
        <v>0.0</v>
      </c>
      <c r="AH1023" t="n">
        <v>0.0</v>
      </c>
      <c r="AI1023" t="n">
        <v>0.0</v>
      </c>
      <c r="AJ1023" t="n">
        <v>0.0</v>
      </c>
      <c r="AK1023" t="inlineStr">
        <is>
          <t/>
        </is>
      </c>
      <c r="AL1023" t="inlineStr">
        <is>
          <t/>
        </is>
      </c>
    </row>
    <row r="1024">
      <c r="A1024" t="inlineStr">
        <is>
          <t>原以为不便宜，其实60多三斤大虾太过瘾！</t>
        </is>
      </c>
      <c r="B1024" t="inlineStr">
        <is>
          <t>6911558000000000040108e2</t>
        </is>
      </c>
      <c r="C1024" s="1023" t="n">
        <f>HYPERLINK("https://www.xiaohongshu.com/explore/6911558000000000040108e2?xsec_token=TBrsrV1jnhRUA39f7gREfx-FGlWHQ6Be4qbuClTbNxpnU=&amp;xsec_source=pc_trdark","https://www.xiaohongshu.com/explore/6911558000000000040108e2?xsec_token=TBrsrV1jnhRUA39f7gREfx-FGlWHQ6Be4qbuClTbNxpnU=&amp;xsec_source=pc_trdark")</f>
        <v>0.0</v>
      </c>
      <c r="D1024" t="inlineStr">
        <is>
          <t>鲜水湾</t>
        </is>
      </c>
      <c r="E1024" t="inlineStr">
        <is>
          <t>49316638994</t>
        </is>
      </c>
      <c r="F1024" t="inlineStr">
        <is>
          <t>2025-11-10 11:01:20</t>
        </is>
      </c>
      <c r="G1024" t="inlineStr">
        <is>
          <t>图文</t>
        </is>
      </c>
      <c r="H1024" t="inlineStr">
        <is>
          <t>大虾基围虾王牌大虾厄瓜多尔白虾盐冻虾仁海洋大虾送礼顺丰包邮</t>
        </is>
      </c>
      <c r="I1024" t="inlineStr">
        <is>
          <t>690aeb7be379430001e686ac</t>
        </is>
      </c>
      <c r="J1024" t="inlineStr">
        <is>
          <t/>
        </is>
      </c>
      <c r="K1024" t="n">
        <v>0.0</v>
      </c>
      <c r="L1024" t="n">
        <v>0.0</v>
      </c>
      <c r="M1024" t="n">
        <v>0.0</v>
      </c>
      <c r="N1024" t="inlineStr">
        <is>
          <t/>
        </is>
      </c>
      <c r="O1024" t="n">
        <v>0.0</v>
      </c>
      <c r="P1024" t="n">
        <v>0.0</v>
      </c>
      <c r="Q1024" t="inlineStr">
        <is>
          <t/>
        </is>
      </c>
      <c r="R1024" t="inlineStr">
        <is>
          <t/>
        </is>
      </c>
      <c r="S1024" t="n">
        <v>0.0</v>
      </c>
      <c r="T1024" t="n">
        <v>0.0</v>
      </c>
      <c r="U1024" t="n">
        <v>0.0</v>
      </c>
      <c r="V1024" t="n">
        <v>0.0</v>
      </c>
      <c r="W1024" t="inlineStr">
        <is>
          <t/>
        </is>
      </c>
      <c r="X1024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n">
        <v>0.0</v>
      </c>
      <c r="AI1024" t="n">
        <v>0.0</v>
      </c>
      <c r="AJ1024" t="n">
        <v>0.0</v>
      </c>
      <c r="AK1024" t="inlineStr">
        <is>
          <t/>
        </is>
      </c>
      <c r="AL1024" t="inlineStr">
        <is>
          <t/>
        </is>
      </c>
    </row>
    <row r="1025">
      <c r="A1025" t="inlineStr">
        <is>
          <t>别再说60💰几块不经花！这购买力绝了</t>
        </is>
      </c>
      <c r="B1025" t="inlineStr">
        <is>
          <t>69108c100000000005033662</t>
        </is>
      </c>
      <c r="C1025" s="1024" t="n">
        <f>HYPERLINK("https://www.xiaohongshu.com/explore/69108c100000000005033662?xsec_token=TBUjpd2w0LBMv9oJsd0xbTvDxNATomzkMcLkLP6lCwAbI=&amp;xsec_source=pc_trdark","https://www.xiaohongshu.com/explore/69108c100000000005033662?xsec_token=TBUjpd2w0LBMv9oJsd0xbTvDxNATomzkMcLkLP6lCwAbI=&amp;xsec_source=pc_trdark")</f>
        <v>0.0</v>
      </c>
      <c r="D1025" t="inlineStr">
        <is>
          <t>鲜水湾</t>
        </is>
      </c>
      <c r="E1025" t="inlineStr">
        <is>
          <t>49316638994</t>
        </is>
      </c>
      <c r="F1025" t="inlineStr">
        <is>
          <t>2025-11-09 20:41:52</t>
        </is>
      </c>
      <c r="G1025" t="inlineStr">
        <is>
          <t>图文</t>
        </is>
      </c>
      <c r="H1025" t="inlineStr">
        <is>
          <t>大虾基围虾王牌大虾厄瓜多尔白虾盐冻虾仁海洋大虾送礼顺丰包邮</t>
        </is>
      </c>
      <c r="I1025" t="inlineStr">
        <is>
          <t>690aeb7be379430001e686ac</t>
        </is>
      </c>
      <c r="J1025" t="inlineStr">
        <is>
          <t/>
        </is>
      </c>
      <c r="K1025" t="n">
        <v>0.0</v>
      </c>
      <c r="L1025" t="n">
        <v>0.0</v>
      </c>
      <c r="M1025" t="n">
        <v>0.0</v>
      </c>
      <c r="N1025" t="inlineStr">
        <is>
          <t/>
        </is>
      </c>
      <c r="O1025" t="n">
        <v>0.0</v>
      </c>
      <c r="P1025" t="n">
        <v>0.0</v>
      </c>
      <c r="Q1025" t="inlineStr">
        <is>
          <t/>
        </is>
      </c>
      <c r="R1025" t="inlineStr">
        <is>
          <t/>
        </is>
      </c>
      <c r="S1025" t="n">
        <v>0.0</v>
      </c>
      <c r="T1025" t="n">
        <v>0.0</v>
      </c>
      <c r="U1025" t="n">
        <v>0.0</v>
      </c>
      <c r="V1025" t="n">
        <v>0.0</v>
      </c>
      <c r="W1025" t="inlineStr">
        <is>
          <t/>
        </is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inlineStr">
        <is>
          <t/>
        </is>
      </c>
      <c r="AL1025" t="inlineStr">
        <is>
          <t/>
        </is>
      </c>
    </row>
    <row r="1026">
      <c r="A1026" t="inlineStr">
        <is>
          <t>60多块的购买力解决打工人十天的优质蛋白</t>
        </is>
      </c>
      <c r="B1026" t="inlineStr">
        <is>
          <t>690f64e500000000040016dd</t>
        </is>
      </c>
      <c r="C1026" s="1025" t="n">
        <f>HYPERLINK("https://www.xiaohongshu.com/explore/690f64e500000000040016dd?xsec_token=TBl1ZK_PAsBDZJiqFwt7hIYd0XsoKhBXGAE0V7Cj8yyHU=&amp;xsec_source=pc_trdark","https://www.xiaohongshu.com/explore/690f64e500000000040016dd?xsec_token=TBl1ZK_PAsBDZJiqFwt7hIYd0XsoKhBXGAE0V7Cj8yyHU=&amp;xsec_source=pc_trdark")</f>
        <v>0.0</v>
      </c>
      <c r="D1026" t="inlineStr">
        <is>
          <t>鲜水湾</t>
        </is>
      </c>
      <c r="E1026" t="inlineStr">
        <is>
          <t>49316638994</t>
        </is>
      </c>
      <c r="F1026" t="inlineStr">
        <is>
          <t>2025-11-08 23:42:29</t>
        </is>
      </c>
      <c r="G1026" t="inlineStr">
        <is>
          <t>图文</t>
        </is>
      </c>
      <c r="H1026" t="inlineStr">
        <is>
          <t>大虾基围虾王牌大虾厄瓜多尔白虾盐冻虾仁海洋大虾送礼顺丰包邮</t>
        </is>
      </c>
      <c r="I1026" t="inlineStr">
        <is>
          <t>690aeb7be379430001e686ac</t>
        </is>
      </c>
      <c r="J1026" t="inlineStr">
        <is>
          <t/>
        </is>
      </c>
      <c r="K1026" t="n">
        <v>0.0</v>
      </c>
      <c r="L1026" t="n">
        <v>0.0</v>
      </c>
      <c r="M1026" t="n">
        <v>0.0</v>
      </c>
      <c r="N1026" t="inlineStr">
        <is>
          <t/>
        </is>
      </c>
      <c r="O1026" t="n">
        <v>0.0</v>
      </c>
      <c r="P1026" t="n">
        <v>0.0</v>
      </c>
      <c r="Q1026" t="inlineStr">
        <is>
          <t/>
        </is>
      </c>
      <c r="R1026" t="inlineStr">
        <is>
          <t/>
        </is>
      </c>
      <c r="S1026" t="n">
        <v>0.0</v>
      </c>
      <c r="T1026" t="n">
        <v>0.0</v>
      </c>
      <c r="U1026" t="n">
        <v>0.0</v>
      </c>
      <c r="V1026" t="n">
        <v>0.0</v>
      </c>
      <c r="W1026" t="inlineStr">
        <is>
          <t/>
        </is>
      </c>
      <c r="X1026" t="n">
        <v>0.0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n">
        <v>0.0</v>
      </c>
      <c r="AI1026" t="n">
        <v>0.0</v>
      </c>
      <c r="AJ1026" t="n">
        <v>0.0</v>
      </c>
      <c r="AK1026" t="inlineStr">
        <is>
          <t/>
        </is>
      </c>
      <c r="AL1026" t="inlineStr">
        <is>
          <t/>
        </is>
      </c>
    </row>
    <row r="1027">
      <c r="A1027" t="inlineStr">
        <is>
          <t>60几块钱吃一周！减脂党狂喜😋</t>
        </is>
      </c>
      <c r="B1027" t="inlineStr">
        <is>
          <t>690eea290000000005010648</t>
        </is>
      </c>
      <c r="C1027" s="1026" t="n">
        <f>HYPERLINK("https://www.xiaohongshu.com/explore/690eea290000000005010648?xsec_token=TBJajQDaP2lymAuuRX7yQPUSNwrT9mYjhT3qSQpl_x9Kg=&amp;xsec_source=pc_trdark","https://www.xiaohongshu.com/explore/690eea290000000005010648?xsec_token=TBJajQDaP2lymAuuRX7yQPUSNwrT9mYjhT3qSQpl_x9Kg=&amp;xsec_source=pc_trdark")</f>
        <v>0.0</v>
      </c>
      <c r="D1027" t="inlineStr">
        <is>
          <t>鲜水湾</t>
        </is>
      </c>
      <c r="E1027" t="inlineStr">
        <is>
          <t>49316638994</t>
        </is>
      </c>
      <c r="F1027" t="inlineStr">
        <is>
          <t>2025-11-08 14:58:49</t>
        </is>
      </c>
      <c r="G1027" t="inlineStr">
        <is>
          <t>图文</t>
        </is>
      </c>
      <c r="H1027" t="inlineStr">
        <is>
          <t>大虾基围虾王牌大虾厄瓜多尔白虾盐冻虾仁海洋大虾送礼顺丰包邮</t>
        </is>
      </c>
      <c r="I1027" t="inlineStr">
        <is>
          <t>690aeb7be379430001e686ac</t>
        </is>
      </c>
      <c r="J1027" t="inlineStr">
        <is>
          <t/>
        </is>
      </c>
      <c r="K1027" t="n">
        <v>0.0</v>
      </c>
      <c r="L1027" t="n">
        <v>0.0</v>
      </c>
      <c r="M1027" t="n">
        <v>0.0</v>
      </c>
      <c r="N1027" t="inlineStr">
        <is>
          <t/>
        </is>
      </c>
      <c r="O1027" t="n">
        <v>0.0</v>
      </c>
      <c r="P1027" t="n">
        <v>0.0</v>
      </c>
      <c r="Q1027" t="inlineStr">
        <is>
          <t/>
        </is>
      </c>
      <c r="R1027" t="inlineStr">
        <is>
          <t/>
        </is>
      </c>
      <c r="S1027" t="n">
        <v>0.0</v>
      </c>
      <c r="T1027" t="n">
        <v>0.0</v>
      </c>
      <c r="U1027" t="n">
        <v>0.0</v>
      </c>
      <c r="V1027" t="n">
        <v>0.0</v>
      </c>
      <c r="W1027" t="inlineStr">
        <is>
          <t/>
        </is>
      </c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inlineStr">
        <is>
          <t/>
        </is>
      </c>
      <c r="AL1027" t="inlineStr">
        <is>
          <t/>
        </is>
      </c>
    </row>
    <row r="1028">
      <c r="A1028" t="inlineStr">
        <is>
          <t>自从碱脂买了这个大虾，一个月省好几百！</t>
        </is>
      </c>
      <c r="B1028" t="inlineStr">
        <is>
          <t>690eb4c9000000000400296d</t>
        </is>
      </c>
      <c r="C1028" s="1027" t="n">
        <f>HYPERLINK("https://www.xiaohongshu.com/explore/690eb4c9000000000400296d?xsec_token=TBJajQDaP2lymAuuRX7yQPUfW1lw6BlFGaaTlJss229QE=&amp;xsec_source=pc_trdark","https://www.xiaohongshu.com/explore/690eb4c9000000000400296d?xsec_token=TBJajQDaP2lymAuuRX7yQPUfW1lw6BlFGaaTlJss229QE=&amp;xsec_source=pc_trdark")</f>
        <v>0.0</v>
      </c>
      <c r="D1028" t="inlineStr">
        <is>
          <t>鲜水湾</t>
        </is>
      </c>
      <c r="E1028" t="inlineStr">
        <is>
          <t>49316638994</t>
        </is>
      </c>
      <c r="F1028" t="inlineStr">
        <is>
          <t>2025-11-08 11:11:05</t>
        </is>
      </c>
      <c r="G1028" t="inlineStr">
        <is>
          <t>图文</t>
        </is>
      </c>
      <c r="H1028" t="inlineStr">
        <is>
          <t>大虾基围虾王牌大虾厄瓜多尔白虾盐冻虾仁海洋大虾送礼顺丰包邮</t>
        </is>
      </c>
      <c r="I1028" t="inlineStr">
        <is>
          <t>690aeb7be379430001e686ac</t>
        </is>
      </c>
      <c r="J1028" t="inlineStr">
        <is>
          <t/>
        </is>
      </c>
      <c r="K1028" t="n">
        <v>0.0</v>
      </c>
      <c r="L1028" t="n">
        <v>0.0</v>
      </c>
      <c r="M1028" t="n">
        <v>0.0</v>
      </c>
      <c r="N1028" t="inlineStr">
        <is>
          <t/>
        </is>
      </c>
      <c r="O1028" t="n">
        <v>0.0</v>
      </c>
      <c r="P1028" t="n">
        <v>0.0</v>
      </c>
      <c r="Q1028" t="inlineStr">
        <is>
          <t/>
        </is>
      </c>
      <c r="R1028" t="inlineStr">
        <is>
          <t/>
        </is>
      </c>
      <c r="S1028" t="n">
        <v>0.0</v>
      </c>
      <c r="T1028" t="n">
        <v>0.0</v>
      </c>
      <c r="U1028" t="n">
        <v>0.0</v>
      </c>
      <c r="V1028" t="n">
        <v>0.0</v>
      </c>
      <c r="W1028" t="inlineStr">
        <is>
          <t/>
        </is>
      </c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0.0</v>
      </c>
      <c r="AK1028" t="inlineStr">
        <is>
          <t/>
        </is>
      </c>
      <c r="AL1028" t="inlineStr">
        <is>
          <t/>
        </is>
      </c>
    </row>
    <row r="1029">
      <c r="A1029" t="inlineStr">
        <is>
          <t>真的会谢🥲对60多块的购买力有了新概念</t>
        </is>
      </c>
      <c r="B1029" t="inlineStr">
        <is>
          <t>690e0de20000000007017008</t>
        </is>
      </c>
      <c r="C1029" s="1028" t="n">
        <f>HYPERLINK("https://www.xiaohongshu.com/explore/690e0de20000000007017008?xsec_token=TBJajQDaP2lymAuuRX7yQPUerY7FmGIH6-pDM1Bboe-O0=&amp;xsec_source=pc_trdark","https://www.xiaohongshu.com/explore/690e0de20000000007017008?xsec_token=TBJajQDaP2lymAuuRX7yQPUerY7FmGIH6-pDM1Bboe-O0=&amp;xsec_source=pc_trdark")</f>
        <v>0.0</v>
      </c>
      <c r="D1029" t="inlineStr">
        <is>
          <t>鲜水湾甄选</t>
        </is>
      </c>
      <c r="E1029" t="inlineStr">
        <is>
          <t>27401929161</t>
        </is>
      </c>
      <c r="F1029" t="inlineStr">
        <is>
          <t>2025-11-07 23:18:58</t>
        </is>
      </c>
      <c r="G1029" t="inlineStr">
        <is>
          <t>图文</t>
        </is>
      </c>
      <c r="H1029" t="inlineStr">
        <is>
          <t>大虾基围虾王牌大虾厄瓜多尔白虾盐冻虾仁海洋大虾送礼顺丰包邮</t>
        </is>
      </c>
      <c r="I1029" t="inlineStr">
        <is>
          <t>690aeb7be379430001e686ac</t>
        </is>
      </c>
      <c r="J1029" t="inlineStr">
        <is>
          <t/>
        </is>
      </c>
      <c r="K1029" t="n">
        <v>0.0</v>
      </c>
      <c r="L1029" t="n">
        <v>0.0</v>
      </c>
      <c r="M1029" t="n">
        <v>0.0</v>
      </c>
      <c r="N1029" t="inlineStr">
        <is>
          <t/>
        </is>
      </c>
      <c r="O1029" t="n">
        <v>0.0</v>
      </c>
      <c r="P1029" t="n">
        <v>0.0</v>
      </c>
      <c r="Q1029" t="inlineStr">
        <is>
          <t/>
        </is>
      </c>
      <c r="R1029" t="inlineStr">
        <is>
          <t/>
        </is>
      </c>
      <c r="S1029" t="n">
        <v>0.0</v>
      </c>
      <c r="T1029" t="n">
        <v>0.0</v>
      </c>
      <c r="U1029" t="n">
        <v>0.0</v>
      </c>
      <c r="V1029" t="n">
        <v>0.0</v>
      </c>
      <c r="W1029" t="inlineStr">
        <is>
          <t/>
        </is>
      </c>
      <c r="X1029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n">
        <v>0.0</v>
      </c>
      <c r="AI1029" t="n">
        <v>0.0</v>
      </c>
      <c r="AJ1029" t="n">
        <v>0.0</v>
      </c>
      <c r="AK1029" t="inlineStr">
        <is>
          <t/>
        </is>
      </c>
      <c r="AL1029" t="inlineStr">
        <is>
          <t/>
        </is>
      </c>
    </row>
    <row r="1030">
      <c r="A1030" t="inlineStr">
        <is>
          <t>70块💰承包半月夜宵，这虾比泡面还值！</t>
        </is>
      </c>
      <c r="B1030" t="inlineStr">
        <is>
          <t>690e0ba400000000040036d1</t>
        </is>
      </c>
      <c r="C1030" s="1029" t="n">
        <f>HYPERLINK("https://www.xiaohongshu.com/explore/690e0ba400000000040036d1?xsec_token=TBJajQDaP2lymAuuRX7yQPUY3VOC-tszq6XPdiMtwpfcs=&amp;xsec_source=pc_trdark","https://www.xiaohongshu.com/explore/690e0ba400000000040036d1?xsec_token=TBJajQDaP2lymAuuRX7yQPUY3VOC-tszq6XPdiMtwpfcs=&amp;xsec_source=pc_trdark")</f>
        <v>0.0</v>
      </c>
      <c r="D1030" t="inlineStr">
        <is>
          <t>鲜水湾</t>
        </is>
      </c>
      <c r="E1030" t="inlineStr">
        <is>
          <t>49316638994</t>
        </is>
      </c>
      <c r="F1030" t="inlineStr">
        <is>
          <t>2025-11-07 23:09:24</t>
        </is>
      </c>
      <c r="G1030" t="inlineStr">
        <is>
          <t>图文</t>
        </is>
      </c>
      <c r="H1030" t="inlineStr">
        <is>
          <t>大虾基围虾王牌大虾厄瓜多尔白虾盐冻虾仁海洋大虾送礼顺丰包邮</t>
        </is>
      </c>
      <c r="I1030" t="inlineStr">
        <is>
          <t>690aeb7be379430001e686ac</t>
        </is>
      </c>
      <c r="J1030" t="inlineStr">
        <is>
          <t/>
        </is>
      </c>
      <c r="K1030" t="n">
        <v>0.0</v>
      </c>
      <c r="L1030" t="n">
        <v>0.0</v>
      </c>
      <c r="M1030" t="n">
        <v>0.0</v>
      </c>
      <c r="N1030" t="inlineStr">
        <is>
          <t/>
        </is>
      </c>
      <c r="O1030" t="n">
        <v>0.0</v>
      </c>
      <c r="P1030" t="n">
        <v>0.0</v>
      </c>
      <c r="Q1030" t="inlineStr">
        <is>
          <t/>
        </is>
      </c>
      <c r="R1030" t="inlineStr">
        <is>
          <t/>
        </is>
      </c>
      <c r="S1030" t="n">
        <v>0.0</v>
      </c>
      <c r="T1030" t="n">
        <v>0.0</v>
      </c>
      <c r="U1030" t="n">
        <v>0.0</v>
      </c>
      <c r="V1030" t="n">
        <v>0.0</v>
      </c>
      <c r="W1030" t="inlineStr">
        <is>
          <t/>
        </is>
      </c>
      <c r="X1030" t="n">
        <v>0.0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0.0</v>
      </c>
      <c r="AG1030" t="n">
        <v>0.0</v>
      </c>
      <c r="AH1030" t="n">
        <v>0.0</v>
      </c>
      <c r="AI1030" t="n">
        <v>0.0</v>
      </c>
      <c r="AJ1030" t="n">
        <v>0.0</v>
      </c>
      <c r="AK1030" t="inlineStr">
        <is>
          <t/>
        </is>
      </c>
      <c r="AL1030" t="inlineStr">
        <is>
          <t/>
        </is>
      </c>
    </row>
    <row r="1031">
      <c r="A1031" t="inlineStr">
        <is>
          <t>这一口含金量谁懂🥹🥹🥹</t>
        </is>
      </c>
      <c r="B1031" t="inlineStr">
        <is>
          <t>690d96940000000004011cda</t>
        </is>
      </c>
      <c r="C1031" s="1030" t="n">
        <f>HYPERLINK("https://www.xiaohongshu.com/explore/690d96940000000004011cda?xsec_token=TBD_zEgNllAsWvESEGX2jOczHcUOImRfQZszSUQd6aLQc=&amp;xsec_source=pc_trdark","https://www.xiaohongshu.com/explore/690d96940000000004011cda?xsec_token=TBD_zEgNllAsWvESEGX2jOczHcUOImRfQZszSUQd6aLQc=&amp;xsec_source=pc_trdark")</f>
        <v>0.0</v>
      </c>
      <c r="D1031" t="inlineStr">
        <is>
          <t>婉婉上班吃什么</t>
        </is>
      </c>
      <c r="E1031" t="inlineStr">
        <is>
          <t>11434449706</t>
        </is>
      </c>
      <c r="F1031" t="inlineStr">
        <is>
          <t>2025-11-07 14:49:56</t>
        </is>
      </c>
      <c r="G1031" t="inlineStr">
        <is>
          <t>视频</t>
        </is>
      </c>
      <c r="H1031" t="inlineStr">
        <is>
          <t>生蚝乳山生蚝海蛎子顺丰包邮</t>
        </is>
      </c>
      <c r="I1031" t="inlineStr">
        <is>
          <t>690c70971b787900010866cc</t>
        </is>
      </c>
      <c r="J1031" t="n">
        <v>36.0</v>
      </c>
      <c r="K1031" t="n">
        <v>0.0</v>
      </c>
      <c r="L1031" t="n">
        <v>0.0</v>
      </c>
      <c r="M1031" t="n">
        <v>0.0</v>
      </c>
      <c r="N1031" t="inlineStr">
        <is>
          <t/>
        </is>
      </c>
      <c r="O1031" t="n">
        <v>0.0</v>
      </c>
      <c r="P1031" t="n">
        <v>0.0</v>
      </c>
      <c r="Q1031" t="inlineStr">
        <is>
          <t/>
        </is>
      </c>
      <c r="R1031" t="inlineStr">
        <is>
          <t/>
        </is>
      </c>
      <c r="S1031" t="n">
        <v>0.0</v>
      </c>
      <c r="T1031" t="n">
        <v>0.0</v>
      </c>
      <c r="U1031" t="n">
        <v>0.0</v>
      </c>
      <c r="V1031" t="n">
        <v>0.0</v>
      </c>
      <c r="W1031" t="inlineStr">
        <is>
          <t/>
        </is>
      </c>
      <c r="X1031" t="n">
        <v>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n">
        <v>0.0</v>
      </c>
      <c r="AI1031" t="n">
        <v>0.0</v>
      </c>
      <c r="AJ1031" t="n">
        <v>0.0</v>
      </c>
      <c r="AK1031" t="inlineStr">
        <is>
          <t/>
        </is>
      </c>
      <c r="AL1031" t="inlineStr">
        <is>
          <t/>
        </is>
      </c>
    </row>
    <row r="1032">
      <c r="A1032" t="inlineStr">
        <is>
          <t>低估60多块的购买力了，不到1r💰1只</t>
        </is>
      </c>
      <c r="B1032" t="inlineStr">
        <is>
          <t>690d87950000000004028206</t>
        </is>
      </c>
      <c r="C1032" s="1031" t="n">
        <f>HYPERLINK("https://www.xiaohongshu.com/explore/690d87950000000004028206?xsec_token=TBD_zEgNllAsWvESEGX2jOc95H7mvkGIKTjG-blduADj0=&amp;xsec_source=pc_trdark","https://www.xiaohongshu.com/explore/690d87950000000004028206?xsec_token=TBD_zEgNllAsWvESEGX2jOc95H7mvkGIKTjG-blduADj0=&amp;xsec_source=pc_trdark")</f>
        <v>0.0</v>
      </c>
      <c r="D1032" t="inlineStr">
        <is>
          <t>鲜水湾</t>
        </is>
      </c>
      <c r="E1032" t="inlineStr">
        <is>
          <t>49316638994</t>
        </is>
      </c>
      <c r="F1032" t="inlineStr">
        <is>
          <t>2025-11-07 13:45:57</t>
        </is>
      </c>
      <c r="G1032" t="inlineStr">
        <is>
          <t>图文</t>
        </is>
      </c>
      <c r="H1032" t="inlineStr">
        <is>
          <t>大虾基围虾王牌大虾厄瓜多尔白虾盐冻虾仁海洋大虾送礼顺丰包邮</t>
        </is>
      </c>
      <c r="I1032" t="inlineStr">
        <is>
          <t>690aeb7be379430001e686ac</t>
        </is>
      </c>
      <c r="J1032" t="inlineStr">
        <is>
          <t/>
        </is>
      </c>
      <c r="K1032" t="n">
        <v>0.0</v>
      </c>
      <c r="L1032" t="n">
        <v>0.0</v>
      </c>
      <c r="M1032" t="n">
        <v>0.0</v>
      </c>
      <c r="N1032" t="inlineStr">
        <is>
          <t/>
        </is>
      </c>
      <c r="O1032" t="n">
        <v>0.0</v>
      </c>
      <c r="P1032" t="n">
        <v>0.0</v>
      </c>
      <c r="Q1032" t="inlineStr">
        <is>
          <t/>
        </is>
      </c>
      <c r="R1032" t="inlineStr">
        <is>
          <t/>
        </is>
      </c>
      <c r="S1032" t="n">
        <v>0.0</v>
      </c>
      <c r="T1032" t="n">
        <v>0.0</v>
      </c>
      <c r="U1032" t="n">
        <v>0.0</v>
      </c>
      <c r="V1032" t="n">
        <v>0.0</v>
      </c>
      <c r="W1032" t="inlineStr">
        <is>
          <t/>
        </is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inlineStr">
        <is>
          <t/>
        </is>
      </c>
      <c r="AL1032" t="inlineStr">
        <is>
          <t/>
        </is>
      </c>
    </row>
    <row r="1033">
      <c r="A1033" t="inlineStr">
        <is>
          <t>以为60💰很贵，结果够我一周减脂餐了！</t>
        </is>
      </c>
      <c r="B1033" t="inlineStr">
        <is>
          <t>690d7e7d000000000700a650</t>
        </is>
      </c>
      <c r="C1033" s="1032" t="n">
        <f>HYPERLINK("https://www.xiaohongshu.com/explore/690d7e7d000000000700a650?xsec_token=TBD_zEgNllAsWvESEGX2jOc5UOMulaKQRz13FJ0B_8hhU=&amp;xsec_source=pc_trdark","https://www.xiaohongshu.com/explore/690d7e7d000000000700a650?xsec_token=TBD_zEgNllAsWvESEGX2jOc5UOMulaKQRz13FJ0B_8hhU=&amp;xsec_source=pc_trdark")</f>
        <v>0.0</v>
      </c>
      <c r="D1033" t="inlineStr">
        <is>
          <t>鲜水湾甄选</t>
        </is>
      </c>
      <c r="E1033" t="inlineStr">
        <is>
          <t>27401929161</t>
        </is>
      </c>
      <c r="F1033" t="inlineStr">
        <is>
          <t>2025-11-07 13:07:09</t>
        </is>
      </c>
      <c r="G1033" t="inlineStr">
        <is>
          <t>图文</t>
        </is>
      </c>
      <c r="H1033" t="inlineStr">
        <is>
          <t>大虾基围虾王牌大虾厄瓜多尔白虾盐冻虾仁海洋大虾送礼顺丰包邮</t>
        </is>
      </c>
      <c r="I1033" t="inlineStr">
        <is>
          <t>690aeb7be379430001e686ac</t>
        </is>
      </c>
      <c r="J1033" t="inlineStr">
        <is>
          <t/>
        </is>
      </c>
      <c r="K1033" t="n">
        <v>0.0</v>
      </c>
      <c r="L1033" t="n">
        <v>0.0</v>
      </c>
      <c r="M1033" t="n">
        <v>0.0</v>
      </c>
      <c r="N1033" t="inlineStr">
        <is>
          <t/>
        </is>
      </c>
      <c r="O1033" t="n">
        <v>0.0</v>
      </c>
      <c r="P1033" t="n">
        <v>0.0</v>
      </c>
      <c r="Q1033" t="inlineStr">
        <is>
          <t/>
        </is>
      </c>
      <c r="R1033" t="inlineStr">
        <is>
          <t/>
        </is>
      </c>
      <c r="S1033" t="n">
        <v>0.0</v>
      </c>
      <c r="T1033" t="n">
        <v>0.0</v>
      </c>
      <c r="U1033" t="n">
        <v>0.0</v>
      </c>
      <c r="V1033" t="n">
        <v>0.0</v>
      </c>
      <c r="W1033" t="inlineStr">
        <is>
          <t/>
        </is>
      </c>
      <c r="X1033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0.0</v>
      </c>
      <c r="AG1033" t="n">
        <v>0.0</v>
      </c>
      <c r="AH1033" t="n">
        <v>0.0</v>
      </c>
      <c r="AI1033" t="n">
        <v>0.0</v>
      </c>
      <c r="AJ1033" t="n">
        <v>0.0</v>
      </c>
      <c r="AK1033" t="inlineStr">
        <is>
          <t/>
        </is>
      </c>
      <c r="AL10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2026-08-22T09:40:04Z</dcterms:created>
  <dc:creator>Apache POI</dc:creator>
</cp:coreProperties>
</file>