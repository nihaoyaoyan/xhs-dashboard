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6年03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50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其实，300块能吃一个月的三文鱼😎</t>
        </is>
      </c>
      <c r="B2" t="inlineStr">
        <is>
          <t>69456f51000000001f006a7b</t>
        </is>
      </c>
      <c r="C2" s="1" t="n">
        <f>HYPERLINK("https://www.xiaohongshu.com/explore/69456f51000000001f006a7b?xsec_token=TB7p1vWXvB33zoX2lon7HfpbhaeUpox4g5KLr6HjX1WtA=&amp;xsec_source=pc_trdark","https://www.xiaohongshu.com/explore/69456f51000000001f006a7b?xsec_token=TB7p1vWXvB33zoX2lon7HfpbhaeUpox4g5KLr6HjX1WtA=&amp;xsec_source=pc_trdark")</f>
        <v>0.0</v>
      </c>
      <c r="D2" t="inlineStr">
        <is>
          <t>鲜水湾</t>
        </is>
      </c>
      <c r="E2" t="inlineStr">
        <is>
          <t>49316638994</t>
        </is>
      </c>
      <c r="F2" t="inlineStr">
        <is>
          <t>2025-12-19 23:29:21</t>
        </is>
      </c>
      <c r="G2" t="inlineStr">
        <is>
          <t>图文</t>
        </is>
      </c>
      <c r="H2" t="inlineStr">
        <is>
          <t>智利三文鱼切块·整条三文鱼·深海鱼一人食健康饮食</t>
        </is>
      </c>
      <c r="I2" t="inlineStr">
        <is>
          <t>691ac562a524ee0001b51d7b</t>
        </is>
      </c>
      <c r="J2" t="inlineStr">
        <is>
          <t/>
        </is>
      </c>
      <c r="K2" t="n">
        <v>2188.0</v>
      </c>
      <c r="L2" t="n">
        <v>18.0</v>
      </c>
      <c r="M2" t="n">
        <v>614.0</v>
      </c>
      <c r="N2" t="n">
        <v>0.1848284166164961</v>
      </c>
      <c r="O2" t="n">
        <v>553.0</v>
      </c>
      <c r="P2" t="n">
        <v>18.0</v>
      </c>
      <c r="Q2" t="inlineStr">
        <is>
          <t>0.029315960912052116</t>
        </is>
      </c>
      <c r="R2" t="n">
        <v>0.0325497287522604</v>
      </c>
      <c r="S2" t="n">
        <v>363.0</v>
      </c>
      <c r="T2" t="n">
        <v>1.0</v>
      </c>
      <c r="U2" t="n">
        <v>1.0</v>
      </c>
      <c r="V2" t="n">
        <v>363.0</v>
      </c>
      <c r="W2" t="inlineStr">
        <is>
          <t>0.16590493601462522</t>
        </is>
      </c>
      <c r="X2" t="n">
        <v>1.0</v>
      </c>
      <c r="Y2" t="n">
        <v>112.0</v>
      </c>
      <c r="Z2" t="n">
        <v>131.0</v>
      </c>
      <c r="AA2" t="n">
        <v>0.0</v>
      </c>
      <c r="AB2" t="n">
        <v>0.0</v>
      </c>
      <c r="AC2" t="n">
        <v>0.0</v>
      </c>
      <c r="AD2" t="n">
        <v>3322.0</v>
      </c>
      <c r="AE2" t="n">
        <v>17.0</v>
      </c>
      <c r="AF2" t="n">
        <v>14.0</v>
      </c>
      <c r="AG2" t="n">
        <v>16.0</v>
      </c>
      <c r="AH2" t="n">
        <v>6.0</v>
      </c>
      <c r="AI2" t="n">
        <v>4.0</v>
      </c>
      <c r="AJ2" t="n">
        <v>0.0</v>
      </c>
      <c r="AK2" t="n">
        <v>13.380794701986755</v>
      </c>
      <c r="AL2" t="inlineStr">
        <is>
          <t/>
        </is>
      </c>
    </row>
    <row r="3">
      <c r="A3" t="inlineStr">
        <is>
          <t>不夸张！我家孕妇一直回购的乳山生蚝！巨解馋</t>
        </is>
      </c>
      <c r="B3" t="inlineStr">
        <is>
          <t>699fe81c0000000028023446</t>
        </is>
      </c>
      <c r="C3" s="2" t="n">
        <f>HYPERLINK("https://www.xiaohongshu.com/explore/699fe81c0000000028023446?xsec_token=TBmPrNsEp7sytnt8BzCMtNTeKXCkU6zNrBHiBe3I-p5Nw=&amp;xsec_source=pc_trdark","https://www.xiaohongshu.com/explore/699fe81c0000000028023446?xsec_token=TBmPrNsEp7sytnt8BzCMtNTeKXCkU6zNrBHiBe3I-p5Nw=&amp;xsec_source=pc_trdark")</f>
        <v>0.0</v>
      </c>
      <c r="D3" t="inlineStr">
        <is>
          <t>婉婉上班吃什么</t>
        </is>
      </c>
      <c r="E3" t="inlineStr">
        <is>
          <t>11434449706</t>
        </is>
      </c>
      <c r="F3" t="inlineStr">
        <is>
          <t>2026-02-26 14:28:44</t>
        </is>
      </c>
      <c r="G3" t="inlineStr">
        <is>
          <t>图文</t>
        </is>
      </c>
      <c r="H3" t="inlineStr">
        <is>
          <t>生蚝乳山生蚝海蛎子顺丰包邮</t>
        </is>
      </c>
      <c r="I3" t="inlineStr">
        <is>
          <t>690c70971b787900010866cc</t>
        </is>
      </c>
      <c r="J3" t="inlineStr">
        <is>
          <t/>
        </is>
      </c>
      <c r="K3" t="n">
        <v>379.6</v>
      </c>
      <c r="L3" t="n">
        <v>4.0</v>
      </c>
      <c r="M3" t="n">
        <v>97.0</v>
      </c>
      <c r="N3" t="inlineStr">
        <is>
          <t>0.056592765460910154</t>
        </is>
      </c>
      <c r="O3" t="n">
        <v>87.0</v>
      </c>
      <c r="P3" t="n">
        <v>4.0</v>
      </c>
      <c r="Q3" t="inlineStr">
        <is>
          <t>0.041237113402061855</t>
        </is>
      </c>
      <c r="R3" t="inlineStr">
        <is>
          <t>0.04597701149425287</t>
        </is>
      </c>
      <c r="S3" t="n">
        <v>59.9</v>
      </c>
      <c r="T3" t="n">
        <v>1.0</v>
      </c>
      <c r="U3" t="n">
        <v>1.0</v>
      </c>
      <c r="V3" t="n">
        <v>59.9</v>
      </c>
      <c r="W3" t="n">
        <v>0.1577976817702845</v>
      </c>
      <c r="X3" t="n">
        <v>1.0</v>
      </c>
      <c r="Y3" t="n">
        <v>8.0</v>
      </c>
      <c r="Z3" t="n">
        <v>37.0</v>
      </c>
      <c r="AA3" t="n">
        <v>0.0</v>
      </c>
      <c r="AB3" t="n">
        <v>0.0</v>
      </c>
      <c r="AC3" t="n">
        <v>0.0</v>
      </c>
      <c r="AD3" t="n">
        <v>1714.0</v>
      </c>
      <c r="AE3" t="n">
        <v>5.0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9.152275379229872</v>
      </c>
      <c r="AL3" t="inlineStr">
        <is>
          <t/>
        </is>
      </c>
    </row>
    <row r="4">
      <c r="A4" t="inlineStr">
        <is>
          <t>这么大的生蚝你能吃几个？</t>
        </is>
      </c>
      <c r="B4" t="inlineStr">
        <is>
          <t>6923f964000000001e027c8f</t>
        </is>
      </c>
      <c r="C4" s="3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2025-11-24 14:21:24</t>
        </is>
      </c>
      <c r="G4" t="inlineStr">
        <is>
          <t>视频</t>
        </is>
      </c>
      <c r="H4" t="inlineStr">
        <is>
          <t>生蚝乳山生蚝海蛎子顺丰包邮</t>
        </is>
      </c>
      <c r="I4" t="inlineStr">
        <is>
          <t>690c70971b787900010866cc</t>
        </is>
      </c>
      <c r="J4" t="n">
        <v>16.0</v>
      </c>
      <c r="K4" t="n">
        <v>0.0</v>
      </c>
      <c r="L4" t="n">
        <v>0.0</v>
      </c>
      <c r="M4" t="n">
        <v>12.0</v>
      </c>
      <c r="N4" t="inlineStr">
        <is>
          <t>0.008333333333333333</t>
        </is>
      </c>
      <c r="O4" t="n">
        <v>12.0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inlineStr">
        <is>
          <t/>
        </is>
      </c>
      <c r="X4" t="n">
        <v>0.0</v>
      </c>
      <c r="Y4" t="n">
        <v>0.0</v>
      </c>
      <c r="Z4" t="n">
        <v>15.0</v>
      </c>
      <c r="AA4" t="n">
        <v>0.0</v>
      </c>
      <c r="AB4" t="n">
        <v>0.0</v>
      </c>
      <c r="AC4" t="n">
        <v>0.0</v>
      </c>
      <c r="AD4" t="n">
        <v>1440.0</v>
      </c>
      <c r="AE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10.395138888888889</v>
      </c>
      <c r="AL4" t="inlineStr">
        <is>
          <t>0.26301518438177873</t>
        </is>
      </c>
    </row>
    <row r="5">
      <c r="A5" t="inlineStr">
        <is>
          <t>买回来的生蚝你就这样做，巨好吃😋</t>
        </is>
      </c>
      <c r="B5" t="inlineStr">
        <is>
          <t>6953c1ef000000001f00d45c</t>
        </is>
      </c>
      <c r="C5" s="4" t="n">
        <f>HYPERLINK("https://www.xiaohongshu.com/explore/6953c1ef000000001f00d45c?xsec_token=TBmzMOJ_zly84G2ZjeUVNrpfWnor3sDEbGcCZUVnr-0yY=&amp;xsec_source=pc_trdark","https://www.xiaohongshu.com/explore/6953c1ef000000001f00d45c?xsec_token=TBmzMOJ_zly84G2ZjeUVNrpfWnor3sDEbGcCZUVnr-0yY=&amp;xsec_source=pc_trdark")</f>
        <v>0.0</v>
      </c>
      <c r="D5" t="inlineStr">
        <is>
          <t>婉婉上班吃什么</t>
        </is>
      </c>
      <c r="E5" t="inlineStr">
        <is>
          <t>11434449706</t>
        </is>
      </c>
      <c r="F5" t="inlineStr">
        <is>
          <t>2025-12-30 20:13:36</t>
        </is>
      </c>
      <c r="G5" t="inlineStr">
        <is>
          <t>视频</t>
        </is>
      </c>
      <c r="H5" t="inlineStr">
        <is>
          <t>生蚝乳山生蚝海蛎子顺丰包邮</t>
        </is>
      </c>
      <c r="I5" t="inlineStr">
        <is>
          <t>690c70971b787900010866cc</t>
        </is>
      </c>
      <c r="J5" t="n">
        <v>55.0</v>
      </c>
      <c r="K5" t="n">
        <v>0.0</v>
      </c>
      <c r="L5" t="n">
        <v>0.0</v>
      </c>
      <c r="M5" t="n">
        <v>18.0</v>
      </c>
      <c r="N5" t="inlineStr">
        <is>
          <t>0.015985790408525755</t>
        </is>
      </c>
      <c r="O5" t="n">
        <v>15.0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inlineStr">
        <is>
          <t/>
        </is>
      </c>
      <c r="X5" t="n">
        <v>0.0</v>
      </c>
      <c r="Y5" t="n">
        <v>0.0</v>
      </c>
      <c r="Z5" t="n">
        <v>3.0</v>
      </c>
      <c r="AA5" t="n">
        <v>0.0</v>
      </c>
      <c r="AB5" t="n">
        <v>0.0</v>
      </c>
      <c r="AC5" t="n">
        <v>0.0</v>
      </c>
      <c r="AD5" t="n">
        <v>1126.0</v>
      </c>
      <c r="AE5" t="n">
        <v>6.0</v>
      </c>
      <c r="AF5" t="n">
        <v>2.0</v>
      </c>
      <c r="AG5" t="n">
        <v>0.0</v>
      </c>
      <c r="AH5" t="n">
        <v>7.0</v>
      </c>
      <c r="AI5" t="n">
        <v>3.0</v>
      </c>
      <c r="AJ5" t="n">
        <v>0.0</v>
      </c>
      <c r="AK5" t="n">
        <v>39.88721136767318</v>
      </c>
      <c r="AL5" t="inlineStr">
        <is>
          <t>0.28153564899451555</t>
        </is>
      </c>
    </row>
    <row r="6">
      <c r="A6" t="inlineStr">
        <is>
          <t>又到吃生蚝的季节了！🔥</t>
        </is>
      </c>
      <c r="B6" t="inlineStr">
        <is>
          <t>691090c7000000000503163c</t>
        </is>
      </c>
      <c r="C6" s="5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6" t="inlineStr">
        <is>
          <t>婉婉上班吃什么</t>
        </is>
      </c>
      <c r="E6" t="inlineStr">
        <is>
          <t>11434449706</t>
        </is>
      </c>
      <c r="F6" t="inlineStr">
        <is>
          <t>2025-11-09 21:01:59</t>
        </is>
      </c>
      <c r="G6" t="inlineStr">
        <is>
          <t>视频</t>
        </is>
      </c>
      <c r="H6" t="inlineStr">
        <is>
          <t>生蚝乳山生蚝海蛎子顺丰包邮</t>
        </is>
      </c>
      <c r="I6" t="inlineStr">
        <is>
          <t>690c70971b787900010866cc</t>
        </is>
      </c>
      <c r="J6" t="n">
        <v>95.0</v>
      </c>
      <c r="K6" t="n">
        <v>0.0</v>
      </c>
      <c r="L6" t="n">
        <v>0.0</v>
      </c>
      <c r="M6" t="n">
        <v>36.0</v>
      </c>
      <c r="N6" t="inlineStr">
        <is>
          <t>0.03383458646616541</t>
        </is>
      </c>
      <c r="O6" t="n">
        <v>33.0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inlineStr">
        <is>
          <t/>
        </is>
      </c>
      <c r="X6" t="n">
        <v>0.0</v>
      </c>
      <c r="Y6" t="n">
        <v>4.0</v>
      </c>
      <c r="Z6" t="n">
        <v>12.0</v>
      </c>
      <c r="AA6" t="n">
        <v>0.0</v>
      </c>
      <c r="AB6" t="n">
        <v>0.0</v>
      </c>
      <c r="AC6" t="n">
        <v>0.0</v>
      </c>
      <c r="AD6" t="n">
        <v>1064.0</v>
      </c>
      <c r="AE6" t="n">
        <v>5.0</v>
      </c>
      <c r="AF6" t="n">
        <v>1.0</v>
      </c>
      <c r="AG6" t="n">
        <v>1.0</v>
      </c>
      <c r="AH6" t="n">
        <v>0.0</v>
      </c>
      <c r="AI6" t="n">
        <v>1.0</v>
      </c>
      <c r="AJ6" t="n">
        <v>0.0</v>
      </c>
      <c r="AK6" t="n">
        <v>17.112781954887218</v>
      </c>
      <c r="AL6" t="inlineStr">
        <is>
          <t>0.049910873440285206</t>
        </is>
      </c>
    </row>
    <row r="7">
      <c r="A7" t="inlineStr">
        <is>
          <t>说一个撑死人但热量很低的东西</t>
        </is>
      </c>
      <c r="B7" t="inlineStr">
        <is>
          <t>69b52200000000001f004cb6</t>
        </is>
      </c>
      <c r="C7" s="6" t="n">
        <f>HYPERLINK("https://www.xiaohongshu.com/explore/69b52200000000001f004cb6?xsec_token=TBYgTJ9EzKmyKny4Vfc-tHE_34MvcIgicVzQ80fbRormE=&amp;xsec_source=pc_trdark","https://www.xiaohongshu.com/explore/69b52200000000001f004cb6?xsec_token=TBYgTJ9EzKmyKny4Vfc-tHE_34MvcIgicVzQ80fbRormE=&amp;xsec_source=pc_trdark")</f>
        <v>0.0</v>
      </c>
      <c r="D7" t="inlineStr">
        <is>
          <t>婉婉上班吃什么</t>
        </is>
      </c>
      <c r="E7" t="inlineStr">
        <is>
          <t>11434449706</t>
        </is>
      </c>
      <c r="F7" t="inlineStr">
        <is>
          <t>2026-03-14 16:53:20</t>
        </is>
      </c>
      <c r="G7" t="inlineStr">
        <is>
          <t>图文</t>
        </is>
      </c>
      <c r="H7" t="inlineStr">
        <is>
          <t>手剥虾仁 无冰衣无添加 低脂餐一人食 上班带饭 顺丰包邮 5盒装</t>
        </is>
      </c>
      <c r="I7" t="inlineStr">
        <is>
          <t>694baba01d450d00013662f0</t>
        </is>
      </c>
      <c r="J7" t="inlineStr">
        <is>
          <t/>
        </is>
      </c>
      <c r="K7" t="n">
        <v>404.0</v>
      </c>
      <c r="L7" t="n">
        <v>5.0</v>
      </c>
      <c r="M7" t="n">
        <v>50.0</v>
      </c>
      <c r="N7" t="inlineStr">
        <is>
          <t>0.06756756756756757</t>
        </is>
      </c>
      <c r="O7" t="n">
        <v>37.0</v>
      </c>
      <c r="P7" t="n">
        <v>5.0</v>
      </c>
      <c r="Q7" t="n">
        <v>0.1</v>
      </c>
      <c r="R7" t="inlineStr">
        <is>
          <t>0.13513513513513514</t>
        </is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8.0</v>
      </c>
      <c r="Z7" t="n">
        <v>16.0</v>
      </c>
      <c r="AA7" t="n">
        <v>0.0</v>
      </c>
      <c r="AB7" t="n">
        <v>0.0</v>
      </c>
      <c r="AC7" t="n">
        <v>0.0</v>
      </c>
      <c r="AD7" t="n">
        <v>740.0</v>
      </c>
      <c r="AE7" t="n">
        <v>56.0</v>
      </c>
      <c r="AF7" t="n">
        <v>11.0</v>
      </c>
      <c r="AG7" t="n">
        <v>10.0</v>
      </c>
      <c r="AH7" t="n">
        <v>5.0</v>
      </c>
      <c r="AI7" t="n">
        <v>1.0</v>
      </c>
      <c r="AJ7" t="n">
        <v>0.0</v>
      </c>
      <c r="AK7" t="n">
        <v>10.174324324324324</v>
      </c>
      <c r="AL7" t="inlineStr">
        <is>
          <t/>
        </is>
      </c>
    </row>
    <row r="8">
      <c r="A8" t="inlineStr">
        <is>
          <t>才69一盒？还发顺丰！很难不买单</t>
        </is>
      </c>
      <c r="B8" t="inlineStr">
        <is>
          <t>698ae027000000000e03cef2</t>
        </is>
      </c>
      <c r="C8" s="7" t="n">
        <f>HYPERLINK("https://www.xiaohongshu.com/explore/698ae027000000000e03cef2?xsec_token=TBG0mKfxVH0N0QJz26OSUyhW-ynmI2DfpMtklv7EqnPlg=&amp;xsec_source=pc_trdark","https://www.xiaohongshu.com/explore/698ae027000000000e03cef2?xsec_token=TBG0mKfxVH0N0QJz26OSUyhW-ynmI2DfpMtklv7EqnPlg=&amp;xsec_source=pc_trdark")</f>
        <v>0.0</v>
      </c>
      <c r="D8" t="inlineStr">
        <is>
          <t>鲜水湾</t>
        </is>
      </c>
      <c r="E8" t="inlineStr">
        <is>
          <t>49316638994</t>
        </is>
      </c>
      <c r="F8" t="inlineStr">
        <is>
          <t>2026-02-10 15:37:11</t>
        </is>
      </c>
      <c r="G8" t="inlineStr">
        <is>
          <t>图文</t>
        </is>
      </c>
      <c r="H8" t="inlineStr">
        <is>
          <t>大虾基围虾王牌大虾厄瓜多尔白虾盐冻虾仁海洋大虾送礼顺丰包邮</t>
        </is>
      </c>
      <c r="I8" t="inlineStr">
        <is>
          <t>690aeb7be379430001e686ac</t>
        </is>
      </c>
      <c r="J8" t="inlineStr">
        <is>
          <t/>
        </is>
      </c>
      <c r="K8" t="n">
        <v>69.0</v>
      </c>
      <c r="L8" t="n">
        <v>1.0</v>
      </c>
      <c r="M8" t="n">
        <v>127.0</v>
      </c>
      <c r="N8" t="inlineStr">
        <is>
          <t>0.17255434782608695</t>
        </is>
      </c>
      <c r="O8" t="n">
        <v>111.0</v>
      </c>
      <c r="P8" t="n">
        <v>1.0</v>
      </c>
      <c r="Q8" t="inlineStr">
        <is>
          <t>0.007874015748031496</t>
        </is>
      </c>
      <c r="R8" t="inlineStr">
        <is>
          <t>0.009009009009009009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5.0</v>
      </c>
      <c r="Z8" t="n">
        <v>12.0</v>
      </c>
      <c r="AA8" t="n">
        <v>0.0</v>
      </c>
      <c r="AB8" t="n">
        <v>0.0</v>
      </c>
      <c r="AC8" t="n">
        <v>0.0</v>
      </c>
      <c r="AD8" t="n">
        <v>736.0</v>
      </c>
      <c r="AE8" t="n">
        <v>3.0</v>
      </c>
      <c r="AF8" t="n">
        <v>1.0</v>
      </c>
      <c r="AG8" t="n">
        <v>0.0</v>
      </c>
      <c r="AH8" t="n">
        <v>0.0</v>
      </c>
      <c r="AI8" t="n">
        <v>2.0</v>
      </c>
      <c r="AJ8" t="n">
        <v>0.0</v>
      </c>
      <c r="AK8" t="n">
        <v>9.13586956521739</v>
      </c>
      <c r="AL8" t="inlineStr">
        <is>
          <t/>
        </is>
      </c>
    </row>
    <row r="9">
      <c r="A9" t="inlineStr">
        <is>
          <t>同事总说我天天吃虾仁也太奢侈了……</t>
        </is>
      </c>
      <c r="B9" t="inlineStr">
        <is>
          <t>69c353ba000000001e00cbc5</t>
        </is>
      </c>
      <c r="C9" s="8" t="n">
        <f>HYPERLINK("https://www.xiaohongshu.com/explore/69c353ba000000001e00cbc5?xsec_token=TBedSEQ7qtT06AlsylOAiUw906lvL7l1HMn1WN-Pjb6l0=&amp;xsec_source=pc_trdark","https://www.xiaohongshu.com/explore/69c353ba000000001e00cbc5?xsec_token=TBedSEQ7qtT06AlsylOAiUw906lvL7l1HMn1WN-Pjb6l0=&amp;xsec_source=pc_trdark")</f>
        <v>0.0</v>
      </c>
      <c r="D9" t="inlineStr">
        <is>
          <t>菲菲上班吃什么</t>
        </is>
      </c>
      <c r="E9" t="inlineStr">
        <is>
          <t>49936530607</t>
        </is>
      </c>
      <c r="F9" t="inlineStr">
        <is>
          <t>2026-03-25 11:17:14</t>
        </is>
      </c>
      <c r="G9" t="inlineStr">
        <is>
          <t>图文</t>
        </is>
      </c>
      <c r="H9" t="inlineStr">
        <is>
          <t>手剥虾仁 无冰衣无添加 低脂餐一人食 上班带饭 顺丰包邮 5盒装</t>
        </is>
      </c>
      <c r="I9" t="inlineStr">
        <is>
          <t>694baba01d450d00013662f0</t>
        </is>
      </c>
      <c r="J9" t="inlineStr">
        <is>
          <t/>
        </is>
      </c>
      <c r="K9" t="n">
        <v>265.0</v>
      </c>
      <c r="L9" t="n">
        <v>4.0</v>
      </c>
      <c r="M9" t="n">
        <v>103.0</v>
      </c>
      <c r="N9" t="n">
        <v>0.1484149855907781</v>
      </c>
      <c r="O9" t="n">
        <v>87.0</v>
      </c>
      <c r="P9" t="n">
        <v>4.0</v>
      </c>
      <c r="Q9" t="inlineStr">
        <is>
          <t>0.038834951456310676</t>
        </is>
      </c>
      <c r="R9" t="inlineStr">
        <is>
          <t>0.04597701149425287</t>
        </is>
      </c>
      <c r="S9" t="n">
        <v>58.0</v>
      </c>
      <c r="T9" t="n">
        <v>1.0</v>
      </c>
      <c r="U9" t="n">
        <v>1.0</v>
      </c>
      <c r="V9" t="n">
        <v>58.0</v>
      </c>
      <c r="W9" t="n">
        <v>0.2188679245283019</v>
      </c>
      <c r="X9" t="n">
        <v>1.0</v>
      </c>
      <c r="Y9" t="n">
        <v>17.0</v>
      </c>
      <c r="Z9" t="n">
        <v>19.0</v>
      </c>
      <c r="AA9" t="n">
        <v>0.0</v>
      </c>
      <c r="AB9" t="n">
        <v>0.0</v>
      </c>
      <c r="AC9" t="n">
        <v>0.0</v>
      </c>
      <c r="AD9" t="n">
        <v>694.0</v>
      </c>
      <c r="AE9" t="n">
        <v>5.0</v>
      </c>
      <c r="AF9" t="n">
        <v>1.0</v>
      </c>
      <c r="AG9" t="n">
        <v>1.0</v>
      </c>
      <c r="AH9" t="n">
        <v>6.0</v>
      </c>
      <c r="AI9" t="n">
        <v>0.0</v>
      </c>
      <c r="AJ9" t="n">
        <v>0.0</v>
      </c>
      <c r="AK9" t="n">
        <v>15.569164265129682</v>
      </c>
      <c r="AL9" t="inlineStr">
        <is>
          <t/>
        </is>
      </c>
    </row>
    <row r="10">
      <c r="A10" t="inlineStr">
        <is>
          <t>建议男人过了40多吃生蚝，40+一箱的生蚝真肥</t>
        </is>
      </c>
      <c r="B10" t="inlineStr">
        <is>
          <t>69509b7b000000001e0242ce</t>
        </is>
      </c>
      <c r="C10" s="9" t="n">
        <f>HYPERLINK("https://www.xiaohongshu.com/explore/69509b7b000000001e0242ce?xsec_token=TBZlsVk_u522I8N-JhGtRMDt_31dwPsls_8oOedinU-fs=&amp;xsec_source=pc_trdark","https://www.xiaohongshu.com/explore/69509b7b000000001e0242ce?xsec_token=TBZlsVk_u522I8N-JhGtRMDt_31dwPsls_8oOedinU-fs=&amp;xsec_source=pc_trdark")</f>
        <v>0.0</v>
      </c>
      <c r="D10" t="inlineStr">
        <is>
          <t>婉婉上班吃什么</t>
        </is>
      </c>
      <c r="E10" t="inlineStr">
        <is>
          <t>11434449706</t>
        </is>
      </c>
      <c r="F10" t="inlineStr">
        <is>
          <t>2025-12-28 10:52:43</t>
        </is>
      </c>
      <c r="G10" t="inlineStr">
        <is>
          <t>图文</t>
        </is>
      </c>
      <c r="H10" t="inlineStr">
        <is>
          <t>生蚝乳山生蚝海蛎子顺丰包邮</t>
        </is>
      </c>
      <c r="I10" t="inlineStr">
        <is>
          <t>690c70971b787900010866cc</t>
        </is>
      </c>
      <c r="J10" t="inlineStr">
        <is>
          <t/>
        </is>
      </c>
      <c r="K10" t="n">
        <v>49.9</v>
      </c>
      <c r="L10" t="n">
        <v>1.0</v>
      </c>
      <c r="M10" t="n">
        <v>51.0</v>
      </c>
      <c r="N10" t="inlineStr">
        <is>
          <t>0.07589285714285714</t>
        </is>
      </c>
      <c r="O10" t="n">
        <v>47.0</v>
      </c>
      <c r="P10" t="n">
        <v>1.0</v>
      </c>
      <c r="Q10" t="n">
        <v>0.0196078431372549</v>
      </c>
      <c r="R10" t="inlineStr">
        <is>
          <t>0.02127659574468085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4.0</v>
      </c>
      <c r="Z10" t="n">
        <v>6.0</v>
      </c>
      <c r="AA10" t="n">
        <v>0.0</v>
      </c>
      <c r="AB10" t="n">
        <v>0.0</v>
      </c>
      <c r="AC10" t="n">
        <v>0.0</v>
      </c>
      <c r="AD10" t="n">
        <v>672.0</v>
      </c>
      <c r="AE10" t="n">
        <v>1.0</v>
      </c>
      <c r="AF10" t="n">
        <v>1.0</v>
      </c>
      <c r="AG10" t="n">
        <v>0.0</v>
      </c>
      <c r="AH10" t="n">
        <v>0.0</v>
      </c>
      <c r="AI10" t="n">
        <v>0.0</v>
      </c>
      <c r="AJ10" t="n">
        <v>0.0</v>
      </c>
      <c r="AK10" t="n">
        <v>10.543154761904763</v>
      </c>
      <c r="AL10" t="inlineStr">
        <is>
          <t/>
        </is>
      </c>
    </row>
    <row r="11">
      <c r="A11" t="inlineStr">
        <is>
          <t>以为300多没多少，结果把整条三文鱼发来了</t>
        </is>
      </c>
      <c r="B11" t="inlineStr">
        <is>
          <t>69ca9180000000001f0062ef</t>
        </is>
      </c>
      <c r="C11" s="10" t="n">
        <f>HYPERLINK("https://www.xiaohongshu.com/explore/69ca9180000000001f0062ef?xsec_token=TBZMwIQ43aS0K0DsaEHGlBqn0EtkL28aeZ5-wVlTeBLbI=&amp;xsec_source=pc_trdark","https://www.xiaohongshu.com/explore/69ca9180000000001f0062ef?xsec_token=TBZMwIQ43aS0K0DsaEHGlBqn0EtkL28aeZ5-wVlTeBLbI=&amp;xsec_source=pc_trdark")</f>
        <v>0.0</v>
      </c>
      <c r="D11" t="inlineStr">
        <is>
          <t>菲菲上班吃什么</t>
        </is>
      </c>
      <c r="E11" t="inlineStr">
        <is>
          <t>49936530607</t>
        </is>
      </c>
      <c r="F11" t="inlineStr">
        <is>
          <t>2026-03-30 23:06:40</t>
        </is>
      </c>
      <c r="G11" t="inlineStr">
        <is>
          <t>图文</t>
        </is>
      </c>
      <c r="H11" t="inlineStr">
        <is>
          <t>智利三文鱼切块·整条三文鱼·深海鱼一人食健康饮食</t>
        </is>
      </c>
      <c r="I11" t="inlineStr">
        <is>
          <t>691ac562a524ee0001b51d7b</t>
        </is>
      </c>
      <c r="J11" t="inlineStr">
        <is>
          <t/>
        </is>
      </c>
      <c r="K11" t="n">
        <v>118.0</v>
      </c>
      <c r="L11" t="n">
        <v>1.0</v>
      </c>
      <c r="M11" t="n">
        <v>108.0</v>
      </c>
      <c r="N11" t="inlineStr">
        <is>
          <t>0.17560975609756097</t>
        </is>
      </c>
      <c r="O11" t="n">
        <v>99.0</v>
      </c>
      <c r="P11" t="n">
        <v>1.0</v>
      </c>
      <c r="Q11" t="inlineStr">
        <is>
          <t>0.009259259259259259</t>
        </is>
      </c>
      <c r="R11" t="inlineStr">
        <is>
          <t>0.010101010101010102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29.0</v>
      </c>
      <c r="Z11" t="n">
        <v>10.0</v>
      </c>
      <c r="AA11" t="n">
        <v>0.0</v>
      </c>
      <c r="AB11" t="n">
        <v>0.0</v>
      </c>
      <c r="AC11" t="n">
        <v>0.0</v>
      </c>
      <c r="AD11" t="n">
        <v>615.0</v>
      </c>
      <c r="AE11" t="n">
        <v>4.0</v>
      </c>
      <c r="AF11" t="n">
        <v>5.0</v>
      </c>
      <c r="AG11" t="n">
        <v>0.0</v>
      </c>
      <c r="AH11" t="n">
        <v>1.0</v>
      </c>
      <c r="AI11" t="n">
        <v>0.0</v>
      </c>
      <c r="AJ11" t="n">
        <v>0.0</v>
      </c>
      <c r="AK11" t="n">
        <v>14.024390243902438</v>
      </c>
      <c r="AL11" t="inlineStr">
        <is>
          <t/>
        </is>
      </c>
    </row>
    <row r="12">
      <c r="A12" t="inlineStr">
        <is>
          <t>爆浆的生蚝能吃吗？</t>
        </is>
      </c>
      <c r="B12" t="inlineStr">
        <is>
          <t>691ed184000000001f008fde</t>
        </is>
      </c>
      <c r="C12" s="11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12" t="inlineStr">
        <is>
          <t>婉婉上班吃什么</t>
        </is>
      </c>
      <c r="E12" t="inlineStr">
        <is>
          <t>11434449706</t>
        </is>
      </c>
      <c r="F12" t="inlineStr">
        <is>
          <t>2025-11-20 17:29:55</t>
        </is>
      </c>
      <c r="G12" t="inlineStr">
        <is>
          <t>视频</t>
        </is>
      </c>
      <c r="H12" t="inlineStr">
        <is>
          <t>生蚝乳山生蚝海蛎子顺丰包邮</t>
        </is>
      </c>
      <c r="I12" t="inlineStr">
        <is>
          <t>690c70971b787900010866cc</t>
        </is>
      </c>
      <c r="J12" t="n">
        <v>33.0</v>
      </c>
      <c r="K12" t="n">
        <v>0.0</v>
      </c>
      <c r="L12" t="n">
        <v>0.0</v>
      </c>
      <c r="M12" t="n">
        <v>5.0</v>
      </c>
      <c r="N12" t="inlineStr">
        <is>
          <t>0.008771929824561403</t>
        </is>
      </c>
      <c r="O12" t="n">
        <v>4.0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inlineStr">
        <is>
          <t/>
        </is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570.0</v>
      </c>
      <c r="AE12" t="n">
        <v>1.0</v>
      </c>
      <c r="AF12" t="n">
        <v>1.0</v>
      </c>
      <c r="AG12" t="n">
        <v>0.0</v>
      </c>
      <c r="AH12" t="n">
        <v>1.0</v>
      </c>
      <c r="AI12" t="n">
        <v>1.0</v>
      </c>
      <c r="AJ12" t="n">
        <v>0.0</v>
      </c>
      <c r="AK12" t="n">
        <v>24.46315789473684</v>
      </c>
      <c r="AL12" t="n">
        <v>0.3348519362186788</v>
      </c>
    </row>
    <row r="13">
      <c r="A13" t="inlineStr">
        <is>
          <t>和老爹商量后，推出一人食小包装</t>
        </is>
      </c>
      <c r="B13" t="inlineStr">
        <is>
          <t>69b91f54000000002800a745</t>
        </is>
      </c>
      <c r="C13" s="12" t="n">
        <f>HYPERLINK("https://www.xiaohongshu.com/explore/69b91f54000000002800a745?xsec_token=TBgv0wN35T_w0yZx7fmvlvfOoluzsHtwJOKCFVpiqb6to=&amp;xsec_source=pc_trdark","https://www.xiaohongshu.com/explore/69b91f54000000002800a745?xsec_token=TBgv0wN35T_w0yZx7fmvlvfOoluzsHtwJOKCFVpiqb6to=&amp;xsec_source=pc_trdark")</f>
        <v>0.0</v>
      </c>
      <c r="D13" t="inlineStr">
        <is>
          <t>鲜水湾</t>
        </is>
      </c>
      <c r="E13" t="inlineStr">
        <is>
          <t>49316638994</t>
        </is>
      </c>
      <c r="F13" t="inlineStr">
        <is>
          <t>2026-03-17 17:31:00</t>
        </is>
      </c>
      <c r="G13" t="inlineStr">
        <is>
          <t>图文</t>
        </is>
      </c>
      <c r="H13" t="inlineStr">
        <is>
          <t>手剥虾仁 无冰衣无添加 低脂餐一人食 上班带饭 顺丰包邮 5盒装</t>
        </is>
      </c>
      <c r="I13" t="inlineStr">
        <is>
          <t>694baba01d450d00013662f0</t>
        </is>
      </c>
      <c r="J13" t="inlineStr">
        <is>
          <t/>
        </is>
      </c>
      <c r="K13" t="n">
        <v>207.0</v>
      </c>
      <c r="L13" t="n">
        <v>2.0</v>
      </c>
      <c r="M13" t="n">
        <v>126.0</v>
      </c>
      <c r="N13" t="inlineStr">
        <is>
          <t>0.23595505617977527</t>
        </is>
      </c>
      <c r="O13" t="n">
        <v>106.0</v>
      </c>
      <c r="P13" t="n">
        <v>2.0</v>
      </c>
      <c r="Q13" t="inlineStr">
        <is>
          <t>0.015873015873015872</t>
        </is>
      </c>
      <c r="R13" t="inlineStr">
        <is>
          <t>0.018867924528301886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21.0</v>
      </c>
      <c r="Z13" t="n">
        <v>17.0</v>
      </c>
      <c r="AA13" t="n">
        <v>0.0</v>
      </c>
      <c r="AB13" t="n">
        <v>0.0</v>
      </c>
      <c r="AC13" t="n">
        <v>0.0</v>
      </c>
      <c r="AD13" t="n">
        <v>534.0</v>
      </c>
      <c r="AE13" t="n">
        <v>4.0</v>
      </c>
      <c r="AF13" t="n">
        <v>0.0</v>
      </c>
      <c r="AG13" t="n">
        <v>2.0</v>
      </c>
      <c r="AH13" t="n">
        <v>0.0</v>
      </c>
      <c r="AI13" t="n">
        <v>1.0</v>
      </c>
      <c r="AJ13" t="n">
        <v>0.0</v>
      </c>
      <c r="AK13" t="n">
        <v>9.801498127340825</v>
      </c>
      <c r="AL13" t="inlineStr">
        <is>
          <t/>
        </is>
      </c>
    </row>
    <row r="14">
      <c r="A14" t="inlineStr">
        <is>
          <t>同事对于我每天吃一盒虾仁，表示很奢侈…</t>
        </is>
      </c>
      <c r="B14" t="inlineStr">
        <is>
          <t>69c2602b000000002202bed3</t>
        </is>
      </c>
      <c r="C14" s="13" t="n">
        <f>HYPERLINK("https://www.xiaohongshu.com/explore/69c2602b000000002202bed3?xsec_token=TBUqBR5MVQnv6JPS0VJV95uOtzklcGqQyiaG_SgKe2Z1w=&amp;xsec_source=pc_trdark","https://www.xiaohongshu.com/explore/69c2602b000000002202bed3?xsec_token=TBUqBR5MVQnv6JPS0VJV95uOtzklcGqQyiaG_SgKe2Z1w=&amp;xsec_source=pc_trdark")</f>
        <v>0.0</v>
      </c>
      <c r="D14" t="inlineStr">
        <is>
          <t>婉婉上班吃什么</t>
        </is>
      </c>
      <c r="E14" t="inlineStr">
        <is>
          <t>11434449706</t>
        </is>
      </c>
      <c r="F14" t="inlineStr">
        <is>
          <t>2026-03-24 17:58:03</t>
        </is>
      </c>
      <c r="G14" t="inlineStr">
        <is>
          <t>图文</t>
        </is>
      </c>
      <c r="H14" t="inlineStr">
        <is>
          <t>手剥虾仁 无冰衣无添加 低脂餐一人食 上班带饭 顺丰包邮 5盒装</t>
        </is>
      </c>
      <c r="I14" t="inlineStr">
        <is>
          <t>694baba01d450d00013662f0</t>
        </is>
      </c>
      <c r="J14" t="inlineStr">
        <is>
          <t/>
        </is>
      </c>
      <c r="K14" t="n">
        <v>404.0</v>
      </c>
      <c r="L14" t="n">
        <v>5.0</v>
      </c>
      <c r="M14" t="n">
        <v>100.0</v>
      </c>
      <c r="N14" t="inlineStr">
        <is>
          <t>0.19305019305019305</t>
        </is>
      </c>
      <c r="O14" t="n">
        <v>84.0</v>
      </c>
      <c r="P14" t="n">
        <v>5.0</v>
      </c>
      <c r="Q14" t="n">
        <v>0.05</v>
      </c>
      <c r="R14" t="inlineStr">
        <is>
          <t>0.05952380952380952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22.0</v>
      </c>
      <c r="Z14" t="n">
        <v>8.0</v>
      </c>
      <c r="AA14" t="n">
        <v>0.0</v>
      </c>
      <c r="AB14" t="n">
        <v>0.0</v>
      </c>
      <c r="AC14" t="n">
        <v>0.0</v>
      </c>
      <c r="AD14" t="n">
        <v>518.0</v>
      </c>
      <c r="AE14" t="n">
        <v>7.0</v>
      </c>
      <c r="AF14" t="n">
        <v>6.0</v>
      </c>
      <c r="AG14" t="n">
        <v>4.0</v>
      </c>
      <c r="AH14" t="n">
        <v>2.0</v>
      </c>
      <c r="AI14" t="n">
        <v>0.0</v>
      </c>
      <c r="AJ14" t="n">
        <v>0.0</v>
      </c>
      <c r="AK14" t="n">
        <v>17.39189189189189</v>
      </c>
      <c r="AL14" t="inlineStr">
        <is>
          <t/>
        </is>
      </c>
    </row>
    <row r="15">
      <c r="A15" t="inlineStr">
        <is>
          <t>感谢315，让我家无添加虾仁又爆单了</t>
        </is>
      </c>
      <c r="B15" t="inlineStr">
        <is>
          <t>69c2acd60000000028008317</t>
        </is>
      </c>
      <c r="C15" s="14" t="n">
        <f>HYPERLINK("https://www.xiaohongshu.com/explore/69c2acd60000000028008317?xsec_token=TBUqBR5MVQnv6JPS0VJV95uEh8wjX_2HboQbstpdRx0DA=&amp;xsec_source=pc_trdark","https://www.xiaohongshu.com/explore/69c2acd60000000028008317?xsec_token=TBUqBR5MVQnv6JPS0VJV95uEh8wjX_2HboQbstpdRx0DA=&amp;xsec_source=pc_trdark")</f>
        <v>0.0</v>
      </c>
      <c r="D15" t="inlineStr">
        <is>
          <t>鲜水湾</t>
        </is>
      </c>
      <c r="E15" t="inlineStr">
        <is>
          <t>49316638994</t>
        </is>
      </c>
      <c r="F15" t="inlineStr">
        <is>
          <t>2026-03-24 23:25:10</t>
        </is>
      </c>
      <c r="G15" t="inlineStr">
        <is>
          <t>图文</t>
        </is>
      </c>
      <c r="H15" t="inlineStr">
        <is>
          <t>手剥虾仁 无冰衣无添加 低脂餐一人食 上班带饭 顺丰包邮 5盒装</t>
        </is>
      </c>
      <c r="I15" t="inlineStr">
        <is>
          <t>694baba01d450d00013662f0</t>
        </is>
      </c>
      <c r="J15" t="inlineStr">
        <is>
          <t/>
        </is>
      </c>
      <c r="K15" t="n">
        <v>463.0</v>
      </c>
      <c r="L15" t="n">
        <v>5.0</v>
      </c>
      <c r="M15" t="n">
        <v>132.0</v>
      </c>
      <c r="N15" t="n">
        <v>0.2907488986784141</v>
      </c>
      <c r="O15" t="n">
        <v>108.0</v>
      </c>
      <c r="P15" t="n">
        <v>5.0</v>
      </c>
      <c r="Q15" t="inlineStr">
        <is>
          <t>0.03787878787878788</t>
        </is>
      </c>
      <c r="R15" t="inlineStr">
        <is>
          <t>0.046296296296296294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15.0</v>
      </c>
      <c r="Z15" t="n">
        <v>23.0</v>
      </c>
      <c r="AA15" t="n">
        <v>128.0</v>
      </c>
      <c r="AB15" t="n">
        <v>0.0</v>
      </c>
      <c r="AC15" t="n">
        <v>0.0</v>
      </c>
      <c r="AD15" t="n">
        <v>454.0</v>
      </c>
      <c r="AE15" t="n">
        <v>7.0</v>
      </c>
      <c r="AF15" t="n">
        <v>2.0</v>
      </c>
      <c r="AG15" t="n">
        <v>0.0</v>
      </c>
      <c r="AH15" t="n">
        <v>1.0</v>
      </c>
      <c r="AI15" t="n">
        <v>0.0</v>
      </c>
      <c r="AJ15" t="n">
        <v>0.0</v>
      </c>
      <c r="AK15" t="n">
        <v>12.841409691629956</v>
      </c>
      <c r="AL15" t="inlineStr">
        <is>
          <t/>
        </is>
      </c>
    </row>
    <row r="16">
      <c r="A16" t="inlineStr">
        <is>
          <t>在小红书上买到了整条三文鱼…</t>
        </is>
      </c>
      <c r="B16" t="inlineStr">
        <is>
          <t>692e4f1e000000001f007cb8</t>
        </is>
      </c>
      <c r="C16" s="15" t="n">
        <f>HYPERLINK("https://www.xiaohongshu.com/explore/692e4f1e000000001f007cb8?xsec_token=TBhc9WPqfa5dhWfRrPj8DX7W_9aA0Zas4QAmEKpy4qlOU=&amp;xsec_source=pc_trdark","https://www.xiaohongshu.com/explore/692e4f1e000000001f007cb8?xsec_token=TBhc9WPqfa5dhWfRrPj8DX7W_9aA0Zas4QAmEKpy4qlOU=&amp;xsec_source=pc_trdark")</f>
        <v>0.0</v>
      </c>
      <c r="D16" t="inlineStr">
        <is>
          <t>鲜水湾</t>
        </is>
      </c>
      <c r="E16" t="inlineStr">
        <is>
          <t>49316638994</t>
        </is>
      </c>
      <c r="F16" t="inlineStr">
        <is>
          <t>2025-12-02 10:29:50</t>
        </is>
      </c>
      <c r="G16" t="inlineStr">
        <is>
          <t>图文</t>
        </is>
      </c>
      <c r="H16" t="inlineStr">
        <is>
          <t>智利三文鱼切块·整条三文鱼·深海鱼一人食健康饮食</t>
        </is>
      </c>
      <c r="I16" t="inlineStr">
        <is>
          <t>691ac562a524ee0001b51d7b</t>
        </is>
      </c>
      <c r="J16" t="inlineStr">
        <is>
          <t/>
        </is>
      </c>
      <c r="K16" t="n">
        <v>0.0</v>
      </c>
      <c r="L16" t="n">
        <v>0.0</v>
      </c>
      <c r="M16" t="n">
        <v>39.0</v>
      </c>
      <c r="N16" t="inlineStr">
        <is>
          <t>0.08609271523178808</t>
        </is>
      </c>
      <c r="O16" t="n">
        <v>36.0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inlineStr">
        <is>
          <t/>
        </is>
      </c>
      <c r="X16" t="n">
        <v>0.0</v>
      </c>
      <c r="Y16" t="n">
        <v>4.0</v>
      </c>
      <c r="Z16" t="n">
        <v>1.0</v>
      </c>
      <c r="AA16" t="n">
        <v>0.0</v>
      </c>
      <c r="AB16" t="n">
        <v>0.0</v>
      </c>
      <c r="AC16" t="n">
        <v>0.0</v>
      </c>
      <c r="AD16" t="n">
        <v>453.0</v>
      </c>
      <c r="AE16" t="n">
        <v>2.0</v>
      </c>
      <c r="AF16" t="n">
        <v>1.0</v>
      </c>
      <c r="AG16" t="n">
        <v>0.0</v>
      </c>
      <c r="AH16" t="n">
        <v>1.0</v>
      </c>
      <c r="AI16" t="n">
        <v>0.0</v>
      </c>
      <c r="AJ16" t="n">
        <v>0.0</v>
      </c>
      <c r="AK16" t="n">
        <v>12.185430463576159</v>
      </c>
      <c r="AL16" t="inlineStr">
        <is>
          <t/>
        </is>
      </c>
    </row>
    <row r="17">
      <c r="A17" t="inlineStr">
        <is>
          <t>真别低估了100来块的购买力，够吃半个月了</t>
        </is>
      </c>
      <c r="B17" t="inlineStr">
        <is>
          <t>69c4d7c300000000200387da</t>
        </is>
      </c>
      <c r="C17" s="16" t="n">
        <f>HYPERLINK("https://www.xiaohongshu.com/explore/69c4d7c300000000200387da?xsec_token=TBIVv4KG_Is8XT8uyOgDE1R0ZsRnUUTJR6R_fiRutAnVc=&amp;xsec_source=pc_trdark","https://www.xiaohongshu.com/explore/69c4d7c300000000200387da?xsec_token=TBIVv4KG_Is8XT8uyOgDE1R0ZsRnUUTJR6R_fiRutAnVc=&amp;xsec_source=pc_trdark")</f>
        <v>0.0</v>
      </c>
      <c r="D17" t="inlineStr">
        <is>
          <t>鲜水湾</t>
        </is>
      </c>
      <c r="E17" t="inlineStr">
        <is>
          <t>49316638994</t>
        </is>
      </c>
      <c r="F17" t="inlineStr">
        <is>
          <t>2026-03-26 14:52:51</t>
        </is>
      </c>
      <c r="G17" t="inlineStr">
        <is>
          <t>图文</t>
        </is>
      </c>
      <c r="H17" t="inlineStr">
        <is>
          <t>手剥虾仁 无冰衣无添加 低脂餐一人食 上班带饭 顺丰包邮 5盒装</t>
        </is>
      </c>
      <c r="I17" t="inlineStr">
        <is>
          <t>694baba01d450d00013662f0</t>
        </is>
      </c>
      <c r="J17" t="inlineStr">
        <is>
          <t/>
        </is>
      </c>
      <c r="K17" t="n">
        <v>276.0</v>
      </c>
      <c r="L17" t="n">
        <v>4.0</v>
      </c>
      <c r="M17" t="n">
        <v>83.0</v>
      </c>
      <c r="N17" t="inlineStr">
        <is>
          <t>0.18863636363636363</t>
        </is>
      </c>
      <c r="O17" t="n">
        <v>70.0</v>
      </c>
      <c r="P17" t="n">
        <v>4.0</v>
      </c>
      <c r="Q17" t="inlineStr">
        <is>
          <t>0.04819277108433735</t>
        </is>
      </c>
      <c r="R17" t="inlineStr">
        <is>
          <t>0.05714285714285714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12.0</v>
      </c>
      <c r="Z17" t="n">
        <v>2.0</v>
      </c>
      <c r="AA17" t="n">
        <v>0.0</v>
      </c>
      <c r="AB17" t="n">
        <v>0.0</v>
      </c>
      <c r="AC17" t="n">
        <v>0.0</v>
      </c>
      <c r="AD17" t="n">
        <v>440.0</v>
      </c>
      <c r="AE17" t="n">
        <v>3.0</v>
      </c>
      <c r="AF17" t="n">
        <v>1.0</v>
      </c>
      <c r="AG17" t="n">
        <v>0.0</v>
      </c>
      <c r="AH17" t="n">
        <v>2.0</v>
      </c>
      <c r="AI17" t="n">
        <v>0.0</v>
      </c>
      <c r="AJ17" t="n">
        <v>0.0</v>
      </c>
      <c r="AK17" t="n">
        <v>13.279545454545454</v>
      </c>
      <c r="AL17" t="inlineStr">
        <is>
          <t/>
        </is>
      </c>
    </row>
    <row r="18">
      <c r="A18" t="inlineStr">
        <is>
          <t>男朋友过了30岁一定要狠狠吃生蚝🦪</t>
        </is>
      </c>
      <c r="B18" t="inlineStr">
        <is>
          <t>694df88b000000001e0268bb</t>
        </is>
      </c>
      <c r="C18" s="17" t="n">
        <f>HYPERLINK("https://www.xiaohongshu.com/explore/694df88b000000001e0268bb?xsec_token=TBtwDoStOWWrqIzqfvN9e2OYyToUoER25h8rN7gSce8D8=&amp;xsec_source=pc_trdark","https://www.xiaohongshu.com/explore/694df88b000000001e0268bb?xsec_token=TBtwDoStOWWrqIzqfvN9e2OYyToUoER25h8rN7gSce8D8=&amp;xsec_source=pc_trdark")</f>
        <v>0.0</v>
      </c>
      <c r="D18" t="inlineStr">
        <is>
          <t>鲜水湾</t>
        </is>
      </c>
      <c r="E18" t="inlineStr">
        <is>
          <t>49316638994</t>
        </is>
      </c>
      <c r="F18" t="inlineStr">
        <is>
          <t>2025-12-26 10:52:59</t>
        </is>
      </c>
      <c r="G18" t="inlineStr">
        <is>
          <t>图文</t>
        </is>
      </c>
      <c r="H18" t="inlineStr">
        <is>
          <t>生蚝乳山生蚝海蛎子顺丰包邮</t>
        </is>
      </c>
      <c r="I18" t="inlineStr">
        <is>
          <t>690c70971b787900010866cc</t>
        </is>
      </c>
      <c r="J18" t="inlineStr">
        <is>
          <t/>
        </is>
      </c>
      <c r="K18" t="n">
        <v>0.0</v>
      </c>
      <c r="L18" t="n">
        <v>0.0</v>
      </c>
      <c r="M18" t="n">
        <v>23.0</v>
      </c>
      <c r="N18" t="inlineStr">
        <is>
          <t>0.05596107055961071</t>
        </is>
      </c>
      <c r="O18" t="n">
        <v>21.0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inlineStr">
        <is>
          <t/>
        </is>
      </c>
      <c r="X18" t="n">
        <v>0.0</v>
      </c>
      <c r="Y18" t="n">
        <v>4.0</v>
      </c>
      <c r="Z18" t="n">
        <v>6.0</v>
      </c>
      <c r="AA18" t="n">
        <v>0.0</v>
      </c>
      <c r="AB18" t="n">
        <v>0.0</v>
      </c>
      <c r="AC18" t="n">
        <v>0.0</v>
      </c>
      <c r="AD18" t="n">
        <v>411.0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13.914841849148418</v>
      </c>
      <c r="AL18" t="inlineStr">
        <is>
          <t/>
        </is>
      </c>
    </row>
    <row r="19">
      <c r="A19" t="inlineStr">
        <is>
          <t>小月龄宝宝也可以放心吃的甜虾</t>
        </is>
      </c>
      <c r="B19" t="inlineStr">
        <is>
          <t>696d934e000000000c03739d</t>
        </is>
      </c>
      <c r="C19" s="18" t="n">
        <f>HYPERLINK("https://www.xiaohongshu.com/explore/696d934e000000000c03739d?xsec_token=TBhBdCGGh1NnVPomuS6-J4HwnPfzoQjjmMIF8f8-czTKA=&amp;xsec_source=pc_trdark","https://www.xiaohongshu.com/explore/696d934e000000000c03739d?xsec_token=TBhBdCGGh1NnVPomuS6-J4HwnPfzoQjjmMIF8f8-czTKA=&amp;xsec_source=pc_trdark")</f>
        <v>0.0</v>
      </c>
      <c r="D19" t="inlineStr">
        <is>
          <t>鲜水湾甄选</t>
        </is>
      </c>
      <c r="E19" t="inlineStr">
        <is>
          <t>27401929161</t>
        </is>
      </c>
      <c r="F19" t="inlineStr">
        <is>
          <t>2026-01-19 15:23:00</t>
        </is>
      </c>
      <c r="G19" t="inlineStr">
        <is>
          <t>视频</t>
        </is>
      </c>
      <c r="H19" t="inlineStr">
        <is>
          <t>北极甜虾头籽甜虾元宝虾北极熊冰虾孕妈妈宝宝辅食顺丰</t>
        </is>
      </c>
      <c r="I19" t="inlineStr">
        <is>
          <t>6953717eb8f0bb000115158d</t>
        </is>
      </c>
      <c r="J19" t="n">
        <v>35.0</v>
      </c>
      <c r="K19" t="n">
        <v>0.0</v>
      </c>
      <c r="L19" t="n">
        <v>0.0</v>
      </c>
      <c r="M19" t="n">
        <v>6.0</v>
      </c>
      <c r="N19" t="inlineStr">
        <is>
          <t>0.014705882352941176</t>
        </is>
      </c>
      <c r="O19" t="n">
        <v>6.0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inlineStr">
        <is>
          <t/>
        </is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408.0</v>
      </c>
      <c r="AE19" t="n">
        <v>1.0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18.360294117647058</v>
      </c>
      <c r="AL19" t="inlineStr">
        <is>
          <t>0.23431734317343172</t>
        </is>
      </c>
    </row>
    <row r="20">
      <c r="A20" t="inlineStr">
        <is>
          <t>生蚝蒸完没开口是坏了吗？</t>
        </is>
      </c>
      <c r="B20" t="inlineStr">
        <is>
          <t>6950f5fb000000001e029ca8</t>
        </is>
      </c>
      <c r="C20" s="19" t="n">
        <f>HYPERLINK("https://www.xiaohongshu.com/explore/6950f5fb000000001e029ca8?xsec_token=TBZlsVk_u522I8N-JhGtRMDvyERrdMkq_S2u1VgJgLtSE=&amp;xsec_source=pc_trdark","https://www.xiaohongshu.com/explore/6950f5fb000000001e029ca8?xsec_token=TBZlsVk_u522I8N-JhGtRMDvyERrdMkq_S2u1VgJgLtSE=&amp;xsec_source=pc_trdark")</f>
        <v>0.0</v>
      </c>
      <c r="D20" t="inlineStr">
        <is>
          <t>鲜水湾</t>
        </is>
      </c>
      <c r="E20" t="inlineStr">
        <is>
          <t>49316638994</t>
        </is>
      </c>
      <c r="F20" t="inlineStr">
        <is>
          <t>2025-12-28 17:18:51</t>
        </is>
      </c>
      <c r="G20" t="inlineStr">
        <is>
          <t>图文</t>
        </is>
      </c>
      <c r="H20" t="inlineStr">
        <is>
          <t>生蚝乳山生蚝海蛎子顺丰包邮</t>
        </is>
      </c>
      <c r="I20" t="inlineStr">
        <is>
          <t>690c70971b787900010866cc</t>
        </is>
      </c>
      <c r="J20" t="inlineStr">
        <is>
          <t/>
        </is>
      </c>
      <c r="K20" t="n">
        <v>0.0</v>
      </c>
      <c r="L20" t="n">
        <v>0.0</v>
      </c>
      <c r="M20" t="n">
        <v>6.0</v>
      </c>
      <c r="N20" t="inlineStr">
        <is>
          <t>0.015424164524421594</t>
        </is>
      </c>
      <c r="O20" t="n">
        <v>6.0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inlineStr">
        <is>
          <t/>
        </is>
      </c>
      <c r="X20" t="n">
        <v>0.0</v>
      </c>
      <c r="Y20" t="n">
        <v>0.0</v>
      </c>
      <c r="Z20" t="n">
        <v>5.0</v>
      </c>
      <c r="AA20" t="n">
        <v>0.0</v>
      </c>
      <c r="AB20" t="n">
        <v>0.0</v>
      </c>
      <c r="AC20" t="n">
        <v>0.0</v>
      </c>
      <c r="AD20" t="n">
        <v>389.0</v>
      </c>
      <c r="AE20" t="n">
        <v>2.0</v>
      </c>
      <c r="AF20" t="n">
        <v>0.0</v>
      </c>
      <c r="AG20" t="n">
        <v>0.0</v>
      </c>
      <c r="AH20" t="n">
        <v>1.0</v>
      </c>
      <c r="AI20" t="n">
        <v>0.0</v>
      </c>
      <c r="AJ20" t="n">
        <v>0.0</v>
      </c>
      <c r="AK20" t="n">
        <v>19.696658097686374</v>
      </c>
      <c r="AL20" t="inlineStr">
        <is>
          <t/>
        </is>
      </c>
    </row>
    <row r="21">
      <c r="A21" t="inlineStr">
        <is>
          <t>备孕姐妹冲！我家冷水蚝 59.9 元 5 斤</t>
        </is>
      </c>
      <c r="B21" t="inlineStr">
        <is>
          <t>6915949e000000000703b57a</t>
        </is>
      </c>
      <c r="C21" s="20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21" t="inlineStr">
        <is>
          <t>婉婉上班吃什么</t>
        </is>
      </c>
      <c r="E21" t="inlineStr">
        <is>
          <t>11434449706</t>
        </is>
      </c>
      <c r="F21" t="inlineStr">
        <is>
          <t>2025-11-13 16:19:42</t>
        </is>
      </c>
      <c r="G21" t="inlineStr">
        <is>
          <t>视频</t>
        </is>
      </c>
      <c r="H21" t="inlineStr">
        <is>
          <t>生蚝乳山生蚝海蛎子顺丰包邮</t>
        </is>
      </c>
      <c r="I21" t="inlineStr">
        <is>
          <t>690c70971b787900010866cc</t>
        </is>
      </c>
      <c r="J21" t="n">
        <v>14.0</v>
      </c>
      <c r="K21" t="n">
        <v>0.0</v>
      </c>
      <c r="L21" t="n">
        <v>0.0</v>
      </c>
      <c r="M21" t="n">
        <v>22.0</v>
      </c>
      <c r="N21" t="inlineStr">
        <is>
          <t>0.05789473684210526</t>
        </is>
      </c>
      <c r="O21" t="n">
        <v>20.0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inlineStr">
        <is>
          <t/>
        </is>
      </c>
      <c r="X21" t="n">
        <v>0.0</v>
      </c>
      <c r="Y21" t="n">
        <v>3.0</v>
      </c>
      <c r="Z21" t="n">
        <v>2.0</v>
      </c>
      <c r="AA21" t="n">
        <v>0.0</v>
      </c>
      <c r="AB21" t="n">
        <v>0.0</v>
      </c>
      <c r="AC21" t="n">
        <v>0.0</v>
      </c>
      <c r="AD21" t="n">
        <v>380.0</v>
      </c>
      <c r="AE21" t="n">
        <v>0.0</v>
      </c>
      <c r="AF21" t="n">
        <v>2.0</v>
      </c>
      <c r="AG21" t="n">
        <v>0.0</v>
      </c>
      <c r="AH21" t="n">
        <v>0.0</v>
      </c>
      <c r="AI21" t="n">
        <v>0.0</v>
      </c>
      <c r="AJ21" t="n">
        <v>0.0</v>
      </c>
      <c r="AK21" t="n">
        <v>10.442105263157895</v>
      </c>
      <c r="AL21" t="inlineStr">
        <is>
          <t>0.27978339350180503</t>
        </is>
      </c>
    </row>
    <row r="22">
      <c r="A22" t="inlineStr">
        <is>
          <t>为啥还去超市买虾？网上买真的便宜又实惠！</t>
        </is>
      </c>
      <c r="B22" t="inlineStr">
        <is>
          <t>69aaef50000000000e00d86f</t>
        </is>
      </c>
      <c r="C22" s="21" t="n">
        <f>HYPERLINK("https://www.xiaohongshu.com/explore/69aaef50000000000e00d86f?xsec_token=TB8xU8BGf5cxJmpLtWj3tacdza317oGd4fGjCaUsYSGsU=&amp;xsec_source=pc_trdark","https://www.xiaohongshu.com/explore/69aaef50000000000e00d86f?xsec_token=TB8xU8BGf5cxJmpLtWj3tacdza317oGd4fGjCaUsYSGsU=&amp;xsec_source=pc_trdark")</f>
        <v>0.0</v>
      </c>
      <c r="D22" t="inlineStr">
        <is>
          <t>鲜水湾</t>
        </is>
      </c>
      <c r="E22" t="inlineStr">
        <is>
          <t>49316638994</t>
        </is>
      </c>
      <c r="F22" t="inlineStr">
        <is>
          <t>2026-03-06 23:14:24</t>
        </is>
      </c>
      <c r="G22" t="inlineStr">
        <is>
          <t>图文</t>
        </is>
      </c>
      <c r="H22" t="inlineStr">
        <is>
          <t>大虾基围虾王牌大虾厄瓜多尔白虾盐冻虾仁海洋大虾送礼顺丰包邮</t>
        </is>
      </c>
      <c r="I22" t="inlineStr">
        <is>
          <t>690aeb7be379430001e686ac</t>
        </is>
      </c>
      <c r="J22" t="inlineStr">
        <is>
          <t/>
        </is>
      </c>
      <c r="K22" t="n">
        <v>288.0</v>
      </c>
      <c r="L22" t="n">
        <v>4.0</v>
      </c>
      <c r="M22" t="n">
        <v>80.0</v>
      </c>
      <c r="N22" t="inlineStr">
        <is>
          <t>0.21739130434782608</t>
        </is>
      </c>
      <c r="O22" t="n">
        <v>63.0</v>
      </c>
      <c r="P22" t="n">
        <v>4.0</v>
      </c>
      <c r="Q22" t="n">
        <v>0.05</v>
      </c>
      <c r="R22" t="inlineStr">
        <is>
          <t>0.06349206349206349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10.0</v>
      </c>
      <c r="Z22" t="n">
        <v>15.0</v>
      </c>
      <c r="AA22" t="n">
        <v>0.0</v>
      </c>
      <c r="AB22" t="n">
        <v>0.0</v>
      </c>
      <c r="AC22" t="n">
        <v>0.0</v>
      </c>
      <c r="AD22" t="n">
        <v>368.0</v>
      </c>
      <c r="AE22" t="n">
        <v>15.0</v>
      </c>
      <c r="AF22" t="n">
        <v>3.0</v>
      </c>
      <c r="AG22" t="n">
        <v>1.0</v>
      </c>
      <c r="AH22" t="n">
        <v>3.0</v>
      </c>
      <c r="AI22" t="n">
        <v>0.0</v>
      </c>
      <c r="AJ22" t="n">
        <v>0.0</v>
      </c>
      <c r="AK22" t="n">
        <v>9.978260869565217</v>
      </c>
      <c r="AL22" t="inlineStr">
        <is>
          <t/>
        </is>
      </c>
    </row>
    <row r="23">
      <c r="A23" t="inlineStr">
        <is>
          <t>100元的购买力，真的让我目瞪口呆</t>
        </is>
      </c>
      <c r="B23" t="inlineStr">
        <is>
          <t>69a133e4000000001a01c1a9</t>
        </is>
      </c>
      <c r="C23" s="22" t="n">
        <f>HYPERLINK("https://www.xiaohongshu.com/explore/69a133e4000000001a01c1a9?xsec_token=TBk7Tu9foWGIsieMmGc2tlwigPKcyoIgvUztRQx_4edtE=&amp;xsec_source=pc_trdark","https://www.xiaohongshu.com/explore/69a133e4000000001a01c1a9?xsec_token=TBk7Tu9foWGIsieMmGc2tlwigPKcyoIgvUztRQx_4edtE=&amp;xsec_source=pc_trdark")</f>
        <v>0.0</v>
      </c>
      <c r="D23" t="inlineStr">
        <is>
          <t>鲜水湾</t>
        </is>
      </c>
      <c r="E23" t="inlineStr">
        <is>
          <t>49316638994</t>
        </is>
      </c>
      <c r="F23" t="inlineStr">
        <is>
          <t>2026-02-27 14:04:20</t>
        </is>
      </c>
      <c r="G23" t="inlineStr">
        <is>
          <t>图文</t>
        </is>
      </c>
      <c r="H23" t="inlineStr">
        <is>
          <t>智利三文鱼切块·整条三文鱼·深海鱼一人食健康饮食</t>
        </is>
      </c>
      <c r="I23" t="inlineStr">
        <is>
          <t>691ac562a524ee0001b51d7b</t>
        </is>
      </c>
      <c r="J23" t="inlineStr">
        <is>
          <t/>
        </is>
      </c>
      <c r="K23" t="n">
        <v>186.0</v>
      </c>
      <c r="L23" t="n">
        <v>2.0</v>
      </c>
      <c r="M23" t="n">
        <v>60.0</v>
      </c>
      <c r="N23" t="inlineStr">
        <is>
          <t>0.16304347826086957</t>
        </is>
      </c>
      <c r="O23" t="n">
        <v>56.0</v>
      </c>
      <c r="P23" t="n">
        <v>2.0</v>
      </c>
      <c r="Q23" t="inlineStr">
        <is>
          <t>0.03333333333333333</t>
        </is>
      </c>
      <c r="R23" t="inlineStr">
        <is>
          <t>0.03571428571428571</t>
        </is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11.0</v>
      </c>
      <c r="Z23" t="n">
        <v>17.0</v>
      </c>
      <c r="AA23" t="n">
        <v>0.0</v>
      </c>
      <c r="AB23" t="n">
        <v>0.0</v>
      </c>
      <c r="AC23" t="n">
        <v>0.0</v>
      </c>
      <c r="AD23" t="n">
        <v>368.0</v>
      </c>
      <c r="AE23" t="n">
        <v>1.0</v>
      </c>
      <c r="AF23" t="n">
        <v>2.0</v>
      </c>
      <c r="AG23" t="n">
        <v>0.0</v>
      </c>
      <c r="AH23" t="n">
        <v>0.0</v>
      </c>
      <c r="AI23" t="n">
        <v>0.0</v>
      </c>
      <c r="AJ23" t="n">
        <v>0.0</v>
      </c>
      <c r="AK23" t="n">
        <v>12.52445652173913</v>
      </c>
      <c r="AL23" t="inlineStr">
        <is>
          <t/>
        </is>
      </c>
    </row>
    <row r="24">
      <c r="A24" t="inlineStr">
        <is>
          <t>自己赚钱后报复性吃虾吃到爽</t>
        </is>
      </c>
      <c r="B24" t="inlineStr">
        <is>
          <t>69b517c10000000022024bb1</t>
        </is>
      </c>
      <c r="C24" s="23" t="n">
        <f>HYPERLINK("https://www.xiaohongshu.com/explore/69b517c10000000022024bb1?xsec_token=TBYgTJ9EzKmyKny4Vfc-tHEwkAvX5DoKGOb4A0nq9TXVw=&amp;xsec_source=pc_trdark","https://www.xiaohongshu.com/explore/69b517c10000000022024bb1?xsec_token=TBYgTJ9EzKmyKny4Vfc-tHEwkAvX5DoKGOb4A0nq9TXVw=&amp;xsec_source=pc_trdark")</f>
        <v>0.0</v>
      </c>
      <c r="D24" t="inlineStr">
        <is>
          <t>鲜水湾</t>
        </is>
      </c>
      <c r="E24" t="inlineStr">
        <is>
          <t>49316638994</t>
        </is>
      </c>
      <c r="F24" t="inlineStr">
        <is>
          <t>2026-03-14 16:09:37</t>
        </is>
      </c>
      <c r="G24" t="inlineStr">
        <is>
          <t>图文</t>
        </is>
      </c>
      <c r="H24" t="inlineStr">
        <is>
          <t>手剥虾仁 无冰衣无添加 低脂餐一人食 上班带饭 顺丰包邮 5盒装</t>
        </is>
      </c>
      <c r="I24" t="inlineStr">
        <is>
          <t>694baba01d450d00013662f0</t>
        </is>
      </c>
      <c r="J24" t="inlineStr">
        <is>
          <t/>
        </is>
      </c>
      <c r="K24" t="n">
        <v>236.0</v>
      </c>
      <c r="L24" t="n">
        <v>2.0</v>
      </c>
      <c r="M24" t="n">
        <v>78.0</v>
      </c>
      <c r="N24" t="inlineStr">
        <is>
          <t>0.23008849557522124</t>
        </is>
      </c>
      <c r="O24" t="n">
        <v>72.0</v>
      </c>
      <c r="P24" t="n">
        <v>2.0</v>
      </c>
      <c r="Q24" t="inlineStr">
        <is>
          <t>0.02564102564102564</t>
        </is>
      </c>
      <c r="R24" t="inlineStr">
        <is>
          <t>0.027777777777777776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21.0</v>
      </c>
      <c r="Z24" t="n">
        <v>25.0</v>
      </c>
      <c r="AA24" t="n">
        <v>356.0</v>
      </c>
      <c r="AB24" t="n">
        <v>0.0</v>
      </c>
      <c r="AC24" t="n">
        <v>0.0</v>
      </c>
      <c r="AD24" t="n">
        <v>339.0</v>
      </c>
      <c r="AE24" t="n">
        <v>6.0</v>
      </c>
      <c r="AF24" t="n">
        <v>2.0</v>
      </c>
      <c r="AG24" t="n">
        <v>0.0</v>
      </c>
      <c r="AH24" t="n">
        <v>3.0</v>
      </c>
      <c r="AI24" t="n">
        <v>2.0</v>
      </c>
      <c r="AJ24" t="n">
        <v>0.0</v>
      </c>
      <c r="AK24" t="n">
        <v>9.427728613569322</v>
      </c>
      <c r="AL24" t="inlineStr">
        <is>
          <t/>
        </is>
      </c>
    </row>
    <row r="25">
      <c r="A25" t="inlineStr">
        <is>
          <t>生蚝一箱也是码头价，运费算我的！</t>
        </is>
      </c>
      <c r="B25" t="inlineStr">
        <is>
          <t>6916f793000000001b0218c5</t>
        </is>
      </c>
      <c r="C25" s="24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25" t="inlineStr">
        <is>
          <t>婉婉上班吃什么</t>
        </is>
      </c>
      <c r="E25" t="inlineStr">
        <is>
          <t>11434449706</t>
        </is>
      </c>
      <c r="F25" t="inlineStr">
        <is>
          <t>2025-11-14 17:34:11</t>
        </is>
      </c>
      <c r="G25" t="inlineStr">
        <is>
          <t>视频</t>
        </is>
      </c>
      <c r="H25" t="inlineStr">
        <is>
          <t>生蚝乳山生蚝海蛎子顺丰包邮</t>
        </is>
      </c>
      <c r="I25" t="inlineStr">
        <is>
          <t>690c70971b787900010866cc</t>
        </is>
      </c>
      <c r="J25" t="n">
        <v>30.0</v>
      </c>
      <c r="K25" t="n">
        <v>77.9</v>
      </c>
      <c r="L25" t="n">
        <v>1.0</v>
      </c>
      <c r="M25" t="n">
        <v>66.0</v>
      </c>
      <c r="N25" t="inlineStr">
        <is>
          <t>0.19879518072289157</t>
        </is>
      </c>
      <c r="O25" t="n">
        <v>55.0</v>
      </c>
      <c r="P25" t="n">
        <v>1.0</v>
      </c>
      <c r="Q25" t="inlineStr">
        <is>
          <t>0.015151515151515152</t>
        </is>
      </c>
      <c r="R25" t="inlineStr">
        <is>
          <t>0.01818181818181818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8.0</v>
      </c>
      <c r="Z25" t="n">
        <v>20.0</v>
      </c>
      <c r="AA25" t="n">
        <v>0.0</v>
      </c>
      <c r="AB25" t="n">
        <v>0.0</v>
      </c>
      <c r="AC25" t="n">
        <v>0.0</v>
      </c>
      <c r="AD25" t="n">
        <v>332.0</v>
      </c>
      <c r="AE25" t="n">
        <v>3.0</v>
      </c>
      <c r="AF25" t="n">
        <v>1.0</v>
      </c>
      <c r="AG25" t="n">
        <v>0.0</v>
      </c>
      <c r="AH25" t="n">
        <v>0.0</v>
      </c>
      <c r="AI25" t="n">
        <v>2.0</v>
      </c>
      <c r="AJ25" t="n">
        <v>0.0</v>
      </c>
      <c r="AK25" t="n">
        <v>21.30421686746988</v>
      </c>
      <c r="AL25" t="n">
        <v>0.25</v>
      </c>
    </row>
    <row r="26">
      <c r="A26" t="inlineStr">
        <is>
          <t>现在的年轻人真的低估了100来块的购买力！</t>
        </is>
      </c>
      <c r="B26" t="inlineStr">
        <is>
          <t>69c24388000000002202ac04</t>
        </is>
      </c>
      <c r="C26" s="25" t="n">
        <f>HYPERLINK("https://www.xiaohongshu.com/explore/69c24388000000002202ac04?xsec_token=TBUqBR5MVQnv6JPS0VJV95uDefB4ya4NNaD8F0Hp3-I8A=&amp;xsec_source=pc_trdark","https://www.xiaohongshu.com/explore/69c24388000000002202ac04?xsec_token=TBUqBR5MVQnv6JPS0VJV95uDefB4ya4NNaD8F0Hp3-I8A=&amp;xsec_source=pc_trdark")</f>
        <v>0.0</v>
      </c>
      <c r="D26" t="inlineStr">
        <is>
          <t>菲菲上班吃什么</t>
        </is>
      </c>
      <c r="E26" t="inlineStr">
        <is>
          <t>49936530607</t>
        </is>
      </c>
      <c r="F26" t="inlineStr">
        <is>
          <t>2026-03-24 15:55:52</t>
        </is>
      </c>
      <c r="G26" t="inlineStr">
        <is>
          <t>图文</t>
        </is>
      </c>
      <c r="H26" t="inlineStr">
        <is>
          <t>智利三文鱼切块·整条三文鱼·深海鱼一人食健康饮食</t>
        </is>
      </c>
      <c r="I26" t="inlineStr">
        <is>
          <t>691ac562a524ee0001b51d7b</t>
        </is>
      </c>
      <c r="J26" t="inlineStr">
        <is>
          <t/>
        </is>
      </c>
      <c r="K26" t="n">
        <v>0.0</v>
      </c>
      <c r="L26" t="n">
        <v>0.0</v>
      </c>
      <c r="M26" t="n">
        <v>61.0</v>
      </c>
      <c r="N26" t="inlineStr">
        <is>
          <t>0.18429003021148035</t>
        </is>
      </c>
      <c r="O26" t="n">
        <v>58.0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inlineStr">
        <is>
          <t/>
        </is>
      </c>
      <c r="X26" t="n">
        <v>0.0</v>
      </c>
      <c r="Y26" t="n">
        <v>8.0</v>
      </c>
      <c r="Z26" t="n">
        <v>9.0</v>
      </c>
      <c r="AA26" t="n">
        <v>0.0</v>
      </c>
      <c r="AB26" t="n">
        <v>0.0</v>
      </c>
      <c r="AC26" t="n">
        <v>0.0</v>
      </c>
      <c r="AD26" t="n">
        <v>331.0</v>
      </c>
      <c r="AE26" t="n">
        <v>6.0</v>
      </c>
      <c r="AF26" t="n">
        <v>1.0</v>
      </c>
      <c r="AG26" t="n">
        <v>0.0</v>
      </c>
      <c r="AH26" t="n">
        <v>1.0</v>
      </c>
      <c r="AI26" t="n">
        <v>3.0</v>
      </c>
      <c r="AJ26" t="n">
        <v>0.0</v>
      </c>
      <c r="AK26" t="n">
        <v>10.682779456193353</v>
      </c>
      <c r="AL26" t="inlineStr">
        <is>
          <t/>
        </is>
      </c>
    </row>
    <row r="27">
      <c r="A27" t="inlineStr">
        <is>
          <t>年轻人真的不要低估60来块的购买力！</t>
        </is>
      </c>
      <c r="B27" t="inlineStr">
        <is>
          <t>69b57a0e000000001a02ec92</t>
        </is>
      </c>
      <c r="C27" s="26" t="n">
        <f>HYPERLINK("https://www.xiaohongshu.com/explore/69b57a0e000000001a02ec92?xsec_token=TBYgTJ9EzKmyKny4Vfc-tHE65rR412b_Te2gQKytFWGBU=&amp;xsec_source=pc_trdark","https://www.xiaohongshu.com/explore/69b57a0e000000001a02ec92?xsec_token=TBYgTJ9EzKmyKny4Vfc-tHE65rR412b_Te2gQKytFWGBU=&amp;xsec_source=pc_trdark")</f>
        <v>0.0</v>
      </c>
      <c r="D27" t="inlineStr">
        <is>
          <t>婉婉上班吃什么</t>
        </is>
      </c>
      <c r="E27" t="inlineStr">
        <is>
          <t>11434449706</t>
        </is>
      </c>
      <c r="F27" t="inlineStr">
        <is>
          <t>2026-03-14 23:09:02</t>
        </is>
      </c>
      <c r="G27" t="inlineStr">
        <is>
          <t>图文</t>
        </is>
      </c>
      <c r="H27" t="inlineStr">
        <is>
          <t>手剥虾仁 无冰衣无添加 低脂餐一人食 上班带饭 顺丰包邮 5盒装</t>
        </is>
      </c>
      <c r="I27" t="inlineStr">
        <is>
          <t>694baba01d450d00013662f0</t>
        </is>
      </c>
      <c r="J27" t="inlineStr">
        <is>
          <t/>
        </is>
      </c>
      <c r="K27" t="n">
        <v>345.0</v>
      </c>
      <c r="L27" t="n">
        <v>3.0</v>
      </c>
      <c r="M27" t="n">
        <v>40.0</v>
      </c>
      <c r="N27" t="inlineStr">
        <is>
          <t>0.12121212121212122</t>
        </is>
      </c>
      <c r="O27" t="n">
        <v>36.0</v>
      </c>
      <c r="P27" t="n">
        <v>3.0</v>
      </c>
      <c r="Q27" t="n">
        <v>0.075</v>
      </c>
      <c r="R27" t="inlineStr">
        <is>
          <t>0.08333333333333333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8.0</v>
      </c>
      <c r="Z27" t="n">
        <v>6.0</v>
      </c>
      <c r="AA27" t="n">
        <v>98.0</v>
      </c>
      <c r="AB27" t="n">
        <v>0.0</v>
      </c>
      <c r="AC27" t="n">
        <v>0.0</v>
      </c>
      <c r="AD27" t="n">
        <v>330.0</v>
      </c>
      <c r="AE27" t="n">
        <v>12.0</v>
      </c>
      <c r="AF27" t="n">
        <v>3.0</v>
      </c>
      <c r="AG27" t="n">
        <v>0.0</v>
      </c>
      <c r="AH27" t="n">
        <v>2.0</v>
      </c>
      <c r="AI27" t="n">
        <v>1.0</v>
      </c>
      <c r="AJ27" t="n">
        <v>0.0</v>
      </c>
      <c r="AK27" t="n">
        <v>9.05151515151515</v>
      </c>
      <c r="AL27" t="inlineStr">
        <is>
          <t/>
        </is>
      </c>
    </row>
    <row r="28">
      <c r="A28" t="inlineStr">
        <is>
          <t>抗炎饮食21天！全靠三文鱼救我</t>
        </is>
      </c>
      <c r="B28" t="inlineStr">
        <is>
          <t>69a11f1d000000001a036323</t>
        </is>
      </c>
      <c r="C28" s="27" t="n">
        <f>HYPERLINK("https://www.xiaohongshu.com/explore/69a11f1d000000001a036323?xsec_token=TBk7Tu9foWGIsieMmGc2tlwiI4JtNYKBk0uiNi6UVC5-k=&amp;xsec_source=pc_trdark","https://www.xiaohongshu.com/explore/69a11f1d000000001a036323?xsec_token=TBk7Tu9foWGIsieMmGc2tlwiI4JtNYKBk0uiNi6UVC5-k=&amp;xsec_source=pc_trdark")</f>
        <v>0.0</v>
      </c>
      <c r="D28" t="inlineStr">
        <is>
          <t>鲜水湾</t>
        </is>
      </c>
      <c r="E28" t="inlineStr">
        <is>
          <t>49316638994</t>
        </is>
      </c>
      <c r="F28" t="inlineStr">
        <is>
          <t>2026-02-27 12:35:41</t>
        </is>
      </c>
      <c r="G28" t="inlineStr">
        <is>
          <t>图文</t>
        </is>
      </c>
      <c r="H28" t="inlineStr">
        <is>
          <t>智利三文鱼切块·整条三文鱼·深海鱼一人食健康饮食</t>
        </is>
      </c>
      <c r="I28" t="inlineStr">
        <is>
          <t>691ac562a524ee0001b51d7b</t>
        </is>
      </c>
      <c r="J28" t="inlineStr">
        <is>
          <t/>
        </is>
      </c>
      <c r="K28" t="n">
        <v>0.0</v>
      </c>
      <c r="L28" t="n">
        <v>0.0</v>
      </c>
      <c r="M28" t="n">
        <v>22.0</v>
      </c>
      <c r="N28" t="inlineStr">
        <is>
          <t>0.06811145510835913</t>
        </is>
      </c>
      <c r="O28" t="n">
        <v>17.0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inlineStr">
        <is>
          <t/>
        </is>
      </c>
      <c r="X28" t="n">
        <v>0.0</v>
      </c>
      <c r="Y28" t="n">
        <v>3.0</v>
      </c>
      <c r="Z28" t="n">
        <v>7.0</v>
      </c>
      <c r="AA28" t="n">
        <v>0.0</v>
      </c>
      <c r="AB28" t="n">
        <v>0.0</v>
      </c>
      <c r="AC28" t="n">
        <v>0.0</v>
      </c>
      <c r="AD28" t="n">
        <v>323.0</v>
      </c>
      <c r="AE28" t="n">
        <v>1.0</v>
      </c>
      <c r="AF28" t="n">
        <v>0.0</v>
      </c>
      <c r="AG28" t="n">
        <v>0.0</v>
      </c>
      <c r="AH28" t="n">
        <v>2.0</v>
      </c>
      <c r="AI28" t="n">
        <v>0.0</v>
      </c>
      <c r="AJ28" t="n">
        <v>0.0</v>
      </c>
      <c r="AK28" t="n">
        <v>14.368421052631579</v>
      </c>
      <c r="AL28" t="inlineStr">
        <is>
          <t/>
        </is>
      </c>
    </row>
    <row r="29">
      <c r="A29" t="inlineStr">
        <is>
          <t>给害怕处理活虾的人一个买虾思路</t>
        </is>
      </c>
      <c r="B29" t="inlineStr">
        <is>
          <t>69a913b0000000000e03e0f7</t>
        </is>
      </c>
      <c r="C29" s="28" t="n">
        <f>HYPERLINK("https://www.xiaohongshu.com/explore/69a913b0000000000e03e0f7?xsec_token=TBX1UPru9xmrqAy_hfS76TmvvYG8UJv3ZxAh7d5lXB09I=&amp;xsec_source=pc_trdark","https://www.xiaohongshu.com/explore/69a913b0000000000e03e0f7?xsec_token=TBX1UPru9xmrqAy_hfS76TmvvYG8UJv3ZxAh7d5lXB09I=&amp;xsec_source=pc_trdark")</f>
        <v>0.0</v>
      </c>
      <c r="D29" t="inlineStr">
        <is>
          <t>鲜水湾</t>
        </is>
      </c>
      <c r="E29" t="inlineStr">
        <is>
          <t>49316638994</t>
        </is>
      </c>
      <c r="F29" t="inlineStr">
        <is>
          <t>2026-03-05 13:25:04</t>
        </is>
      </c>
      <c r="G29" t="inlineStr">
        <is>
          <t>图文</t>
        </is>
      </c>
      <c r="H29" t="inlineStr">
        <is>
          <t>大虾基围虾王牌大虾厄瓜多尔白虾盐冻虾仁海洋大虾送礼顺丰包邮</t>
        </is>
      </c>
      <c r="I29" t="inlineStr">
        <is>
          <t>690aeb7be379430001e686ac</t>
        </is>
      </c>
      <c r="J29" t="inlineStr">
        <is>
          <t/>
        </is>
      </c>
      <c r="K29" t="n">
        <v>87.0</v>
      </c>
      <c r="L29" t="n">
        <v>1.0</v>
      </c>
      <c r="M29" t="n">
        <v>75.0</v>
      </c>
      <c r="N29" t="n">
        <v>0.234375</v>
      </c>
      <c r="O29" t="n">
        <v>67.0</v>
      </c>
      <c r="P29" t="n">
        <v>1.0</v>
      </c>
      <c r="Q29" t="inlineStr">
        <is>
          <t>0.013333333333333334</t>
        </is>
      </c>
      <c r="R29" t="inlineStr">
        <is>
          <t>0.014925373134328358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11.0</v>
      </c>
      <c r="Z29" t="n">
        <v>6.0</v>
      </c>
      <c r="AA29" t="n">
        <v>0.0</v>
      </c>
      <c r="AB29" t="n">
        <v>0.0</v>
      </c>
      <c r="AC29" t="n">
        <v>0.0</v>
      </c>
      <c r="AD29" t="n">
        <v>320.0</v>
      </c>
      <c r="AE29" t="n">
        <v>2.0</v>
      </c>
      <c r="AF29" t="n">
        <v>1.0</v>
      </c>
      <c r="AG29" t="n">
        <v>0.0</v>
      </c>
      <c r="AH29" t="n">
        <v>2.0</v>
      </c>
      <c r="AI29" t="n">
        <v>0.0</v>
      </c>
      <c r="AJ29" t="n">
        <v>0.0</v>
      </c>
      <c r="AK29" t="n">
        <v>11.465625</v>
      </c>
      <c r="AL29" t="inlineStr">
        <is>
          <t/>
        </is>
      </c>
    </row>
    <row r="30">
      <c r="A30" t="inlineStr">
        <is>
          <t>区区69块，结果够我吃一周的了～</t>
        </is>
      </c>
      <c r="B30" t="inlineStr">
        <is>
          <t>69b13d4d0000000008032af2</t>
        </is>
      </c>
      <c r="C30" s="29" t="n">
        <f>HYPERLINK("https://www.xiaohongshu.com/explore/69b13d4d0000000008032af2?xsec_token=TBPThwaY7kqe53qUk5J0Oyzt2Swdhwfah01CsFJkxKvL8=&amp;xsec_source=pc_trdark","https://www.xiaohongshu.com/explore/69b13d4d0000000008032af2?xsec_token=TBPThwaY7kqe53qUk5J0Oyzt2Swdhwfah01CsFJkxKvL8=&amp;xsec_source=pc_trdark")</f>
        <v>0.0</v>
      </c>
      <c r="D30" t="inlineStr">
        <is>
          <t>鲜水湾</t>
        </is>
      </c>
      <c r="E30" t="inlineStr">
        <is>
          <t>49316638994</t>
        </is>
      </c>
      <c r="F30" t="inlineStr">
        <is>
          <t>2026-03-11 18:00:45</t>
        </is>
      </c>
      <c r="G30" t="inlineStr">
        <is>
          <t>图文</t>
        </is>
      </c>
      <c r="H30" t="inlineStr">
        <is>
          <t>大虾基围虾王牌大虾厄瓜多尔白虾盐冻虾仁海洋大虾送礼顺丰包邮</t>
        </is>
      </c>
      <c r="I30" t="inlineStr">
        <is>
          <t>690aeb7be379430001e686ac</t>
        </is>
      </c>
      <c r="J30" t="inlineStr">
        <is>
          <t/>
        </is>
      </c>
      <c r="K30" t="n">
        <v>0.0</v>
      </c>
      <c r="L30" t="n">
        <v>0.0</v>
      </c>
      <c r="M30" t="n">
        <v>54.0</v>
      </c>
      <c r="N30" t="inlineStr">
        <is>
          <t>0.17363344051446947</t>
        </is>
      </c>
      <c r="O30" t="n">
        <v>47.0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inlineStr">
        <is>
          <t/>
        </is>
      </c>
      <c r="X30" t="n">
        <v>0.0</v>
      </c>
      <c r="Y30" t="n">
        <v>5.0</v>
      </c>
      <c r="Z30" t="n">
        <v>4.0</v>
      </c>
      <c r="AA30" t="n">
        <v>0.0</v>
      </c>
      <c r="AB30" t="n">
        <v>0.0</v>
      </c>
      <c r="AC30" t="n">
        <v>0.0</v>
      </c>
      <c r="AD30" t="n">
        <v>311.0</v>
      </c>
      <c r="AE30" t="n">
        <v>8.0</v>
      </c>
      <c r="AF30" t="n">
        <v>0.0</v>
      </c>
      <c r="AG30" t="n">
        <v>0.0</v>
      </c>
      <c r="AH30" t="n">
        <v>2.0</v>
      </c>
      <c r="AI30" t="n">
        <v>0.0</v>
      </c>
      <c r="AJ30" t="n">
        <v>0.0</v>
      </c>
      <c r="AK30" t="n">
        <v>13.244372990353698</v>
      </c>
      <c r="AL30" t="inlineStr">
        <is>
          <t/>
        </is>
      </c>
    </row>
    <row r="31">
      <c r="A31" t="inlineStr">
        <is>
          <t>头籽北极甜虾你真的会吃吗？</t>
        </is>
      </c>
      <c r="B31" t="inlineStr">
        <is>
          <t>696d8eb3000000000c035e5e</t>
        </is>
      </c>
      <c r="C31" s="30" t="n">
        <f>HYPERLINK("https://www.xiaohongshu.com/explore/696d8eb3000000000c035e5e?xsec_token=TBhBdCGGh1NnVPomuS6-J4H6RT9tyPrUpjWMHTUUrQzKY=&amp;xsec_source=pc_trdark","https://www.xiaohongshu.com/explore/696d8eb3000000000c035e5e?xsec_token=TBhBdCGGh1NnVPomuS6-J4H6RT9tyPrUpjWMHTUUrQzKY=&amp;xsec_source=pc_trdark")</f>
        <v>0.0</v>
      </c>
      <c r="D31" t="inlineStr">
        <is>
          <t>鲜水湾甄选</t>
        </is>
      </c>
      <c r="E31" t="inlineStr">
        <is>
          <t>27401929161</t>
        </is>
      </c>
      <c r="F31" t="inlineStr">
        <is>
          <t>2026-01-19 09:53:55</t>
        </is>
      </c>
      <c r="G31" t="inlineStr">
        <is>
          <t>视频</t>
        </is>
      </c>
      <c r="H31" t="inlineStr">
        <is>
          <t>北极甜虾头籽甜虾元宝虾北极熊冰虾孕妈妈宝宝辅食顺丰</t>
        </is>
      </c>
      <c r="I31" t="inlineStr">
        <is>
          <t>6953717eb8f0bb000115158d</t>
        </is>
      </c>
      <c r="J31" t="n">
        <v>42.0</v>
      </c>
      <c r="K31" t="n">
        <v>0.0</v>
      </c>
      <c r="L31" t="n">
        <v>0.0</v>
      </c>
      <c r="M31" t="n">
        <v>16.0</v>
      </c>
      <c r="N31" t="inlineStr">
        <is>
          <t>0.05574912891986063</t>
        </is>
      </c>
      <c r="O31" t="n">
        <v>12.0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inlineStr">
        <is>
          <t/>
        </is>
      </c>
      <c r="X31" t="n">
        <v>0.0</v>
      </c>
      <c r="Y31" t="n">
        <v>2.0</v>
      </c>
      <c r="Z31" t="n">
        <v>2.0</v>
      </c>
      <c r="AA31" t="n">
        <v>0.0</v>
      </c>
      <c r="AB31" t="n">
        <v>0.0</v>
      </c>
      <c r="AC31" t="n">
        <v>0.0</v>
      </c>
      <c r="AD31" t="n">
        <v>287.0</v>
      </c>
      <c r="AE31" t="n">
        <v>1.0</v>
      </c>
      <c r="AF31" t="n">
        <v>1.0</v>
      </c>
      <c r="AG31" t="n">
        <v>0.0</v>
      </c>
      <c r="AH31" t="n">
        <v>0.0</v>
      </c>
      <c r="AI31" t="n">
        <v>0.0</v>
      </c>
      <c r="AJ31" t="n">
        <v>0.0</v>
      </c>
      <c r="AK31" t="n">
        <v>20.574912891986063</v>
      </c>
      <c r="AL31" t="inlineStr">
        <is>
          <t>0.20485175202156333</t>
        </is>
      </c>
    </row>
    <row r="32">
      <c r="A32" t="inlineStr">
        <is>
          <t>感谢315，让我买到了无保水虾仁🍤</t>
        </is>
      </c>
      <c r="B32" t="inlineStr">
        <is>
          <t>69bcb01c000000001f0005dc</t>
        </is>
      </c>
      <c r="C32" s="31" t="n">
        <f>HYPERLINK("https://www.xiaohongshu.com/explore/69bcb01c000000001f0005dc?xsec_token=TBfIJFVzszocpn5U7ogutYTXwp6DbMH-LDy_pC6-B8xd4=&amp;xsec_source=pc_trdark","https://www.xiaohongshu.com/explore/69bcb01c000000001f0005dc?xsec_token=TBfIJFVzszocpn5U7ogutYTXwp6DbMH-LDy_pC6-B8xd4=&amp;xsec_source=pc_trdark")</f>
        <v>0.0</v>
      </c>
      <c r="D32" t="inlineStr">
        <is>
          <t>菲菲上班吃什么</t>
        </is>
      </c>
      <c r="E32" t="inlineStr">
        <is>
          <t>49936530607</t>
        </is>
      </c>
      <c r="F32" t="inlineStr">
        <is>
          <t>2026-03-20 10:25:32</t>
        </is>
      </c>
      <c r="G32" t="inlineStr">
        <is>
          <t>图文</t>
        </is>
      </c>
      <c r="H32" t="inlineStr">
        <is>
          <t>手剥虾仁 无冰衣无添加 低脂餐一人食 上班带饭 顺丰包邮 5盒装</t>
        </is>
      </c>
      <c r="I32" t="inlineStr">
        <is>
          <t>694baba01d450d00013662f0</t>
        </is>
      </c>
      <c r="J32" t="inlineStr">
        <is>
          <t/>
        </is>
      </c>
      <c r="K32" t="n">
        <v>138.0</v>
      </c>
      <c r="L32" t="n">
        <v>2.0</v>
      </c>
      <c r="M32" t="n">
        <v>41.0</v>
      </c>
      <c r="N32" t="n">
        <v>0.1453900709219858</v>
      </c>
      <c r="O32" t="n">
        <v>39.0</v>
      </c>
      <c r="P32" t="n">
        <v>2.0</v>
      </c>
      <c r="Q32" t="inlineStr">
        <is>
          <t>0.04878048780487805</t>
        </is>
      </c>
      <c r="R32" t="inlineStr">
        <is>
          <t>0.05128205128205128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14.0</v>
      </c>
      <c r="Z32" t="n">
        <v>8.0</v>
      </c>
      <c r="AA32" t="n">
        <v>0.0</v>
      </c>
      <c r="AB32" t="n">
        <v>0.0</v>
      </c>
      <c r="AC32" t="n">
        <v>0.0</v>
      </c>
      <c r="AD32" t="n">
        <v>282.0</v>
      </c>
      <c r="AE32" t="n">
        <v>3.0</v>
      </c>
      <c r="AF32" t="n">
        <v>0.0</v>
      </c>
      <c r="AG32" t="n">
        <v>0.0</v>
      </c>
      <c r="AH32" t="n">
        <v>2.0</v>
      </c>
      <c r="AI32" t="n">
        <v>0.0</v>
      </c>
      <c r="AJ32" t="n">
        <v>0.0</v>
      </c>
      <c r="AK32" t="n">
        <v>10.663120567375886</v>
      </c>
      <c r="AL32" t="inlineStr">
        <is>
          <t/>
        </is>
      </c>
    </row>
    <row r="33">
      <c r="A33" t="inlineStr">
        <is>
          <t>99%的南方人都没吃过的北极甜虾你吃过吗</t>
        </is>
      </c>
      <c r="B33" t="inlineStr">
        <is>
          <t>6969f715000000000b00baef</t>
        </is>
      </c>
      <c r="C33" s="32" t="n">
        <f>HYPERLINK("https://www.xiaohongshu.com/explore/6969f715000000000b00baef?xsec_token=TBrfrRU4wM2w5bDKUviah5T-W9Hq5cH3-Hs-_19CceRQA=&amp;xsec_source=pc_trdark","https://www.xiaohongshu.com/explore/6969f715000000000b00baef?xsec_token=TBrfrRU4wM2w5bDKUviah5T-W9Hq5cH3-Hs-_19CceRQA=&amp;xsec_source=pc_trdark")</f>
        <v>0.0</v>
      </c>
      <c r="D33" t="inlineStr">
        <is>
          <t>鲜水湾甄选</t>
        </is>
      </c>
      <c r="E33" t="inlineStr">
        <is>
          <t>27401929161</t>
        </is>
      </c>
      <c r="F33" t="inlineStr">
        <is>
          <t>2026-01-16 16:30:13</t>
        </is>
      </c>
      <c r="G33" t="inlineStr">
        <is>
          <t>视频</t>
        </is>
      </c>
      <c r="H33" t="inlineStr">
        <is>
          <t>北极甜虾头籽甜虾元宝虾北极熊冰虾孕妈妈宝宝辅食顺丰</t>
        </is>
      </c>
      <c r="I33" t="inlineStr">
        <is>
          <t>6953717eb8f0bb000115158d</t>
        </is>
      </c>
      <c r="J33" t="n">
        <v>46.0</v>
      </c>
      <c r="K33" t="n">
        <v>0.0</v>
      </c>
      <c r="L33" t="n">
        <v>0.0</v>
      </c>
      <c r="M33" t="n">
        <v>7.0</v>
      </c>
      <c r="N33" t="n">
        <v>0.025</v>
      </c>
      <c r="O33" t="n">
        <v>7.0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inlineStr">
        <is>
          <t/>
        </is>
      </c>
      <c r="X33" t="n">
        <v>0.0</v>
      </c>
      <c r="Y33" t="n">
        <v>1.0</v>
      </c>
      <c r="Z33" t="n">
        <v>3.0</v>
      </c>
      <c r="AA33" t="n">
        <v>0.0</v>
      </c>
      <c r="AB33" t="n">
        <v>0.0</v>
      </c>
      <c r="AC33" t="n">
        <v>0.0</v>
      </c>
      <c r="AD33" t="n">
        <v>280.0</v>
      </c>
      <c r="AE33" t="n">
        <v>2.0</v>
      </c>
      <c r="AF33" t="n">
        <v>0.0</v>
      </c>
      <c r="AG33" t="n">
        <v>0.0</v>
      </c>
      <c r="AH33" t="n">
        <v>0.0</v>
      </c>
      <c r="AI33" t="n">
        <v>1.0</v>
      </c>
      <c r="AJ33" t="n">
        <v>0.0</v>
      </c>
      <c r="AK33" t="n">
        <v>16.05</v>
      </c>
      <c r="AL33" t="inlineStr">
        <is>
          <t>0.11042944785276074</t>
        </is>
      </c>
    </row>
    <row r="34">
      <c r="A34" t="inlineStr">
        <is>
          <t>奉劝女孩们对70的购买力有点概念！</t>
        </is>
      </c>
      <c r="B34" t="inlineStr">
        <is>
          <t>69b5000d00000000220289ed</t>
        </is>
      </c>
      <c r="C34" s="33" t="n">
        <f>HYPERLINK("https://www.xiaohongshu.com/explore/69b5000d00000000220289ed?xsec_token=TBYgTJ9EzKmyKny4Vfc-tHEwudjjn0rnHN8ne086zGalc=&amp;xsec_source=pc_trdark","https://www.xiaohongshu.com/explore/69b5000d00000000220289ed?xsec_token=TBYgTJ9EzKmyKny4Vfc-tHEwudjjn0rnHN8ne086zGalc=&amp;xsec_source=pc_trdark")</f>
        <v>0.0</v>
      </c>
      <c r="D34" t="inlineStr">
        <is>
          <t>婉婉上班吃什么</t>
        </is>
      </c>
      <c r="E34" t="inlineStr">
        <is>
          <t>11434449706</t>
        </is>
      </c>
      <c r="F34" t="inlineStr">
        <is>
          <t>2026-03-14 14:28:29</t>
        </is>
      </c>
      <c r="G34" t="inlineStr">
        <is>
          <t>图文</t>
        </is>
      </c>
      <c r="H34" t="inlineStr">
        <is>
          <t>手剥虾仁 无冰衣无添加 低脂餐一人食 上班带饭 顺丰包邮 5盒装</t>
        </is>
      </c>
      <c r="I34" t="inlineStr">
        <is>
          <t>694baba01d450d00013662f0</t>
        </is>
      </c>
      <c r="J34" t="inlineStr">
        <is>
          <t/>
        </is>
      </c>
      <c r="K34" t="n">
        <v>541.0</v>
      </c>
      <c r="L34" t="n">
        <v>8.0</v>
      </c>
      <c r="M34" t="n">
        <v>53.0</v>
      </c>
      <c r="N34" t="inlineStr">
        <is>
          <t>0.18996415770609318</t>
        </is>
      </c>
      <c r="O34" t="n">
        <v>48.0</v>
      </c>
      <c r="P34" t="n">
        <v>8.0</v>
      </c>
      <c r="Q34" t="n">
        <v>0.1509433962264151</v>
      </c>
      <c r="R34" t="inlineStr">
        <is>
          <t>0.16666666666666666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10.0</v>
      </c>
      <c r="Z34" t="n">
        <v>18.0</v>
      </c>
      <c r="AA34" t="n">
        <v>0.0</v>
      </c>
      <c r="AB34" t="n">
        <v>0.0</v>
      </c>
      <c r="AC34" t="n">
        <v>0.0</v>
      </c>
      <c r="AD34" t="n">
        <v>279.0</v>
      </c>
      <c r="AE34" t="n">
        <v>16.0</v>
      </c>
      <c r="AF34" t="n">
        <v>8.0</v>
      </c>
      <c r="AG34" t="n">
        <v>10.0</v>
      </c>
      <c r="AH34" t="n">
        <v>8.0</v>
      </c>
      <c r="AI34" t="n">
        <v>1.0</v>
      </c>
      <c r="AJ34" t="n">
        <v>0.0</v>
      </c>
      <c r="AK34" t="n">
        <v>14.559139784946236</v>
      </c>
      <c r="AL34" t="inlineStr">
        <is>
          <t/>
        </is>
      </c>
    </row>
    <row r="35">
      <c r="A35" t="inlineStr">
        <is>
          <t>现在的年轻人严重低估了69块的购买力</t>
        </is>
      </c>
      <c r="B35" t="inlineStr">
        <is>
          <t>69ca24df000000001b022c22</t>
        </is>
      </c>
      <c r="C35" s="34" t="n">
        <f>HYPERLINK("https://www.xiaohongshu.com/explore/69ca24df000000001b022c22?xsec_token=TBZMwIQ43aS0K0DsaEHGlBqosj0EBjgrntys_kzlYxhys=&amp;xsec_source=pc_trdark","https://www.xiaohongshu.com/explore/69ca24df000000001b022c22?xsec_token=TBZMwIQ43aS0K0DsaEHGlBqosj0EBjgrntys_kzlYxhys=&amp;xsec_source=pc_trdark")</f>
        <v>0.0</v>
      </c>
      <c r="D35" t="inlineStr">
        <is>
          <t>婉婉上班吃什么</t>
        </is>
      </c>
      <c r="E35" t="inlineStr">
        <is>
          <t>11434449706</t>
        </is>
      </c>
      <c r="F35" t="inlineStr">
        <is>
          <t>2026-03-30 15:23:11</t>
        </is>
      </c>
      <c r="G35" t="inlineStr">
        <is>
          <t>图文</t>
        </is>
      </c>
      <c r="H35" t="inlineStr">
        <is>
          <t>手剥虾仁 无冰衣无添加 低脂餐一人食 上班带饭 顺丰包邮 5盒装</t>
        </is>
      </c>
      <c r="I35" t="inlineStr">
        <is>
          <t>694baba01d450d00013662f0</t>
        </is>
      </c>
      <c r="J35" t="inlineStr">
        <is>
          <t/>
        </is>
      </c>
      <c r="K35" t="n">
        <v>197.0</v>
      </c>
      <c r="L35" t="n">
        <v>2.0</v>
      </c>
      <c r="M35" t="n">
        <v>42.0</v>
      </c>
      <c r="N35" t="inlineStr">
        <is>
          <t>0.15498154981549817</t>
        </is>
      </c>
      <c r="O35" t="n">
        <v>40.0</v>
      </c>
      <c r="P35" t="n">
        <v>2.0</v>
      </c>
      <c r="Q35" t="inlineStr">
        <is>
          <t>0.047619047619047616</t>
        </is>
      </c>
      <c r="R35" t="n">
        <v>0.05</v>
      </c>
      <c r="S35" t="n">
        <v>62.0</v>
      </c>
      <c r="T35" t="n">
        <v>1.0</v>
      </c>
      <c r="U35" t="n">
        <v>1.0</v>
      </c>
      <c r="V35" t="n">
        <v>62.0</v>
      </c>
      <c r="W35" t="n">
        <v>0.3147208121827411</v>
      </c>
      <c r="X35" t="n">
        <v>1.0</v>
      </c>
      <c r="Y35" t="n">
        <v>13.0</v>
      </c>
      <c r="Z35" t="n">
        <v>6.0</v>
      </c>
      <c r="AA35" t="n">
        <v>0.0</v>
      </c>
      <c r="AB35" t="n">
        <v>0.0</v>
      </c>
      <c r="AC35" t="n">
        <v>0.0</v>
      </c>
      <c r="AD35" t="n">
        <v>271.0</v>
      </c>
      <c r="AE35" t="n">
        <v>4.0</v>
      </c>
      <c r="AF35" t="n">
        <v>0.0</v>
      </c>
      <c r="AG35" t="n">
        <v>2.0</v>
      </c>
      <c r="AH35" t="n">
        <v>1.0</v>
      </c>
      <c r="AI35" t="n">
        <v>0.0</v>
      </c>
      <c r="AJ35" t="n">
        <v>0.0</v>
      </c>
      <c r="AK35" t="n">
        <v>11.708487084870848</v>
      </c>
      <c r="AL35" t="inlineStr">
        <is>
          <t/>
        </is>
      </c>
    </row>
    <row r="36">
      <c r="A36" t="inlineStr">
        <is>
          <t>长期主义的三文鱼，真的没有平替。。。</t>
        </is>
      </c>
      <c r="B36" t="inlineStr">
        <is>
          <t>69c3a5ab00000000280097e2</t>
        </is>
      </c>
      <c r="C36" s="35" t="n">
        <f>HYPERLINK("https://www.xiaohongshu.com/explore/69c3a5ab00000000280097e2?xsec_token=TBedSEQ7qtT06AlsylOAiUw-qadzhLzP290aPufd-NgOI=&amp;xsec_source=pc_trdark","https://www.xiaohongshu.com/explore/69c3a5ab00000000280097e2?xsec_token=TBedSEQ7qtT06AlsylOAiUw-qadzhLzP290aPufd-NgOI=&amp;xsec_source=pc_trdark")</f>
        <v>0.0</v>
      </c>
      <c r="D36" t="inlineStr">
        <is>
          <t>菲菲上班吃什么</t>
        </is>
      </c>
      <c r="E36" t="inlineStr">
        <is>
          <t>49936530607</t>
        </is>
      </c>
      <c r="F36" t="inlineStr">
        <is>
          <t>2026-03-25 17:06:51</t>
        </is>
      </c>
      <c r="G36" t="inlineStr">
        <is>
          <t>图文</t>
        </is>
      </c>
      <c r="H36" t="inlineStr">
        <is>
          <t>智利三文鱼切块·整条三文鱼·深海鱼一人食健康饮食</t>
        </is>
      </c>
      <c r="I36" t="inlineStr">
        <is>
          <t>691ac562a524ee0001b51d7b</t>
        </is>
      </c>
      <c r="J36" t="inlineStr">
        <is>
          <t/>
        </is>
      </c>
      <c r="K36" t="n">
        <v>0.0</v>
      </c>
      <c r="L36" t="n">
        <v>0.0</v>
      </c>
      <c r="M36" t="n">
        <v>41.0</v>
      </c>
      <c r="N36" t="inlineStr">
        <is>
          <t>0.15413533834586465</t>
        </is>
      </c>
      <c r="O36" t="n">
        <v>39.0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inlineStr">
        <is>
          <t/>
        </is>
      </c>
      <c r="X36" t="n">
        <v>0.0</v>
      </c>
      <c r="Y36" t="n">
        <v>6.0</v>
      </c>
      <c r="Z36" t="n">
        <v>3.0</v>
      </c>
      <c r="AA36" t="n">
        <v>0.0</v>
      </c>
      <c r="AB36" t="n">
        <v>0.0</v>
      </c>
      <c r="AC36" t="n">
        <v>0.0</v>
      </c>
      <c r="AD36" t="n">
        <v>266.0</v>
      </c>
      <c r="AE36" t="n">
        <v>2.0</v>
      </c>
      <c r="AF36" t="n">
        <v>2.0</v>
      </c>
      <c r="AG36" t="n">
        <v>4.0</v>
      </c>
      <c r="AH36" t="n">
        <v>2.0</v>
      </c>
      <c r="AI36" t="n">
        <v>0.0</v>
      </c>
      <c r="AJ36" t="n">
        <v>0.0</v>
      </c>
      <c r="AK36" t="n">
        <v>10.853383458646617</v>
      </c>
      <c r="AL36" t="inlineStr">
        <is>
          <t/>
        </is>
      </c>
    </row>
    <row r="37">
      <c r="A37" t="inlineStr">
        <is>
          <t>办公室同事说我每天吃虾减脂很奢侈</t>
        </is>
      </c>
      <c r="B37" t="inlineStr">
        <is>
          <t>69a7bcb7000000001a02cded</t>
        </is>
      </c>
      <c r="C37" s="36" t="n">
        <f>HYPERLINK("https://www.xiaohongshu.com/explore/69a7bcb7000000001a02cded?xsec_token=TBfaHJOfbObHzNAqAc3bkGM_9TgAkMXeM7t1RJx4giKXg=&amp;xsec_source=pc_trdark","https://www.xiaohongshu.com/explore/69a7bcb7000000001a02cded?xsec_token=TBfaHJOfbObHzNAqAc3bkGM_9TgAkMXeM7t1RJx4giKXg=&amp;xsec_source=pc_trdark")</f>
        <v>0.0</v>
      </c>
      <c r="D37" t="inlineStr">
        <is>
          <t>鲜水湾</t>
        </is>
      </c>
      <c r="E37" t="inlineStr">
        <is>
          <t>49316638994</t>
        </is>
      </c>
      <c r="F37" t="inlineStr">
        <is>
          <t>2026-03-04 13:01:43</t>
        </is>
      </c>
      <c r="G37" t="inlineStr">
        <is>
          <t>图文</t>
        </is>
      </c>
      <c r="H37" t="inlineStr">
        <is>
          <t>大虾基围虾王牌大虾厄瓜多尔白虾盐冻虾仁海洋大虾送礼顺丰包邮</t>
        </is>
      </c>
      <c r="I37" t="inlineStr">
        <is>
          <t>690aeb7be379430001e686ac</t>
        </is>
      </c>
      <c r="J37" t="inlineStr">
        <is>
          <t/>
        </is>
      </c>
      <c r="K37" t="n">
        <v>0.0</v>
      </c>
      <c r="L37" t="n">
        <v>0.0</v>
      </c>
      <c r="M37" t="n">
        <v>58.0</v>
      </c>
      <c r="N37" t="n">
        <v>0.2196969696969697</v>
      </c>
      <c r="O37" t="n">
        <v>53.0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inlineStr">
        <is>
          <t/>
        </is>
      </c>
      <c r="X37" t="n">
        <v>0.0</v>
      </c>
      <c r="Y37" t="n">
        <v>4.0</v>
      </c>
      <c r="Z37" t="n">
        <v>13.0</v>
      </c>
      <c r="AA37" t="n">
        <v>0.0</v>
      </c>
      <c r="AB37" t="n">
        <v>0.0</v>
      </c>
      <c r="AC37" t="n">
        <v>0.0</v>
      </c>
      <c r="AD37" t="n">
        <v>264.0</v>
      </c>
      <c r="AE37" t="n">
        <v>4.0</v>
      </c>
      <c r="AF37" t="n">
        <v>2.0</v>
      </c>
      <c r="AG37" t="n">
        <v>1.0</v>
      </c>
      <c r="AH37" t="n">
        <v>2.0</v>
      </c>
      <c r="AI37" t="n">
        <v>0.0</v>
      </c>
      <c r="AJ37" t="n">
        <v>0.0</v>
      </c>
      <c r="AK37" t="n">
        <v>12.787878787878787</v>
      </c>
      <c r="AL37" t="inlineStr">
        <is>
          <t/>
        </is>
      </c>
    </row>
    <row r="38">
      <c r="A38" t="inlineStr">
        <is>
          <t>我妈：你就卖点好的，贵点没关系</t>
        </is>
      </c>
      <c r="B38" t="inlineStr">
        <is>
          <t>69733ba5000000000b012ea6</t>
        </is>
      </c>
      <c r="C38" s="37" t="n">
        <f>HYPERLINK("https://www.xiaohongshu.com/explore/69733ba5000000000b012ea6?xsec_token=TBK07qywxRjCZuuyJUweFeXzWpMfGOIYuVR7tfyDWyPPY=&amp;xsec_source=pc_trdark","https://www.xiaohongshu.com/explore/69733ba5000000000b012ea6?xsec_token=TBK07qywxRjCZuuyJUweFeXzWpMfGOIYuVR7tfyDWyPPY=&amp;xsec_source=pc_trdark")</f>
        <v>0.0</v>
      </c>
      <c r="D38" t="inlineStr">
        <is>
          <t>鲜水湾甄选</t>
        </is>
      </c>
      <c r="E38" t="inlineStr">
        <is>
          <t>27401929161</t>
        </is>
      </c>
      <c r="F38" t="inlineStr">
        <is>
          <t>2026-01-23 17:13:09</t>
        </is>
      </c>
      <c r="G38" t="inlineStr">
        <is>
          <t>图文</t>
        </is>
      </c>
      <c r="H38" t="inlineStr">
        <is>
          <t>北极甜虾头籽甜虾元宝虾北极熊冰虾孕妈妈宝宝辅食顺丰</t>
        </is>
      </c>
      <c r="I38" t="inlineStr">
        <is>
          <t>6953717eb8f0bb000115158d</t>
        </is>
      </c>
      <c r="J38" t="inlineStr">
        <is>
          <t/>
        </is>
      </c>
      <c r="K38" t="n">
        <v>0.0</v>
      </c>
      <c r="L38" t="n">
        <v>0.0</v>
      </c>
      <c r="M38" t="n">
        <v>23.0</v>
      </c>
      <c r="N38" t="inlineStr">
        <is>
          <t>0.08712121212121213</t>
        </is>
      </c>
      <c r="O38" t="n">
        <v>22.0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/>
        </is>
      </c>
      <c r="X38" t="n">
        <v>0.0</v>
      </c>
      <c r="Y38" t="n">
        <v>2.0</v>
      </c>
      <c r="Z38" t="n">
        <v>1.0</v>
      </c>
      <c r="AA38" t="n">
        <v>0.0</v>
      </c>
      <c r="AB38" t="n">
        <v>0.0</v>
      </c>
      <c r="AC38" t="n">
        <v>0.0</v>
      </c>
      <c r="AD38" t="n">
        <v>264.0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7.65530303030303</v>
      </c>
      <c r="AL38" t="inlineStr">
        <is>
          <t/>
        </is>
      </c>
    </row>
    <row r="39">
      <c r="A39" t="inlineStr">
        <is>
          <t>准爸爸吃完这一口又幸福了</t>
        </is>
      </c>
      <c r="B39" t="inlineStr">
        <is>
          <t>6942543a000000001f00d14c</t>
        </is>
      </c>
      <c r="C39" s="38" t="n">
        <f>HYPERLINK("https://www.xiaohongshu.com/explore/6942543a000000001f00d14c?xsec_token=TB0tDM60Z2n8tclFaINyevIV8AAGDWKFpC6kzdoIaSBkY=&amp;xsec_source=pc_trdark","https://www.xiaohongshu.com/explore/6942543a000000001f00d14c?xsec_token=TB0tDM60Z2n8tclFaINyevIV8AAGDWKFpC6kzdoIaSBkY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2025-12-17 14:56:58</t>
        </is>
      </c>
      <c r="G39" t="inlineStr">
        <is>
          <t>视频</t>
        </is>
      </c>
      <c r="H39" t="inlineStr">
        <is>
          <t>生蚝乳山生蚝海蛎子顺丰包邮</t>
        </is>
      </c>
      <c r="I39" t="inlineStr">
        <is>
          <t>690c70971b787900010866cc</t>
        </is>
      </c>
      <c r="J39" t="n">
        <v>26.0</v>
      </c>
      <c r="K39" t="n">
        <v>0.0</v>
      </c>
      <c r="L39" t="n">
        <v>0.0</v>
      </c>
      <c r="M39" t="n">
        <v>17.0</v>
      </c>
      <c r="N39" t="inlineStr">
        <is>
          <t>0.06513409961685823</t>
        </is>
      </c>
      <c r="O39" t="n">
        <v>16.0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/>
        </is>
      </c>
      <c r="X39" t="n">
        <v>0.0</v>
      </c>
      <c r="Y39" t="n">
        <v>4.0</v>
      </c>
      <c r="Z39" t="n">
        <v>0.0</v>
      </c>
      <c r="AA39" t="n">
        <v>0.0</v>
      </c>
      <c r="AB39" t="n">
        <v>0.0</v>
      </c>
      <c r="AC39" t="n">
        <v>0.0</v>
      </c>
      <c r="AD39" t="n">
        <v>261.0</v>
      </c>
      <c r="AE39" t="n">
        <v>4.0</v>
      </c>
      <c r="AF39" t="n">
        <v>2.0</v>
      </c>
      <c r="AG39" t="n">
        <v>0.0</v>
      </c>
      <c r="AH39" t="n">
        <v>0.0</v>
      </c>
      <c r="AI39" t="n">
        <v>0.0</v>
      </c>
      <c r="AJ39" t="n">
        <v>0.0</v>
      </c>
      <c r="AK39" t="n">
        <v>13.0</v>
      </c>
      <c r="AL39" t="inlineStr">
        <is>
          <t>0.16199376947040497</t>
        </is>
      </c>
    </row>
    <row r="40">
      <c r="A40" t="inlineStr">
        <is>
          <t>听粉丝的话，推出了一人食小包装</t>
        </is>
      </c>
      <c r="B40" t="inlineStr">
        <is>
          <t>69c8e4730000000020038e80</t>
        </is>
      </c>
      <c r="C40" s="39" t="n">
        <f>HYPERLINK("https://www.xiaohongshu.com/explore/69c8e4730000000020038e80?xsec_token=TBSs0bsvi6YGXB042lLCz_JJbGGQ13yUistziy-MNcNZo=&amp;xsec_source=pc_trdark","https://www.xiaohongshu.com/explore/69c8e4730000000020038e80?xsec_token=TBSs0bsvi6YGXB042lLCz_JJbGGQ13yUistziy-MNcNZo=&amp;xsec_source=pc_trdark")</f>
        <v>0.0</v>
      </c>
      <c r="D40" t="inlineStr">
        <is>
          <t>婉婉上班吃什么</t>
        </is>
      </c>
      <c r="E40" t="inlineStr">
        <is>
          <t>11434449706</t>
        </is>
      </c>
      <c r="F40" t="inlineStr">
        <is>
          <t>2026-03-29 16:36:03</t>
        </is>
      </c>
      <c r="G40" t="inlineStr">
        <is>
          <t>图文</t>
        </is>
      </c>
      <c r="H40" t="inlineStr">
        <is>
          <t>手剥虾仁 无冰衣无添加 低脂餐一人食 上班带饭 顺丰包邮 5盒装</t>
        </is>
      </c>
      <c r="I40" t="inlineStr">
        <is>
          <t>694baba01d450d00013662f0</t>
        </is>
      </c>
      <c r="J40" t="inlineStr">
        <is>
          <t/>
        </is>
      </c>
      <c r="K40" t="n">
        <v>0.0</v>
      </c>
      <c r="L40" t="n">
        <v>0.0</v>
      </c>
      <c r="M40" t="n">
        <v>42.0</v>
      </c>
      <c r="N40" t="inlineStr">
        <is>
          <t>0.16216216216216217</t>
        </is>
      </c>
      <c r="O40" t="n">
        <v>38.0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inlineStr">
        <is>
          <t/>
        </is>
      </c>
      <c r="X40" t="n">
        <v>0.0</v>
      </c>
      <c r="Y40" t="n">
        <v>5.0</v>
      </c>
      <c r="Z40" t="n">
        <v>11.0</v>
      </c>
      <c r="AA40" t="n">
        <v>0.0</v>
      </c>
      <c r="AB40" t="n">
        <v>0.0</v>
      </c>
      <c r="AC40" t="n">
        <v>0.0</v>
      </c>
      <c r="AD40" t="n">
        <v>259.0</v>
      </c>
      <c r="AE40" t="n">
        <v>2.0</v>
      </c>
      <c r="AF40" t="n">
        <v>1.0</v>
      </c>
      <c r="AG40" t="n">
        <v>0.0</v>
      </c>
      <c r="AH40" t="n">
        <v>0.0</v>
      </c>
      <c r="AI40" t="n">
        <v>0.0</v>
      </c>
      <c r="AJ40" t="n">
        <v>0.0</v>
      </c>
      <c r="AK40" t="n">
        <v>11.023166023166024</v>
      </c>
      <c r="AL40" t="inlineStr">
        <is>
          <t/>
        </is>
      </c>
    </row>
    <row r="41">
      <c r="A41" t="inlineStr">
        <is>
          <t>真的惊到我！才花69块，居然够我连吃整整一周</t>
        </is>
      </c>
      <c r="B41" t="inlineStr">
        <is>
          <t>69c889970000000023006d5a</t>
        </is>
      </c>
      <c r="C41" s="40" t="n">
        <f>HYPERLINK("https://www.xiaohongshu.com/explore/69c889970000000023006d5a?xsec_token=TBSs0bsvi6YGXB042lLCz_JPcohIrS3G6faLXAPDyQrBs=&amp;xsec_source=pc_trdark","https://www.xiaohongshu.com/explore/69c889970000000023006d5a?xsec_token=TBSs0bsvi6YGXB042lLCz_JPcohIrS3G6faLXAPDyQrBs=&amp;xsec_source=pc_trdark")</f>
        <v>0.0</v>
      </c>
      <c r="D41" t="inlineStr">
        <is>
          <t>婉婉上班吃什么</t>
        </is>
      </c>
      <c r="E41" t="inlineStr">
        <is>
          <t>11434449706</t>
        </is>
      </c>
      <c r="F41" t="inlineStr">
        <is>
          <t>2026-03-29 10:08:23</t>
        </is>
      </c>
      <c r="G41" t="inlineStr">
        <is>
          <t>图文</t>
        </is>
      </c>
      <c r="H41" t="inlineStr">
        <is>
          <t>手剥虾仁 无冰衣无添加 低脂餐一人食 上班带饭 顺丰包邮 5盒装</t>
        </is>
      </c>
      <c r="I41" t="inlineStr">
        <is>
          <t>694baba01d450d00013662f0</t>
        </is>
      </c>
      <c r="J41" t="inlineStr">
        <is>
          <t/>
        </is>
      </c>
      <c r="K41" t="n">
        <v>276.0</v>
      </c>
      <c r="L41" t="n">
        <v>3.0</v>
      </c>
      <c r="M41" t="n">
        <v>46.0</v>
      </c>
      <c r="N41" t="inlineStr">
        <is>
          <t>0.18181818181818182</t>
        </is>
      </c>
      <c r="O41" t="n">
        <v>45.0</v>
      </c>
      <c r="P41" t="n">
        <v>3.0</v>
      </c>
      <c r="Q41" t="inlineStr">
        <is>
          <t>0.06521739130434782</t>
        </is>
      </c>
      <c r="R41" t="inlineStr">
        <is>
          <t>0.06666666666666667</t>
        </is>
      </c>
      <c r="S41" t="n">
        <v>69.0</v>
      </c>
      <c r="T41" t="n">
        <v>1.0</v>
      </c>
      <c r="U41" t="n">
        <v>1.0</v>
      </c>
      <c r="V41" t="n">
        <v>207.0</v>
      </c>
      <c r="W41" t="n">
        <v>0.75</v>
      </c>
      <c r="X41" t="n">
        <v>2.0</v>
      </c>
      <c r="Y41" t="n">
        <v>12.0</v>
      </c>
      <c r="Z41" t="n">
        <v>12.0</v>
      </c>
      <c r="AA41" t="n">
        <v>0.0</v>
      </c>
      <c r="AB41" t="n">
        <v>0.0</v>
      </c>
      <c r="AC41" t="n">
        <v>0.0</v>
      </c>
      <c r="AD41" t="n">
        <v>253.0</v>
      </c>
      <c r="AE41" t="n">
        <v>3.0</v>
      </c>
      <c r="AF41" t="n">
        <v>1.0</v>
      </c>
      <c r="AG41" t="n">
        <v>0.0</v>
      </c>
      <c r="AH41" t="n">
        <v>1.0</v>
      </c>
      <c r="AI41" t="n">
        <v>0.0</v>
      </c>
      <c r="AJ41" t="n">
        <v>0.0</v>
      </c>
      <c r="AK41" t="n">
        <v>16.35177865612648</v>
      </c>
      <c r="AL41" t="inlineStr">
        <is>
          <t/>
        </is>
      </c>
    </row>
    <row r="42">
      <c r="A42" t="inlineStr">
        <is>
          <t>别拿⛰️姆🎁马跟我比，真就不够打</t>
        </is>
      </c>
      <c r="B42" t="inlineStr">
        <is>
          <t>69c24d14000000001b020d51</t>
        </is>
      </c>
      <c r="C42" s="41" t="n">
        <f>HYPERLINK("https://www.xiaohongshu.com/explore/69c24d14000000001b020d51?xsec_token=TBUqBR5MVQnv6JPS0VJV95uNg_KoVE1NQXO2y-tC5iPj4=&amp;xsec_source=pc_trdark","https://www.xiaohongshu.com/explore/69c24d14000000001b020d51?xsec_token=TBUqBR5MVQnv6JPS0VJV95uNg_KoVE1NQXO2y-tC5iPj4=&amp;xsec_source=pc_trdark")</f>
        <v>0.0</v>
      </c>
      <c r="D42" t="inlineStr">
        <is>
          <t>鲜水湾</t>
        </is>
      </c>
      <c r="E42" t="inlineStr">
        <is>
          <t>49316638994</t>
        </is>
      </c>
      <c r="F42" t="inlineStr">
        <is>
          <t>2026-03-24 16:36:36</t>
        </is>
      </c>
      <c r="G42" t="inlineStr">
        <is>
          <t>图文</t>
        </is>
      </c>
      <c r="H42" t="inlineStr">
        <is>
          <t>手剥虾仁 无冰衣无添加 低脂餐一人食 上班带饭 顺丰包邮 5盒装</t>
        </is>
      </c>
      <c r="I42" t="inlineStr">
        <is>
          <t>694baba01d450d00013662f0</t>
        </is>
      </c>
      <c r="J42" t="inlineStr">
        <is>
          <t/>
        </is>
      </c>
      <c r="K42" t="n">
        <v>138.0</v>
      </c>
      <c r="L42" t="n">
        <v>2.0</v>
      </c>
      <c r="M42" t="n">
        <v>47.0</v>
      </c>
      <c r="N42" t="n">
        <v>0.188</v>
      </c>
      <c r="O42" t="n">
        <v>41.0</v>
      </c>
      <c r="P42" t="n">
        <v>2.0</v>
      </c>
      <c r="Q42" t="n">
        <v>0.0425531914893617</v>
      </c>
      <c r="R42" t="inlineStr">
        <is>
          <t>0.04878048780487805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12.0</v>
      </c>
      <c r="Z42" t="n">
        <v>15.0</v>
      </c>
      <c r="AA42" t="n">
        <v>0.0</v>
      </c>
      <c r="AB42" t="n">
        <v>0.0</v>
      </c>
      <c r="AC42" t="n">
        <v>0.0</v>
      </c>
      <c r="AD42" t="n">
        <v>250.0</v>
      </c>
      <c r="AE42" t="n">
        <v>1.0</v>
      </c>
      <c r="AF42" t="n">
        <v>1.0</v>
      </c>
      <c r="AG42" t="n">
        <v>0.0</v>
      </c>
      <c r="AH42" t="n">
        <v>3.0</v>
      </c>
      <c r="AI42" t="n">
        <v>1.0</v>
      </c>
      <c r="AJ42" t="n">
        <v>0.0</v>
      </c>
      <c r="AK42" t="n">
        <v>13.876</v>
      </c>
      <c r="AL42" t="inlineStr">
        <is>
          <t/>
        </is>
      </c>
    </row>
    <row r="43">
      <c r="A43" t="inlineStr">
        <is>
          <t>能接受没有保水剂虾仁的，年后控体你们就买</t>
        </is>
      </c>
      <c r="B43" t="inlineStr">
        <is>
          <t>69b4f5df000000001b020b79</t>
        </is>
      </c>
      <c r="C43" s="42" t="n">
        <f>HYPERLINK("https://www.xiaohongshu.com/explore/69b4f5df000000001b020b79?xsec_token=TB4dy4zP2Sasn_cYXEm_KMI68wQ5-vxZlTSY6i0mRkmpY=&amp;xsec_source=pc_trdark","https://www.xiaohongshu.com/explore/69b4f5df000000001b020b79?xsec_token=TB4dy4zP2Sasn_cYXEm_KMI68wQ5-vxZlTSY6i0mRkmpY=&amp;xsec_source=pc_trdark")</f>
        <v>0.0</v>
      </c>
      <c r="D43" t="inlineStr">
        <is>
          <t>鲜水湾</t>
        </is>
      </c>
      <c r="E43" t="inlineStr">
        <is>
          <t>49316638994</t>
        </is>
      </c>
      <c r="F43" t="inlineStr">
        <is>
          <t>2026-03-14 13:45:03</t>
        </is>
      </c>
      <c r="G43" t="inlineStr">
        <is>
          <t>图文</t>
        </is>
      </c>
      <c r="H43" t="inlineStr">
        <is>
          <t>手剥虾仁 无冰衣无添加 低脂餐一人食 上班带饭 顺丰包邮 5盒装</t>
        </is>
      </c>
      <c r="I43" t="inlineStr">
        <is>
          <t>694baba01d450d00013662f0</t>
        </is>
      </c>
      <c r="J43" t="inlineStr">
        <is>
          <t/>
        </is>
      </c>
      <c r="K43" t="n">
        <v>385.0</v>
      </c>
      <c r="L43" t="n">
        <v>4.0</v>
      </c>
      <c r="M43" t="n">
        <v>46.0</v>
      </c>
      <c r="N43" t="inlineStr">
        <is>
          <t>0.18548387096774194</t>
        </is>
      </c>
      <c r="O43" t="n">
        <v>39.0</v>
      </c>
      <c r="P43" t="n">
        <v>4.0</v>
      </c>
      <c r="Q43" t="inlineStr">
        <is>
          <t>0.08695652173913043</t>
        </is>
      </c>
      <c r="R43" t="inlineStr">
        <is>
          <t>0.10256410256410256</t>
        </is>
      </c>
      <c r="S43" t="n">
        <v>178.0</v>
      </c>
      <c r="T43" t="n">
        <v>1.0</v>
      </c>
      <c r="U43" t="n">
        <v>1.0</v>
      </c>
      <c r="V43" t="n">
        <v>178.0</v>
      </c>
      <c r="W43" t="n">
        <v>0.4623376623376623</v>
      </c>
      <c r="X43" t="n">
        <v>1.0</v>
      </c>
      <c r="Y43" t="n">
        <v>5.0</v>
      </c>
      <c r="Z43" t="n">
        <v>10.0</v>
      </c>
      <c r="AA43" t="n">
        <v>0.0</v>
      </c>
      <c r="AB43" t="n">
        <v>0.0</v>
      </c>
      <c r="AC43" t="n">
        <v>0.0</v>
      </c>
      <c r="AD43" t="n">
        <v>248.0</v>
      </c>
      <c r="AE43" t="n">
        <v>3.0</v>
      </c>
      <c r="AF43" t="n">
        <v>3.0</v>
      </c>
      <c r="AG43" t="n">
        <v>0.0</v>
      </c>
      <c r="AH43" t="n">
        <v>0.0</v>
      </c>
      <c r="AI43" t="n">
        <v>0.0</v>
      </c>
      <c r="AJ43" t="n">
        <v>0.0</v>
      </c>
      <c r="AK43" t="n">
        <v>9.633064516129032</v>
      </c>
      <c r="AL43" t="inlineStr">
        <is>
          <t/>
        </is>
      </c>
    </row>
    <row r="44">
      <c r="A44" t="inlineStr">
        <is>
          <t>以为69没多少，结果够我上班带饭吃一周了</t>
        </is>
      </c>
      <c r="B44" t="inlineStr">
        <is>
          <t>69bba9e40000000023006d0f</t>
        </is>
      </c>
      <c r="C44" s="43" t="n">
        <f>HYPERLINK("https://www.xiaohongshu.com/explore/69bba9e40000000023006d0f?xsec_token=TBbjiHoA30T3IRnkbtYIm1O__KQgP5Jms9DwDmCvlV_3E=&amp;xsec_source=pc_trdark","https://www.xiaohongshu.com/explore/69bba9e40000000023006d0f?xsec_token=TBbjiHoA30T3IRnkbtYIm1O__KQgP5Jms9DwDmCvlV_3E=&amp;xsec_source=pc_trdark")</f>
        <v>0.0</v>
      </c>
      <c r="D44" t="inlineStr">
        <is>
          <t>菲菲上班吃什么</t>
        </is>
      </c>
      <c r="E44" t="inlineStr">
        <is>
          <t>49936530607</t>
        </is>
      </c>
      <c r="F44" t="inlineStr">
        <is>
          <t>2026-03-19 15:46:44</t>
        </is>
      </c>
      <c r="G44" t="inlineStr">
        <is>
          <t>图文</t>
        </is>
      </c>
      <c r="H44" t="inlineStr">
        <is>
          <t>手剥虾仁 无冰衣无添加 低脂餐一人食 上班带饭 顺丰包邮 5盒装</t>
        </is>
      </c>
      <c r="I44" t="inlineStr">
        <is>
          <t>694baba01d450d00013662f0</t>
        </is>
      </c>
      <c r="J44" t="inlineStr">
        <is>
          <t/>
        </is>
      </c>
      <c r="K44" t="n">
        <v>266.0</v>
      </c>
      <c r="L44" t="n">
        <v>3.0</v>
      </c>
      <c r="M44" t="n">
        <v>30.0</v>
      </c>
      <c r="N44" t="n">
        <v>0.1271186440677966</v>
      </c>
      <c r="O44" t="n">
        <v>24.0</v>
      </c>
      <c r="P44" t="n">
        <v>3.0</v>
      </c>
      <c r="Q44" t="n">
        <v>0.1</v>
      </c>
      <c r="R44" t="n">
        <v>0.125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4.0</v>
      </c>
      <c r="Z44" t="n">
        <v>5.0</v>
      </c>
      <c r="AA44" t="n">
        <v>0.0</v>
      </c>
      <c r="AB44" t="n">
        <v>0.0</v>
      </c>
      <c r="AC44" t="n">
        <v>0.0</v>
      </c>
      <c r="AD44" t="n">
        <v>236.0</v>
      </c>
      <c r="AE44" t="n">
        <v>2.0</v>
      </c>
      <c r="AF44" t="n">
        <v>1.0</v>
      </c>
      <c r="AG44" t="n">
        <v>0.0</v>
      </c>
      <c r="AH44" t="n">
        <v>1.0</v>
      </c>
      <c r="AI44" t="n">
        <v>0.0</v>
      </c>
      <c r="AJ44" t="n">
        <v>0.0</v>
      </c>
      <c r="AK44" t="n">
        <v>9.809322033898304</v>
      </c>
      <c r="AL44" t="inlineStr">
        <is>
          <t/>
        </is>
      </c>
    </row>
    <row r="45">
      <c r="A45" t="inlineStr">
        <is>
          <t>从青岛发过来的！被爸妈夸了一整天</t>
        </is>
      </c>
      <c r="B45" t="inlineStr">
        <is>
          <t>69870401000000000e00c0fc</t>
        </is>
      </c>
      <c r="C45" s="44" t="n">
        <f>HYPERLINK("https://www.xiaohongshu.com/explore/69870401000000000e00c0fc?xsec_token=TB5RfIaoHWaf_5AWlHC-0CsayumAhvzJp-HbcAYghSoic=&amp;xsec_source=pc_trdark","https://www.xiaohongshu.com/explore/69870401000000000e00c0fc?xsec_token=TB5RfIaoHWaf_5AWlHC-0CsayumAhvzJp-HbcAYghSoic=&amp;xsec_source=pc_trdark")</f>
        <v>0.0</v>
      </c>
      <c r="D45" t="inlineStr">
        <is>
          <t>鲜水湾</t>
        </is>
      </c>
      <c r="E45" t="inlineStr">
        <is>
          <t>49316638994</t>
        </is>
      </c>
      <c r="F45" t="inlineStr">
        <is>
          <t>2026-02-07 17:21:05</t>
        </is>
      </c>
      <c r="G45" t="inlineStr">
        <is>
          <t>图文</t>
        </is>
      </c>
      <c r="H45" t="inlineStr">
        <is>
          <t>大虾基围虾王牌大虾厄瓜多尔白虾盐冻虾仁海洋大虾送礼顺丰包邮</t>
        </is>
      </c>
      <c r="I45" t="inlineStr">
        <is>
          <t>690aeb7be379430001e686ac</t>
        </is>
      </c>
      <c r="J45" t="inlineStr">
        <is>
          <t/>
        </is>
      </c>
      <c r="K45" t="n">
        <v>136.0</v>
      </c>
      <c r="L45" t="n">
        <v>2.0</v>
      </c>
      <c r="M45" t="n">
        <v>48.0</v>
      </c>
      <c r="N45" t="inlineStr">
        <is>
          <t>0.20689655172413793</t>
        </is>
      </c>
      <c r="O45" t="n">
        <v>34.0</v>
      </c>
      <c r="P45" t="n">
        <v>2.0</v>
      </c>
      <c r="Q45" t="inlineStr">
        <is>
          <t>0.041666666666666664</t>
        </is>
      </c>
      <c r="R45" t="inlineStr">
        <is>
          <t>0.058823529411764705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1.0</v>
      </c>
      <c r="Z45" t="n">
        <v>20.0</v>
      </c>
      <c r="AA45" t="n">
        <v>0.0</v>
      </c>
      <c r="AB45" t="n">
        <v>0.0</v>
      </c>
      <c r="AC45" t="n">
        <v>0.0</v>
      </c>
      <c r="AD45" t="n">
        <v>232.0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8.051724137931034</v>
      </c>
      <c r="AL45" t="inlineStr">
        <is>
          <t/>
        </is>
      </c>
    </row>
    <row r="46">
      <c r="A46" t="inlineStr">
        <is>
          <t>区区100来块，解决我一周的减脂晚餐🥹</t>
        </is>
      </c>
      <c r="B46" t="inlineStr">
        <is>
          <t>69c8efc6000000001b022df0</t>
        </is>
      </c>
      <c r="C46" s="45" t="n">
        <f>HYPERLINK("https://www.xiaohongshu.com/explore/69c8efc6000000001b022df0?xsec_token=TBSs0bsvi6YGXB042lLCz_JAyCRa2A-E7ppqa8FqxRzQg=&amp;xsec_source=pc_trdark","https://www.xiaohongshu.com/explore/69c8efc6000000001b022df0?xsec_token=TBSs0bsvi6YGXB042lLCz_JAyCRa2A-E7ppqa8FqxRzQg=&amp;xsec_source=pc_trdark")</f>
        <v>0.0</v>
      </c>
      <c r="D46" t="inlineStr">
        <is>
          <t>婉婉上班吃什么</t>
        </is>
      </c>
      <c r="E46" t="inlineStr">
        <is>
          <t>11434449706</t>
        </is>
      </c>
      <c r="F46" t="inlineStr">
        <is>
          <t>2026-03-29 17:24:22</t>
        </is>
      </c>
      <c r="G46" t="inlineStr">
        <is>
          <t>图文</t>
        </is>
      </c>
      <c r="H46" t="inlineStr">
        <is>
          <t>智利三文鱼切块·整条三文鱼·深海鱼一人食健康饮食</t>
        </is>
      </c>
      <c r="I46" t="inlineStr">
        <is>
          <t>691ac562a524ee0001b51d7b</t>
        </is>
      </c>
      <c r="J46" t="inlineStr">
        <is>
          <t/>
        </is>
      </c>
      <c r="K46" t="n">
        <v>108.0</v>
      </c>
      <c r="L46" t="n">
        <v>1.0</v>
      </c>
      <c r="M46" t="n">
        <v>102.0</v>
      </c>
      <c r="N46" t="inlineStr">
        <is>
          <t>0.44933920704845814</t>
        </is>
      </c>
      <c r="O46" t="n">
        <v>89.0</v>
      </c>
      <c r="P46" t="n">
        <v>1.0</v>
      </c>
      <c r="Q46" t="inlineStr">
        <is>
          <t>0.00980392156862745</t>
        </is>
      </c>
      <c r="R46" t="inlineStr">
        <is>
          <t>0.011235955056179775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24.0</v>
      </c>
      <c r="Z46" t="n">
        <v>14.0</v>
      </c>
      <c r="AA46" t="n">
        <v>0.0</v>
      </c>
      <c r="AB46" t="n">
        <v>0.0</v>
      </c>
      <c r="AC46" t="n">
        <v>0.0</v>
      </c>
      <c r="AD46" t="n">
        <v>227.0</v>
      </c>
      <c r="AE46" t="n">
        <v>6.0</v>
      </c>
      <c r="AF46" t="n">
        <v>2.0</v>
      </c>
      <c r="AG46" t="n">
        <v>0.0</v>
      </c>
      <c r="AH46" t="n">
        <v>1.0</v>
      </c>
      <c r="AI46" t="n">
        <v>1.0</v>
      </c>
      <c r="AJ46" t="n">
        <v>0.0</v>
      </c>
      <c r="AK46" t="n">
        <v>21.58149779735683</v>
      </c>
      <c r="AL46" t="inlineStr">
        <is>
          <t/>
        </is>
      </c>
    </row>
    <row r="47">
      <c r="A47" t="inlineStr">
        <is>
          <t>向全世界安利我无限回购的虾仁</t>
        </is>
      </c>
      <c r="B47" t="inlineStr">
        <is>
          <t>69bfbcc0000000001e00f027</t>
        </is>
      </c>
      <c r="C47" s="46" t="n">
        <f>HYPERLINK("https://www.xiaohongshu.com/explore/69bfbcc0000000001e00f027?xsec_token=TBpIkisErOCQ5-QyFALsYM8MdHTZHOcmLUH-lOB0R7kuk=&amp;xsec_source=pc_trdark","https://www.xiaohongshu.com/explore/69bfbcc0000000001e00f027?xsec_token=TBpIkisErOCQ5-QyFALsYM8MdHTZHOcmLUH-lOB0R7kuk=&amp;xsec_source=pc_trdark")</f>
        <v>0.0</v>
      </c>
      <c r="D47" t="inlineStr">
        <is>
          <t>菲菲上班吃什么</t>
        </is>
      </c>
      <c r="E47" t="inlineStr">
        <is>
          <t>49936530607</t>
        </is>
      </c>
      <c r="F47" t="inlineStr">
        <is>
          <t>2026-03-22 17:56:16</t>
        </is>
      </c>
      <c r="G47" t="inlineStr">
        <is>
          <t>图文</t>
        </is>
      </c>
      <c r="H47" t="inlineStr">
        <is>
          <t>手剥虾仁 无冰衣无添加 低脂餐一人食 上班带饭 顺丰包邮 5盒装</t>
        </is>
      </c>
      <c r="I47" t="inlineStr">
        <is>
          <t>694baba01d450d00013662f0</t>
        </is>
      </c>
      <c r="J47" t="inlineStr">
        <is>
          <t/>
        </is>
      </c>
      <c r="K47" t="n">
        <v>236.0</v>
      </c>
      <c r="L47" t="n">
        <v>3.0</v>
      </c>
      <c r="M47" t="n">
        <v>68.0</v>
      </c>
      <c r="N47" t="inlineStr">
        <is>
          <t>0.29955947136563876</t>
        </is>
      </c>
      <c r="O47" t="n">
        <v>58.0</v>
      </c>
      <c r="P47" t="n">
        <v>3.0</v>
      </c>
      <c r="Q47" t="inlineStr">
        <is>
          <t>0.04411764705882353</t>
        </is>
      </c>
      <c r="R47" t="inlineStr">
        <is>
          <t>0.05172413793103448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13.0</v>
      </c>
      <c r="Z47" t="n">
        <v>13.0</v>
      </c>
      <c r="AA47" t="n">
        <v>0.0</v>
      </c>
      <c r="AB47" t="n">
        <v>0.0</v>
      </c>
      <c r="AC47" t="n">
        <v>0.0</v>
      </c>
      <c r="AD47" t="n">
        <v>227.0</v>
      </c>
      <c r="AE47" t="n">
        <v>4.0</v>
      </c>
      <c r="AF47" t="n">
        <v>0.0</v>
      </c>
      <c r="AG47" t="n">
        <v>0.0</v>
      </c>
      <c r="AH47" t="n">
        <v>1.0</v>
      </c>
      <c r="AI47" t="n">
        <v>0.0</v>
      </c>
      <c r="AJ47" t="n">
        <v>0.0</v>
      </c>
      <c r="AK47" t="n">
        <v>13.810572687224669</v>
      </c>
      <c r="AL47" t="inlineStr">
        <is>
          <t/>
        </is>
      </c>
    </row>
    <row r="48">
      <c r="A48" t="inlineStr">
        <is>
          <t>本来不想买，奈何69够吃一周上班带饭</t>
        </is>
      </c>
      <c r="B48" t="inlineStr">
        <is>
          <t>69c8c36d0000000022026a5b</t>
        </is>
      </c>
      <c r="C48" s="47" t="n">
        <f>HYPERLINK("https://www.xiaohongshu.com/explore/69c8c36d0000000022026a5b?xsec_token=TBSs0bsvi6YGXB042lLCz_JDpFXOSy-8y1dXVT4VENTz8=&amp;xsec_source=pc_trdark","https://www.xiaohongshu.com/explore/69c8c36d0000000022026a5b?xsec_token=TBSs0bsvi6YGXB042lLCz_JDpFXOSy-8y1dXVT4VENTz8=&amp;xsec_source=pc_trdark")</f>
        <v>0.0</v>
      </c>
      <c r="D48" t="inlineStr">
        <is>
          <t>婉婉上班吃什么</t>
        </is>
      </c>
      <c r="E48" t="inlineStr">
        <is>
          <t>11434449706</t>
        </is>
      </c>
      <c r="F48" t="inlineStr">
        <is>
          <t>2026-03-29 14:15:09</t>
        </is>
      </c>
      <c r="G48" t="inlineStr">
        <is>
          <t>图文</t>
        </is>
      </c>
      <c r="H48" t="inlineStr">
        <is>
          <t>手剥虾仁 无冰衣无添加 低脂餐一人食 上班带饭 顺丰包邮 5盒装</t>
        </is>
      </c>
      <c r="I48" t="inlineStr">
        <is>
          <t>694baba01d450d00013662f0</t>
        </is>
      </c>
      <c r="J48" t="inlineStr">
        <is>
          <t/>
        </is>
      </c>
      <c r="K48" t="n">
        <v>128.0</v>
      </c>
      <c r="L48" t="n">
        <v>1.0</v>
      </c>
      <c r="M48" t="n">
        <v>33.0</v>
      </c>
      <c r="N48" t="inlineStr">
        <is>
          <t>0.14798206278026907</t>
        </is>
      </c>
      <c r="O48" t="n">
        <v>32.0</v>
      </c>
      <c r="P48" t="n">
        <v>1.0</v>
      </c>
      <c r="Q48" t="inlineStr">
        <is>
          <t>0.030303030303030304</t>
        </is>
      </c>
      <c r="R48" t="n">
        <v>0.03125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8.0</v>
      </c>
      <c r="Z48" t="n">
        <v>9.0</v>
      </c>
      <c r="AA48" t="n">
        <v>0.0</v>
      </c>
      <c r="AB48" t="n">
        <v>0.0</v>
      </c>
      <c r="AC48" t="n">
        <v>0.0</v>
      </c>
      <c r="AD48" t="n">
        <v>223.0</v>
      </c>
      <c r="AE48" t="n">
        <v>5.0</v>
      </c>
      <c r="AF48" t="n">
        <v>0.0</v>
      </c>
      <c r="AG48" t="n">
        <v>0.0</v>
      </c>
      <c r="AH48" t="n">
        <v>2.0</v>
      </c>
      <c r="AI48" t="n">
        <v>0.0</v>
      </c>
      <c r="AJ48" t="n">
        <v>0.0</v>
      </c>
      <c r="AK48" t="n">
        <v>13.434977578475337</v>
      </c>
      <c r="AL48" t="inlineStr">
        <is>
          <t/>
        </is>
      </c>
    </row>
    <row r="49">
      <c r="A49" t="inlineStr">
        <is>
          <t>没人觉得控体人上班带饭跟省钱吗？</t>
        </is>
      </c>
      <c r="B49" t="inlineStr">
        <is>
          <t>69bcbb300000000022027560</t>
        </is>
      </c>
      <c r="C49" s="48" t="n">
        <f>HYPERLINK("https://www.xiaohongshu.com/explore/69bcbb300000000022027560?xsec_token=TBfIJFVzszocpn5U7ogutYTfGcnlzgFXMFpLWIFi325DA=&amp;xsec_source=pc_trdark","https://www.xiaohongshu.com/explore/69bcbb300000000022027560?xsec_token=TBfIJFVzszocpn5U7ogutYTfGcnlzgFXMFpLWIFi325DA=&amp;xsec_source=pc_trdark")</f>
        <v>0.0</v>
      </c>
      <c r="D49" t="inlineStr">
        <is>
          <t>菲菲上班吃什么</t>
        </is>
      </c>
      <c r="E49" t="inlineStr">
        <is>
          <t>49936530607</t>
        </is>
      </c>
      <c r="F49" t="inlineStr">
        <is>
          <t>2026-03-20 11:12:48</t>
        </is>
      </c>
      <c r="G49" t="inlineStr">
        <is>
          <t>图文</t>
        </is>
      </c>
      <c r="H49" t="inlineStr">
        <is>
          <t>手剥虾仁 无冰衣无添加 低脂餐一人食 上班带饭 顺丰包邮 5盒装</t>
        </is>
      </c>
      <c r="I49" t="inlineStr">
        <is>
          <t>694baba01d450d00013662f0</t>
        </is>
      </c>
      <c r="J49" t="inlineStr">
        <is>
          <t/>
        </is>
      </c>
      <c r="K49" t="n">
        <v>0.0</v>
      </c>
      <c r="L49" t="n">
        <v>0.0</v>
      </c>
      <c r="M49" t="n">
        <v>8.0</v>
      </c>
      <c r="N49" t="inlineStr">
        <is>
          <t>0.03669724770642202</t>
        </is>
      </c>
      <c r="O49" t="n">
        <v>7.0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/>
        </is>
      </c>
      <c r="X49" t="n">
        <v>0.0</v>
      </c>
      <c r="Y49" t="n">
        <v>4.0</v>
      </c>
      <c r="Z49" t="n">
        <v>8.0</v>
      </c>
      <c r="AA49" t="n">
        <v>0.0</v>
      </c>
      <c r="AB49" t="n">
        <v>0.0</v>
      </c>
      <c r="AC49" t="n">
        <v>0.0</v>
      </c>
      <c r="AD49" t="n">
        <v>218.0</v>
      </c>
      <c r="AE49" t="n">
        <v>21.0</v>
      </c>
      <c r="AF49" t="n">
        <v>4.0</v>
      </c>
      <c r="AG49" t="n">
        <v>0.0</v>
      </c>
      <c r="AH49" t="n">
        <v>2.0</v>
      </c>
      <c r="AI49" t="n">
        <v>1.0</v>
      </c>
      <c r="AJ49" t="n">
        <v>0.0</v>
      </c>
      <c r="AK49" t="n">
        <v>11.660550458715596</v>
      </c>
      <c r="AL49" t="inlineStr">
        <is>
          <t/>
        </is>
      </c>
    </row>
    <row r="50">
      <c r="A50" t="inlineStr">
        <is>
          <t>请教教我无添加大虾怎么在网上卖出去啊</t>
        </is>
      </c>
      <c r="B50" t="inlineStr">
        <is>
          <t>69b94d84000000001a02d1a7</t>
        </is>
      </c>
      <c r="C50" s="49" t="n">
        <f>HYPERLINK("https://www.xiaohongshu.com/explore/69b94d84000000001a02d1a7?xsec_token=TBgv0wN35T_w0yZx7fmvlvfFeJA5aXgqqu24VhjerFnZc=&amp;xsec_source=pc_trdark","https://www.xiaohongshu.com/explore/69b94d84000000001a02d1a7?xsec_token=TBgv0wN35T_w0yZx7fmvlvfFeJA5aXgqqu24VhjerFnZc=&amp;xsec_source=pc_trdark")</f>
        <v>0.0</v>
      </c>
      <c r="D50" t="inlineStr">
        <is>
          <t>鲜水湾</t>
        </is>
      </c>
      <c r="E50" t="inlineStr">
        <is>
          <t>49316638994</t>
        </is>
      </c>
      <c r="F50" t="inlineStr">
        <is>
          <t>2026-03-17 20:48:04</t>
        </is>
      </c>
      <c r="G50" t="inlineStr">
        <is>
          <t>图文</t>
        </is>
      </c>
      <c r="H50" t="inlineStr">
        <is>
          <t>手剥虾仁 无冰衣无添加 低脂餐一人食 上班带饭 顺丰包邮 5盒装</t>
        </is>
      </c>
      <c r="I50" t="inlineStr">
        <is>
          <t>694baba01d450d00013662f0</t>
        </is>
      </c>
      <c r="J50" t="inlineStr">
        <is>
          <t/>
        </is>
      </c>
      <c r="K50" t="n">
        <v>0.0</v>
      </c>
      <c r="L50" t="n">
        <v>0.0</v>
      </c>
      <c r="M50" t="n">
        <v>25.0</v>
      </c>
      <c r="N50" t="inlineStr">
        <is>
          <t>0.11737089201877934</t>
        </is>
      </c>
      <c r="O50" t="n">
        <v>23.0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inlineStr">
        <is>
          <t/>
        </is>
      </c>
      <c r="X50" t="n">
        <v>0.0</v>
      </c>
      <c r="Y50" t="n">
        <v>8.0</v>
      </c>
      <c r="Z50" t="n">
        <v>4.0</v>
      </c>
      <c r="AA50" t="n">
        <v>0.0</v>
      </c>
      <c r="AB50" t="n">
        <v>0.0</v>
      </c>
      <c r="AC50" t="n">
        <v>0.0</v>
      </c>
      <c r="AD50" t="n">
        <v>213.0</v>
      </c>
      <c r="AE50" t="n">
        <v>3.0</v>
      </c>
      <c r="AF50" t="n">
        <v>0.0</v>
      </c>
      <c r="AG50" t="n">
        <v>3.0</v>
      </c>
      <c r="AH50" t="n">
        <v>2.0</v>
      </c>
      <c r="AI50" t="n">
        <v>0.0</v>
      </c>
      <c r="AJ50" t="n">
        <v>0.0</v>
      </c>
      <c r="AK50" t="n">
        <v>9.347417840375586</v>
      </c>
      <c r="AL50" t="inlineStr">
        <is>
          <t/>
        </is>
      </c>
    </row>
    <row r="51">
      <c r="A51" t="inlineStr">
        <is>
          <t>直观感受一下70块的购买力，顺丰包邮</t>
        </is>
      </c>
      <c r="B51" t="inlineStr">
        <is>
          <t>69b8fede000000001b022197</t>
        </is>
      </c>
      <c r="C51" s="50" t="n">
        <f>HYPERLINK("https://www.xiaohongshu.com/explore/69b8fede000000001b022197?xsec_token=TBfbAEHpo8FSFeopDu7XYUinW2lo2UiWNDuOkT2DIy0QA=&amp;xsec_source=pc_trdark","https://www.xiaohongshu.com/explore/69b8fede000000001b022197?xsec_token=TBfbAEHpo8FSFeopDu7XYUinW2lo2UiWNDuOkT2DIy0QA=&amp;xsec_source=pc_trdark")</f>
        <v>0.0</v>
      </c>
      <c r="D51" t="inlineStr">
        <is>
          <t>婉婉上班吃什么</t>
        </is>
      </c>
      <c r="E51" t="inlineStr">
        <is>
          <t>11434449706</t>
        </is>
      </c>
      <c r="F51" t="inlineStr">
        <is>
          <t>2026-03-17 15:12:30</t>
        </is>
      </c>
      <c r="G51" t="inlineStr">
        <is>
          <t>图文</t>
        </is>
      </c>
      <c r="H51" t="inlineStr">
        <is>
          <t>手剥虾仁 无冰衣无添加 低脂餐一人食 上班带饭 顺丰包邮 5盒装</t>
        </is>
      </c>
      <c r="I51" t="inlineStr">
        <is>
          <t>694baba01d450d00013662f0</t>
        </is>
      </c>
      <c r="J51" t="inlineStr">
        <is>
          <t/>
        </is>
      </c>
      <c r="K51" t="n">
        <v>69.0</v>
      </c>
      <c r="L51" t="n">
        <v>1.0</v>
      </c>
      <c r="M51" t="n">
        <v>36.0</v>
      </c>
      <c r="N51" t="inlineStr">
        <is>
          <t>0.16981132075471697</t>
        </is>
      </c>
      <c r="O51" t="n">
        <v>32.0</v>
      </c>
      <c r="P51" t="n">
        <v>1.0</v>
      </c>
      <c r="Q51" t="inlineStr">
        <is>
          <t>0.027777777777777776</t>
        </is>
      </c>
      <c r="R51" t="n">
        <v>0.03125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5.0</v>
      </c>
      <c r="Z51" t="n">
        <v>7.0</v>
      </c>
      <c r="AA51" t="n">
        <v>0.0</v>
      </c>
      <c r="AB51" t="n">
        <v>0.0</v>
      </c>
      <c r="AC51" t="n">
        <v>0.0</v>
      </c>
      <c r="AD51" t="n">
        <v>212.0</v>
      </c>
      <c r="AE51" t="n">
        <v>2.0</v>
      </c>
      <c r="AF51" t="n">
        <v>1.0</v>
      </c>
      <c r="AG51" t="n">
        <v>0.0</v>
      </c>
      <c r="AH51" t="n">
        <v>1.0</v>
      </c>
      <c r="AI51" t="n">
        <v>0.0</v>
      </c>
      <c r="AJ51" t="n">
        <v>0.0</v>
      </c>
      <c r="AK51" t="n">
        <v>14.40566037735849</v>
      </c>
      <c r="AL51" t="inlineStr">
        <is>
          <t/>
        </is>
      </c>
    </row>
    <row r="52">
      <c r="A52" t="inlineStr">
        <is>
          <t>终于找到煎三文鱼不腥的办法！</t>
        </is>
      </c>
      <c r="B52" t="inlineStr">
        <is>
          <t>69c3e3900000000020038c25</t>
        </is>
      </c>
      <c r="C52" s="51" t="n">
        <f>HYPERLINK("https://www.xiaohongshu.com/explore/69c3e3900000000020038c25?xsec_token=TBedSEQ7qtT06AlsylOAiUwwjQ6w7uskyR-tcWlc2ycUU=&amp;xsec_source=pc_trdark","https://www.xiaohongshu.com/explore/69c3e3900000000020038c25?xsec_token=TBedSEQ7qtT06AlsylOAiUwwjQ6w7uskyR-tcWlc2ycUU=&amp;xsec_source=pc_trdark")</f>
        <v>0.0</v>
      </c>
      <c r="D52" t="inlineStr">
        <is>
          <t>菲菲上班吃什么</t>
        </is>
      </c>
      <c r="E52" t="inlineStr">
        <is>
          <t>49936530607</t>
        </is>
      </c>
      <c r="F52" t="inlineStr">
        <is>
          <t>2026-03-25 21:30:56</t>
        </is>
      </c>
      <c r="G52" t="inlineStr">
        <is>
          <t>图文</t>
        </is>
      </c>
      <c r="H52" t="inlineStr">
        <is>
          <t>智利三文鱼切块·整条三文鱼·深海鱼一人食健康饮食</t>
        </is>
      </c>
      <c r="I52" t="inlineStr">
        <is>
          <t>691ac562a524ee0001b51d7b</t>
        </is>
      </c>
      <c r="J52" t="inlineStr">
        <is>
          <t/>
        </is>
      </c>
      <c r="K52" t="n">
        <v>63.0</v>
      </c>
      <c r="L52" t="n">
        <v>1.0</v>
      </c>
      <c r="M52" t="n">
        <v>14.0</v>
      </c>
      <c r="N52" t="n">
        <v>0.0673076923076923</v>
      </c>
      <c r="O52" t="n">
        <v>14.0</v>
      </c>
      <c r="P52" t="n">
        <v>1.0</v>
      </c>
      <c r="Q52" t="inlineStr">
        <is>
          <t>0.07142857142857142</t>
        </is>
      </c>
      <c r="R52" t="inlineStr">
        <is>
          <t>0.07142857142857142</t>
        </is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1.0</v>
      </c>
      <c r="Z52" t="n">
        <v>4.0</v>
      </c>
      <c r="AA52" t="n">
        <v>0.0</v>
      </c>
      <c r="AB52" t="n">
        <v>0.0</v>
      </c>
      <c r="AC52" t="n">
        <v>0.0</v>
      </c>
      <c r="AD52" t="n">
        <v>208.0</v>
      </c>
      <c r="AE52" t="n">
        <v>3.0</v>
      </c>
      <c r="AF52" t="n">
        <v>0.0</v>
      </c>
      <c r="AG52" t="n">
        <v>1.0</v>
      </c>
      <c r="AH52" t="n">
        <v>3.0</v>
      </c>
      <c r="AI52" t="n">
        <v>0.0</v>
      </c>
      <c r="AJ52" t="n">
        <v>0.0</v>
      </c>
      <c r="AK52" t="n">
        <v>13.39423076923077</v>
      </c>
      <c r="AL52" t="inlineStr">
        <is>
          <t/>
        </is>
      </c>
    </row>
    <row r="53">
      <c r="A53" t="inlineStr">
        <is>
          <t>我健身教练推荐的！</t>
        </is>
      </c>
      <c r="B53" t="inlineStr">
        <is>
          <t>69ac454e0000000026031715</t>
        </is>
      </c>
      <c r="C53" s="52" t="n">
        <f>HYPERLINK("https://www.xiaohongshu.com/explore/69ac454e0000000026031715?xsec_token=TBJgc9C9Zxv_xTZMGIz7T6c_EZdIaTkv6_MYR7JOIkPGI=&amp;xsec_source=pc_trdark","https://www.xiaohongshu.com/explore/69ac454e0000000026031715?xsec_token=TBJgc9C9Zxv_xTZMGIz7T6c_EZdIaTkv6_MYR7JOIkPGI=&amp;xsec_source=pc_trdark")</f>
        <v>0.0</v>
      </c>
      <c r="D53" t="inlineStr">
        <is>
          <t>鲜水湾甄选</t>
        </is>
      </c>
      <c r="E53" t="inlineStr">
        <is>
          <t>27401929161</t>
        </is>
      </c>
      <c r="F53" t="inlineStr">
        <is>
          <t>2026-03-07 23:33:34</t>
        </is>
      </c>
      <c r="G53" t="inlineStr">
        <is>
          <t>图文</t>
        </is>
      </c>
      <c r="H53" t="inlineStr">
        <is>
          <t>智利三文鱼切块·整条三文鱼·深海鱼一人食健康饮食</t>
        </is>
      </c>
      <c r="I53" t="inlineStr">
        <is>
          <t>691ac562a524ee0001b51d7b</t>
        </is>
      </c>
      <c r="J53" t="inlineStr">
        <is>
          <t/>
        </is>
      </c>
      <c r="K53" t="n">
        <v>66.0</v>
      </c>
      <c r="L53" t="n">
        <v>1.0</v>
      </c>
      <c r="M53" t="n">
        <v>28.0</v>
      </c>
      <c r="N53" t="n">
        <v>0.1407035175879397</v>
      </c>
      <c r="O53" t="n">
        <v>25.0</v>
      </c>
      <c r="P53" t="n">
        <v>1.0</v>
      </c>
      <c r="Q53" t="inlineStr">
        <is>
          <t>0.03571428571428571</t>
        </is>
      </c>
      <c r="R53" t="n">
        <v>0.04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5.0</v>
      </c>
      <c r="Z53" t="n">
        <v>9.0</v>
      </c>
      <c r="AA53" t="n">
        <v>0.0</v>
      </c>
      <c r="AB53" t="n">
        <v>0.0</v>
      </c>
      <c r="AC53" t="n">
        <v>0.0</v>
      </c>
      <c r="AD53" t="n">
        <v>199.0</v>
      </c>
      <c r="AE53" t="n">
        <v>2.0</v>
      </c>
      <c r="AF53" t="n">
        <v>1.0</v>
      </c>
      <c r="AG53" t="n">
        <v>0.0</v>
      </c>
      <c r="AH53" t="n">
        <v>1.0</v>
      </c>
      <c r="AI53" t="n">
        <v>0.0</v>
      </c>
      <c r="AJ53" t="n">
        <v>0.0</v>
      </c>
      <c r="AK53" t="n">
        <v>11.93969849246231</v>
      </c>
      <c r="AL53" t="inlineStr">
        <is>
          <t/>
        </is>
      </c>
    </row>
    <row r="54">
      <c r="A54" t="inlineStr">
        <is>
          <t>因为一个人，带动了全办公室</t>
        </is>
      </c>
      <c r="B54" t="inlineStr">
        <is>
          <t>69c8de3b000000002300420f</t>
        </is>
      </c>
      <c r="C54" s="53" t="n">
        <f>HYPERLINK("https://www.xiaohongshu.com/explore/69c8de3b000000002300420f?xsec_token=TBSs0bsvi6YGXB042lLCz_JFTTqblRfPNeM92tfhZ_fBs=&amp;xsec_source=pc_trdark","https://www.xiaohongshu.com/explore/69c8de3b000000002300420f?xsec_token=TBSs0bsvi6YGXB042lLCz_JFTTqblRfPNeM92tfhZ_fBs=&amp;xsec_source=pc_trdark")</f>
        <v>0.0</v>
      </c>
      <c r="D54" t="inlineStr">
        <is>
          <t>菲菲上班吃什么</t>
        </is>
      </c>
      <c r="E54" t="inlineStr">
        <is>
          <t>49936530607</t>
        </is>
      </c>
      <c r="F54" t="inlineStr">
        <is>
          <t>2026-03-29 16:09:31</t>
        </is>
      </c>
      <c r="G54" t="inlineStr">
        <is>
          <t>图文</t>
        </is>
      </c>
      <c r="H54" t="inlineStr">
        <is>
          <t>手剥虾仁 无冰衣无添加 低脂餐一人食 上班带饭 顺丰包邮 5盒装</t>
        </is>
      </c>
      <c r="I54" t="inlineStr">
        <is>
          <t>694baba01d450d00013662f0</t>
        </is>
      </c>
      <c r="J54" t="inlineStr">
        <is>
          <t/>
        </is>
      </c>
      <c r="K54" t="n">
        <v>0.0</v>
      </c>
      <c r="L54" t="n">
        <v>0.0</v>
      </c>
      <c r="M54" t="n">
        <v>30.0</v>
      </c>
      <c r="N54" t="inlineStr">
        <is>
          <t>0.15873015873015872</t>
        </is>
      </c>
      <c r="O54" t="n">
        <v>30.0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inlineStr">
        <is>
          <t/>
        </is>
      </c>
      <c r="X54" t="n">
        <v>0.0</v>
      </c>
      <c r="Y54" t="n">
        <v>9.0</v>
      </c>
      <c r="Z54" t="n">
        <v>8.0</v>
      </c>
      <c r="AA54" t="n">
        <v>0.0</v>
      </c>
      <c r="AB54" t="n">
        <v>0.0</v>
      </c>
      <c r="AC54" t="n">
        <v>0.0</v>
      </c>
      <c r="AD54" t="n">
        <v>189.0</v>
      </c>
      <c r="AE54" t="n">
        <v>2.0</v>
      </c>
      <c r="AF54" t="n">
        <v>1.0</v>
      </c>
      <c r="AG54" t="n">
        <v>0.0</v>
      </c>
      <c r="AH54" t="n">
        <v>3.0</v>
      </c>
      <c r="AI54" t="n">
        <v>0.0</v>
      </c>
      <c r="AJ54" t="n">
        <v>0.0</v>
      </c>
      <c r="AK54" t="n">
        <v>10.788359788359788</v>
      </c>
      <c r="AL54" t="inlineStr">
        <is>
          <t/>
        </is>
      </c>
    </row>
    <row r="55">
      <c r="A55" t="inlineStr">
        <is>
          <t>原来长期吃这个虾仁会让人...</t>
        </is>
      </c>
      <c r="B55" t="inlineStr">
        <is>
          <t>69c34874000000001f005fa9</t>
        </is>
      </c>
      <c r="C55" s="54" t="n">
        <f>HYPERLINK("https://www.xiaohongshu.com/explore/69c34874000000001f005fa9?xsec_token=TBedSEQ7qtT06AlsylOAiUwx4UUTeAAgQYwvw-0lMHymU=&amp;xsec_source=pc_trdark","https://www.xiaohongshu.com/explore/69c34874000000001f005fa9?xsec_token=TBedSEQ7qtT06AlsylOAiUwx4UUTeAAgQYwvw-0lMHymU=&amp;xsec_source=pc_trdark")</f>
        <v>0.0</v>
      </c>
      <c r="D55" t="inlineStr">
        <is>
          <t>婉婉上班吃什么</t>
        </is>
      </c>
      <c r="E55" t="inlineStr">
        <is>
          <t>11434449706</t>
        </is>
      </c>
      <c r="F55" t="inlineStr">
        <is>
          <t>2026-03-25 10:29:08</t>
        </is>
      </c>
      <c r="G55" t="inlineStr">
        <is>
          <t>图文</t>
        </is>
      </c>
      <c r="H55" t="inlineStr">
        <is>
          <t>手剥虾仁 无冰衣无添加 低脂餐一人食 上班带饭 顺丰包邮 5盒装</t>
        </is>
      </c>
      <c r="I55" t="inlineStr">
        <is>
          <t>694baba01d450d00013662f0</t>
        </is>
      </c>
      <c r="J55" t="inlineStr">
        <is>
          <t/>
        </is>
      </c>
      <c r="K55" t="n">
        <v>266.0</v>
      </c>
      <c r="L55" t="n">
        <v>3.0</v>
      </c>
      <c r="M55" t="n">
        <v>38.0</v>
      </c>
      <c r="N55" t="inlineStr">
        <is>
          <t>0.20320855614973263</t>
        </is>
      </c>
      <c r="O55" t="n">
        <v>33.0</v>
      </c>
      <c r="P55" t="n">
        <v>3.0</v>
      </c>
      <c r="Q55" t="inlineStr">
        <is>
          <t>0.07894736842105263</t>
        </is>
      </c>
      <c r="R55" t="inlineStr">
        <is>
          <t>0.09090909090909091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6.0</v>
      </c>
      <c r="Z55" t="n">
        <v>7.0</v>
      </c>
      <c r="AA55" t="n">
        <v>0.0</v>
      </c>
      <c r="AB55" t="n">
        <v>0.0</v>
      </c>
      <c r="AC55" t="n">
        <v>0.0</v>
      </c>
      <c r="AD55" t="n">
        <v>187.0</v>
      </c>
      <c r="AE55" t="n">
        <v>5.0</v>
      </c>
      <c r="AF55" t="n">
        <v>1.0</v>
      </c>
      <c r="AG55" t="n">
        <v>0.0</v>
      </c>
      <c r="AH55" t="n">
        <v>2.0</v>
      </c>
      <c r="AI55" t="n">
        <v>0.0</v>
      </c>
      <c r="AJ55" t="n">
        <v>0.0</v>
      </c>
      <c r="AK55" t="n">
        <v>15.754010695187166</v>
      </c>
      <c r="AL55" t="inlineStr">
        <is>
          <t/>
        </is>
      </c>
    </row>
    <row r="56">
      <c r="A56" t="inlineStr">
        <is>
          <t>当代减肥人的冰箱</t>
        </is>
      </c>
      <c r="B56" t="inlineStr">
        <is>
          <t>69c500960000000022028a8c</t>
        </is>
      </c>
      <c r="C56" s="55" t="n">
        <f>HYPERLINK("https://www.xiaohongshu.com/explore/69c500960000000022028a8c?xsec_token=TBe2pVMaF-KgU6DP2LLO6mLXHqOLQO5RE-EZo5AB5JQOc=&amp;xsec_source=pc_trdark","https://www.xiaohongshu.com/explore/69c500960000000022028a8c?xsec_token=TBe2pVMaF-KgU6DP2LLO6mLXHqOLQO5RE-EZo5AB5JQOc=&amp;xsec_source=pc_trdark")</f>
        <v>0.0</v>
      </c>
      <c r="D56" t="inlineStr">
        <is>
          <t>菲菲上班吃什么</t>
        </is>
      </c>
      <c r="E56" t="inlineStr">
        <is>
          <t>49936530607</t>
        </is>
      </c>
      <c r="F56" t="inlineStr">
        <is>
          <t>2026-03-26 17:47:02</t>
        </is>
      </c>
      <c r="G56" t="inlineStr">
        <is>
          <t>图文</t>
        </is>
      </c>
      <c r="H56" t="inlineStr">
        <is>
          <t>手剥虾仁 无冰衣无添加 低脂餐一人食 上班带饭 顺丰包邮 5盒装</t>
        </is>
      </c>
      <c r="I56" t="inlineStr">
        <is>
          <t>694baba01d450d00013662f0</t>
        </is>
      </c>
      <c r="J56" t="inlineStr">
        <is>
          <t/>
        </is>
      </c>
      <c r="K56" t="n">
        <v>0.0</v>
      </c>
      <c r="L56" t="n">
        <v>0.0</v>
      </c>
      <c r="M56" t="n">
        <v>21.0</v>
      </c>
      <c r="N56" t="inlineStr">
        <is>
          <t>0.11290322580645161</t>
        </is>
      </c>
      <c r="O56" t="n">
        <v>19.0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inlineStr">
        <is>
          <t/>
        </is>
      </c>
      <c r="X56" t="n">
        <v>0.0</v>
      </c>
      <c r="Y56" t="n">
        <v>4.0</v>
      </c>
      <c r="Z56" t="n">
        <v>9.0</v>
      </c>
      <c r="AA56" t="n">
        <v>0.0</v>
      </c>
      <c r="AB56" t="n">
        <v>0.0</v>
      </c>
      <c r="AC56" t="n">
        <v>0.0</v>
      </c>
      <c r="AD56" t="n">
        <v>186.0</v>
      </c>
      <c r="AE56" t="n">
        <v>5.0</v>
      </c>
      <c r="AF56" t="n">
        <v>0.0</v>
      </c>
      <c r="AG56" t="n">
        <v>3.0</v>
      </c>
      <c r="AH56" t="n">
        <v>2.0</v>
      </c>
      <c r="AI56" t="n">
        <v>0.0</v>
      </c>
      <c r="AJ56" t="n">
        <v>0.0</v>
      </c>
      <c r="AK56" t="n">
        <v>20.559139784946236</v>
      </c>
      <c r="AL56" t="inlineStr">
        <is>
          <t/>
        </is>
      </c>
    </row>
    <row r="57">
      <c r="A57" t="inlineStr">
        <is>
          <t>本以为69没多少，结果够我吃一星期的了</t>
        </is>
      </c>
      <c r="B57" t="inlineStr">
        <is>
          <t>69bd06fa0000000023006f02</t>
        </is>
      </c>
      <c r="C57" s="56" t="n">
        <f>HYPERLINK("https://www.xiaohongshu.com/explore/69bd06fa0000000023006f02?xsec_token=TBRwbx0S6Y78qN5wWC1_PyBNOpdHRWlZaKSmJ3CwPlXpY=&amp;xsec_source=pc_trdark","https://www.xiaohongshu.com/explore/69bd06fa0000000023006f02?xsec_token=TBRwbx0S6Y78qN5wWC1_PyBNOpdHRWlZaKSmJ3CwPlXpY=&amp;xsec_source=pc_trdark")</f>
        <v>0.0</v>
      </c>
      <c r="D57" t="inlineStr">
        <is>
          <t>菲菲上班吃什么</t>
        </is>
      </c>
      <c r="E57" t="inlineStr">
        <is>
          <t>49936530607</t>
        </is>
      </c>
      <c r="F57" t="inlineStr">
        <is>
          <t>2026-03-20 16:36:10</t>
        </is>
      </c>
      <c r="G57" t="inlineStr">
        <is>
          <t>图文</t>
        </is>
      </c>
      <c r="H57" t="inlineStr">
        <is>
          <t>手剥虾仁 无冰衣无添加 低脂餐一人食 上班带饭 顺丰包邮 5盒装</t>
        </is>
      </c>
      <c r="I57" t="inlineStr">
        <is>
          <t>694baba01d450d00013662f0</t>
        </is>
      </c>
      <c r="J57" t="inlineStr">
        <is>
          <t/>
        </is>
      </c>
      <c r="K57" t="n">
        <v>138.0</v>
      </c>
      <c r="L57" t="n">
        <v>2.0</v>
      </c>
      <c r="M57" t="n">
        <v>36.0</v>
      </c>
      <c r="N57" t="n">
        <v>0.1935483870967742</v>
      </c>
      <c r="O57" t="n">
        <v>32.0</v>
      </c>
      <c r="P57" t="n">
        <v>2.0</v>
      </c>
      <c r="Q57" t="inlineStr">
        <is>
          <t>0.05555555555555555</t>
        </is>
      </c>
      <c r="R57" t="n">
        <v>0.0625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8.0</v>
      </c>
      <c r="Z57" t="n">
        <v>6.0</v>
      </c>
      <c r="AA57" t="n">
        <v>0.0</v>
      </c>
      <c r="AB57" t="n">
        <v>0.0</v>
      </c>
      <c r="AC57" t="n">
        <v>0.0</v>
      </c>
      <c r="AD57" t="n">
        <v>186.0</v>
      </c>
      <c r="AE57" t="n">
        <v>3.0</v>
      </c>
      <c r="AF57" t="n">
        <v>0.0</v>
      </c>
      <c r="AG57" t="n">
        <v>1.0</v>
      </c>
      <c r="AH57" t="n">
        <v>1.0</v>
      </c>
      <c r="AI57" t="n">
        <v>1.0</v>
      </c>
      <c r="AJ57" t="n">
        <v>0.0</v>
      </c>
      <c r="AK57" t="n">
        <v>10.887096774193548</v>
      </c>
      <c r="AL57" t="inlineStr">
        <is>
          <t/>
        </is>
      </c>
    </row>
    <row r="58">
      <c r="A58" t="inlineStr">
        <is>
          <t>每天带一包大虾上班，同事说我很有钱</t>
        </is>
      </c>
      <c r="B58" t="inlineStr">
        <is>
          <t>69ad8a46000000001a028410</t>
        </is>
      </c>
      <c r="C58" s="57" t="n">
        <f>HYPERLINK("https://www.xiaohongshu.com/explore/69ad8a46000000001a028410?xsec_token=TBsauhpT2AwjD8NBV7WI8gZG4_d3pBV9ewITXn0FR4zAs=&amp;xsec_source=pc_trdark","https://www.xiaohongshu.com/explore/69ad8a46000000001a028410?xsec_token=TBsauhpT2AwjD8NBV7WI8gZG4_d3pBV9ewITXn0FR4zAs=&amp;xsec_source=pc_trdark")</f>
        <v>0.0</v>
      </c>
      <c r="D58" t="inlineStr">
        <is>
          <t>婉婉上班吃什么</t>
        </is>
      </c>
      <c r="E58" t="inlineStr">
        <is>
          <t>11434449706</t>
        </is>
      </c>
      <c r="F58" t="inlineStr">
        <is>
          <t>2026-03-08 22:40:06</t>
        </is>
      </c>
      <c r="G58" t="inlineStr">
        <is>
          <t>图文</t>
        </is>
      </c>
      <c r="H58" t="inlineStr">
        <is>
          <t>大虾基围虾王牌大虾厄瓜多尔白虾盐冻虾仁海洋大虾送礼顺丰包邮</t>
        </is>
      </c>
      <c r="I58" t="inlineStr">
        <is>
          <t>690aeb7be379430001e686ac</t>
        </is>
      </c>
      <c r="J58" t="inlineStr">
        <is>
          <t/>
        </is>
      </c>
      <c r="K58" t="n">
        <v>0.0</v>
      </c>
      <c r="L58" t="n">
        <v>0.0</v>
      </c>
      <c r="M58" t="n">
        <v>30.0</v>
      </c>
      <c r="N58" t="inlineStr">
        <is>
          <t>0.16129032258064516</t>
        </is>
      </c>
      <c r="O58" t="n">
        <v>24.0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inlineStr">
        <is>
          <t/>
        </is>
      </c>
      <c r="X58" t="n">
        <v>0.0</v>
      </c>
      <c r="Y58" t="n">
        <v>5.0</v>
      </c>
      <c r="Z58" t="n">
        <v>1.0</v>
      </c>
      <c r="AA58" t="n">
        <v>0.0</v>
      </c>
      <c r="AB58" t="n">
        <v>0.0</v>
      </c>
      <c r="AC58" t="n">
        <v>0.0</v>
      </c>
      <c r="AD58" t="n">
        <v>186.0</v>
      </c>
      <c r="AE58" t="n">
        <v>7.0</v>
      </c>
      <c r="AF58" t="n">
        <v>3.0</v>
      </c>
      <c r="AG58" t="n">
        <v>0.0</v>
      </c>
      <c r="AH58" t="n">
        <v>2.0</v>
      </c>
      <c r="AI58" t="n">
        <v>0.0</v>
      </c>
      <c r="AJ58" t="n">
        <v>0.0</v>
      </c>
      <c r="AK58" t="n">
        <v>10.059139784946236</v>
      </c>
      <c r="AL58" t="inlineStr">
        <is>
          <t/>
        </is>
      </c>
    </row>
    <row r="59">
      <c r="A59" t="inlineStr">
        <is>
          <t>感谢315，让我家这种无添加的虾仁被大家看到</t>
        </is>
      </c>
      <c r="B59" t="inlineStr">
        <is>
          <t>69ba5ec6000000001a02c6c0</t>
        </is>
      </c>
      <c r="C59" s="58" t="n">
        <f>HYPERLINK("https://www.xiaohongshu.com/explore/69ba5ec6000000001a02c6c0?xsec_token=TBgJVNruMKjnZKfHBYiZtZCYWfZUlV0gEC8LctyUXjXLs=&amp;xsec_source=pc_trdark","https://www.xiaohongshu.com/explore/69ba5ec6000000001a02c6c0?xsec_token=TBgJVNruMKjnZKfHBYiZtZCYWfZUlV0gEC8LctyUXjXLs=&amp;xsec_source=pc_trdark")</f>
        <v>0.0</v>
      </c>
      <c r="D59" t="inlineStr">
        <is>
          <t>鲜水湾</t>
        </is>
      </c>
      <c r="E59" t="inlineStr">
        <is>
          <t>49316638994</t>
        </is>
      </c>
      <c r="F59" t="inlineStr">
        <is>
          <t>2026-03-18 16:13:58</t>
        </is>
      </c>
      <c r="G59" t="inlineStr">
        <is>
          <t>图文</t>
        </is>
      </c>
      <c r="H59" t="inlineStr">
        <is>
          <t>手剥虾仁 无冰衣无添加 低脂餐一人食 上班带饭 顺丰包邮 5盒装</t>
        </is>
      </c>
      <c r="I59" t="inlineStr">
        <is>
          <t>694baba01d450d00013662f0</t>
        </is>
      </c>
      <c r="J59" t="inlineStr">
        <is>
          <t/>
        </is>
      </c>
      <c r="K59" t="n">
        <v>444.0</v>
      </c>
      <c r="L59" t="n">
        <v>4.0</v>
      </c>
      <c r="M59" t="n">
        <v>51.0</v>
      </c>
      <c r="N59" t="n">
        <v>0.2756756756756757</v>
      </c>
      <c r="O59" t="n">
        <v>45.0</v>
      </c>
      <c r="P59" t="n">
        <v>4.0</v>
      </c>
      <c r="Q59" t="n">
        <v>0.0784313725490196</v>
      </c>
      <c r="R59" t="inlineStr">
        <is>
          <t>0.08888888888888889</t>
        </is>
      </c>
      <c r="S59" t="n">
        <v>69.0</v>
      </c>
      <c r="T59" t="n">
        <v>1.0</v>
      </c>
      <c r="U59" t="n">
        <v>1.0</v>
      </c>
      <c r="V59" t="n">
        <v>69.0</v>
      </c>
      <c r="W59" t="n">
        <v>0.1554054054054054</v>
      </c>
      <c r="X59" t="n">
        <v>1.0</v>
      </c>
      <c r="Y59" t="n">
        <v>13.0</v>
      </c>
      <c r="Z59" t="n">
        <v>7.0</v>
      </c>
      <c r="AA59" t="n">
        <v>0.0</v>
      </c>
      <c r="AB59" t="n">
        <v>0.0</v>
      </c>
      <c r="AC59" t="n">
        <v>0.0</v>
      </c>
      <c r="AD59" t="n">
        <v>185.0</v>
      </c>
      <c r="AE59" t="n">
        <v>4.0</v>
      </c>
      <c r="AF59" t="n">
        <v>1.0</v>
      </c>
      <c r="AG59" t="n">
        <v>1.0</v>
      </c>
      <c r="AH59" t="n">
        <v>1.0</v>
      </c>
      <c r="AI59" t="n">
        <v>0.0</v>
      </c>
      <c r="AJ59" t="n">
        <v>0.0</v>
      </c>
      <c r="AK59" t="n">
        <v>16.967567567567567</v>
      </c>
      <c r="AL59" t="inlineStr">
        <is>
          <t/>
        </is>
      </c>
    </row>
    <row r="60">
      <c r="A60" t="inlineStr">
        <is>
          <t>跟刘板筋儿学的，自己做减脂餐so了7斤</t>
        </is>
      </c>
      <c r="B60" t="inlineStr">
        <is>
          <t>69b904fe000000001a02e963</t>
        </is>
      </c>
      <c r="C60" s="59" t="n">
        <f>HYPERLINK("https://www.xiaohongshu.com/explore/69b904fe000000001a02e963?xsec_token=TBgv0wN35T_w0yZx7fmvlvfCZcaYX7nUXDRTfB7N0fbIs=&amp;xsec_source=pc_trdark","https://www.xiaohongshu.com/explore/69b904fe000000001a02e963?xsec_token=TBgv0wN35T_w0yZx7fmvlvfCZcaYX7nUXDRTfB7N0fbIs=&amp;xsec_source=pc_trdark")</f>
        <v>0.0</v>
      </c>
      <c r="D60" t="inlineStr">
        <is>
          <t>婉婉上班吃什么</t>
        </is>
      </c>
      <c r="E60" t="inlineStr">
        <is>
          <t>11434449706</t>
        </is>
      </c>
      <c r="F60" t="inlineStr">
        <is>
          <t>2026-03-17 15:38:39</t>
        </is>
      </c>
      <c r="G60" t="inlineStr">
        <is>
          <t>图文</t>
        </is>
      </c>
      <c r="H60" t="inlineStr">
        <is>
          <t>手剥虾仁 无冰衣无添加 低脂餐一人食 上班带饭 顺丰包邮 5盒装</t>
        </is>
      </c>
      <c r="I60" t="inlineStr">
        <is>
          <t>694baba01d450d00013662f0</t>
        </is>
      </c>
      <c r="J60" t="inlineStr">
        <is>
          <t/>
        </is>
      </c>
      <c r="K60" t="n">
        <v>69.0</v>
      </c>
      <c r="L60" t="n">
        <v>1.0</v>
      </c>
      <c r="M60" t="n">
        <v>8.0</v>
      </c>
      <c r="N60" t="inlineStr">
        <is>
          <t>0.043478260869565216</t>
        </is>
      </c>
      <c r="O60" t="n">
        <v>7.0</v>
      </c>
      <c r="P60" t="n">
        <v>1.0</v>
      </c>
      <c r="Q60" t="n">
        <v>0.125</v>
      </c>
      <c r="R60" t="inlineStr">
        <is>
          <t>0.14285714285714285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1.0</v>
      </c>
      <c r="Z60" t="n">
        <v>7.0</v>
      </c>
      <c r="AA60" t="n">
        <v>69.0</v>
      </c>
      <c r="AB60" t="n">
        <v>0.0</v>
      </c>
      <c r="AC60" t="n">
        <v>0.0</v>
      </c>
      <c r="AD60" t="n">
        <v>184.0</v>
      </c>
      <c r="AE60" t="n">
        <v>0.0</v>
      </c>
      <c r="AF60" t="n">
        <v>1.0</v>
      </c>
      <c r="AG60" t="n">
        <v>0.0</v>
      </c>
      <c r="AH60" t="n">
        <v>0.0</v>
      </c>
      <c r="AI60" t="n">
        <v>0.0</v>
      </c>
      <c r="AJ60" t="n">
        <v>0.0</v>
      </c>
      <c r="AK60" t="n">
        <v>6.635869565217392</v>
      </c>
      <c r="AL60" t="inlineStr">
        <is>
          <t/>
        </is>
      </c>
    </row>
    <row r="61">
      <c r="A61" t="inlineStr">
        <is>
          <t>听劝！控体人吃它准没错👍</t>
        </is>
      </c>
      <c r="B61" t="inlineStr">
        <is>
          <t>69a5857b000000001a028bd1</t>
        </is>
      </c>
      <c r="C61" s="60" t="n">
        <f>HYPERLINK("https://www.xiaohongshu.com/explore/69a5857b000000001a028bd1?xsec_token=TBYlw7GbYDMDbP_5WWJv6Kp5-Favw4JjXw3JYI-O9n9cc=&amp;xsec_source=pc_trdark","https://www.xiaohongshu.com/explore/69a5857b000000001a028bd1?xsec_token=TBYlw7GbYDMDbP_5WWJv6Kp5-Favw4JjXw3JYI-O9n9cc=&amp;xsec_source=pc_trdark")</f>
        <v>0.0</v>
      </c>
      <c r="D61" t="inlineStr">
        <is>
          <t>鲜水湾</t>
        </is>
      </c>
      <c r="E61" t="inlineStr">
        <is>
          <t>49316638994</t>
        </is>
      </c>
      <c r="F61" t="inlineStr">
        <is>
          <t>2026-03-02 20:41:31</t>
        </is>
      </c>
      <c r="G61" t="inlineStr">
        <is>
          <t>图文</t>
        </is>
      </c>
      <c r="H61" t="inlineStr">
        <is>
          <t>大虾基围虾王牌大虾厄瓜多尔白虾盐冻虾仁海洋大虾送礼顺丰包邮</t>
        </is>
      </c>
      <c r="I61" t="inlineStr">
        <is>
          <t>690aeb7be379430001e686ac</t>
        </is>
      </c>
      <c r="J61" t="inlineStr">
        <is>
          <t/>
        </is>
      </c>
      <c r="K61" t="n">
        <v>79.0</v>
      </c>
      <c r="L61" t="n">
        <v>1.0</v>
      </c>
      <c r="M61" t="n">
        <v>50.0</v>
      </c>
      <c r="N61" t="n">
        <v>0.273224043715847</v>
      </c>
      <c r="O61" t="n">
        <v>41.0</v>
      </c>
      <c r="P61" t="n">
        <v>1.0</v>
      </c>
      <c r="Q61" t="n">
        <v>0.02</v>
      </c>
      <c r="R61" t="inlineStr">
        <is>
          <t>0.024390243902439025</t>
        </is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6.0</v>
      </c>
      <c r="Z61" t="n">
        <v>6.0</v>
      </c>
      <c r="AA61" t="n">
        <v>0.0</v>
      </c>
      <c r="AB61" t="n">
        <v>0.0</v>
      </c>
      <c r="AC61" t="n">
        <v>0.0</v>
      </c>
      <c r="AD61" t="n">
        <v>183.0</v>
      </c>
      <c r="AE61" t="n">
        <v>5.0</v>
      </c>
      <c r="AF61" t="n">
        <v>0.0</v>
      </c>
      <c r="AG61" t="n">
        <v>1.0</v>
      </c>
      <c r="AH61" t="n">
        <v>1.0</v>
      </c>
      <c r="AI61" t="n">
        <v>0.0</v>
      </c>
      <c r="AJ61" t="n">
        <v>0.0</v>
      </c>
      <c r="AK61" t="n">
        <v>8.3224043715847</v>
      </c>
      <c r="AL61" t="inlineStr">
        <is>
          <t/>
        </is>
      </c>
    </row>
    <row r="62">
      <c r="A62" t="inlineStr">
        <is>
          <t>谁懂啊！69实现虾仁自由太香了😭</t>
        </is>
      </c>
      <c r="B62" t="inlineStr">
        <is>
          <t>69c1fec5000000001f000872</t>
        </is>
      </c>
      <c r="C62" s="61" t="n">
        <f>HYPERLINK("https://www.xiaohongshu.com/explore/69c1fec5000000001f000872?xsec_token=TBltfkQyXS0u_Ko7SgIzuBYiLTuz2gbu4j24L-NqZGzqY=&amp;xsec_source=pc_trdark","https://www.xiaohongshu.com/explore/69c1fec5000000001f000872?xsec_token=TBltfkQyXS0u_Ko7SgIzuBYiLTuz2gbu4j24L-NqZGzqY=&amp;xsec_source=pc_trdark")</f>
        <v>0.0</v>
      </c>
      <c r="D62" t="inlineStr">
        <is>
          <t>菲菲上班吃什么</t>
        </is>
      </c>
      <c r="E62" t="inlineStr">
        <is>
          <t>49936530607</t>
        </is>
      </c>
      <c r="F62" t="inlineStr">
        <is>
          <t>2026-03-24 11:02:29</t>
        </is>
      </c>
      <c r="G62" t="inlineStr">
        <is>
          <t>图文</t>
        </is>
      </c>
      <c r="H62" t="inlineStr">
        <is>
          <t>手剥虾仁 无冰衣无添加 低脂餐一人食 上班带饭 顺丰包邮 5盒装</t>
        </is>
      </c>
      <c r="I62" t="inlineStr">
        <is>
          <t>694baba01d450d00013662f0</t>
        </is>
      </c>
      <c r="J62" t="inlineStr">
        <is>
          <t/>
        </is>
      </c>
      <c r="K62" t="n">
        <v>69.0</v>
      </c>
      <c r="L62" t="n">
        <v>1.0</v>
      </c>
      <c r="M62" t="n">
        <v>26.0</v>
      </c>
      <c r="N62" t="n">
        <v>0.143646408839779</v>
      </c>
      <c r="O62" t="n">
        <v>23.0</v>
      </c>
      <c r="P62" t="n">
        <v>1.0</v>
      </c>
      <c r="Q62" t="inlineStr">
        <is>
          <t>0.038461538461538464</t>
        </is>
      </c>
      <c r="R62" t="inlineStr">
        <is>
          <t>0.043478260869565216</t>
        </is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5.0</v>
      </c>
      <c r="Z62" t="n">
        <v>4.0</v>
      </c>
      <c r="AA62" t="n">
        <v>0.0</v>
      </c>
      <c r="AB62" t="n">
        <v>0.0</v>
      </c>
      <c r="AC62" t="n">
        <v>0.0</v>
      </c>
      <c r="AD62" t="n">
        <v>181.0</v>
      </c>
      <c r="AE62" t="n">
        <v>4.0</v>
      </c>
      <c r="AF62" t="n">
        <v>0.0</v>
      </c>
      <c r="AG62" t="n">
        <v>0.0</v>
      </c>
      <c r="AH62" t="n">
        <v>1.0</v>
      </c>
      <c r="AI62" t="n">
        <v>0.0</v>
      </c>
      <c r="AJ62" t="n">
        <v>0.0</v>
      </c>
      <c r="AK62" t="n">
        <v>11.265193370165745</v>
      </c>
      <c r="AL62" t="inlineStr">
        <is>
          <t/>
        </is>
      </c>
    </row>
    <row r="63">
      <c r="A63" t="inlineStr">
        <is>
          <t>奉劝年轻人不要低估了100来块的购买力…</t>
        </is>
      </c>
      <c r="B63" t="inlineStr">
        <is>
          <t>69c3f245000000001b02373f</t>
        </is>
      </c>
      <c r="C63" s="62" t="n">
        <f>HYPERLINK("https://www.xiaohongshu.com/explore/69c3f245000000001b02373f?xsec_token=TBedSEQ7qtT06AlsylOAiUw9kWusqmsKfTaGgNtaMW1c0=&amp;xsec_source=pc_trdark","https://www.xiaohongshu.com/explore/69c3f245000000001b02373f?xsec_token=TBedSEQ7qtT06AlsylOAiUw9kWusqmsKfTaGgNtaMW1c0=&amp;xsec_source=pc_trdark")</f>
        <v>0.0</v>
      </c>
      <c r="D63" t="inlineStr">
        <is>
          <t>婉婉上班吃什么</t>
        </is>
      </c>
      <c r="E63" t="inlineStr">
        <is>
          <t>11434449706</t>
        </is>
      </c>
      <c r="F63" t="inlineStr">
        <is>
          <t>2026-03-25 22:33:41</t>
        </is>
      </c>
      <c r="G63" t="inlineStr">
        <is>
          <t>图文</t>
        </is>
      </c>
      <c r="H63" t="inlineStr">
        <is>
          <t>手剥虾仁 无冰衣无添加 低脂餐一人食 上班带饭 顺丰包邮 5盒装</t>
        </is>
      </c>
      <c r="I63" t="inlineStr">
        <is>
          <t>694baba01d450d00013662f0</t>
        </is>
      </c>
      <c r="J63" t="inlineStr">
        <is>
          <t/>
        </is>
      </c>
      <c r="K63" t="n">
        <v>138.0</v>
      </c>
      <c r="L63" t="n">
        <v>2.0</v>
      </c>
      <c r="M63" t="n">
        <v>27.0</v>
      </c>
      <c r="N63" t="n">
        <v>0.15</v>
      </c>
      <c r="O63" t="n">
        <v>25.0</v>
      </c>
      <c r="P63" t="n">
        <v>2.0</v>
      </c>
      <c r="Q63" t="inlineStr">
        <is>
          <t>0.07407407407407407</t>
        </is>
      </c>
      <c r="R63" t="n">
        <v>0.08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7.0</v>
      </c>
      <c r="Z63" t="n">
        <v>4.0</v>
      </c>
      <c r="AA63" t="n">
        <v>0.0</v>
      </c>
      <c r="AB63" t="n">
        <v>0.0</v>
      </c>
      <c r="AC63" t="n">
        <v>0.0</v>
      </c>
      <c r="AD63" t="n">
        <v>180.0</v>
      </c>
      <c r="AE63" t="n">
        <v>4.0</v>
      </c>
      <c r="AF63" t="n">
        <v>0.0</v>
      </c>
      <c r="AG63" t="n">
        <v>0.0</v>
      </c>
      <c r="AH63" t="n">
        <v>1.0</v>
      </c>
      <c r="AI63" t="n">
        <v>0.0</v>
      </c>
      <c r="AJ63" t="n">
        <v>0.0</v>
      </c>
      <c r="AK63" t="n">
        <v>13.172222222222222</v>
      </c>
      <c r="AL63" t="inlineStr">
        <is>
          <t/>
        </is>
      </c>
    </row>
    <row r="64">
      <c r="A64" t="inlineStr">
        <is>
          <t>40多的乳山生蚝太肥了！好好吃啊</t>
        </is>
      </c>
      <c r="B64" t="inlineStr">
        <is>
          <t>694b5431000000001e00acd4</t>
        </is>
      </c>
      <c r="C64" s="63" t="n">
        <f>HYPERLINK("https://www.xiaohongshu.com/explore/694b5431000000001e00acd4?xsec_token=TBJ1d3lsVKl7u73DozgnzSfvzPKARdzhfUzdrmxgDiM1Q=&amp;xsec_source=pc_trdark","https://www.xiaohongshu.com/explore/694b5431000000001e00acd4?xsec_token=TBJ1d3lsVKl7u73DozgnzSfvzPKARdzhfUzdrmxgDiM1Q=&amp;xsec_source=pc_trdark")</f>
        <v>0.0</v>
      </c>
      <c r="D64" t="inlineStr">
        <is>
          <t>婉婉上班吃什么</t>
        </is>
      </c>
      <c r="E64" t="inlineStr">
        <is>
          <t>11434449706</t>
        </is>
      </c>
      <c r="F64" t="inlineStr">
        <is>
          <t>2025-12-24 10:47:13</t>
        </is>
      </c>
      <c r="G64" t="inlineStr">
        <is>
          <t>视频</t>
        </is>
      </c>
      <c r="H64" t="inlineStr">
        <is>
          <t>生蚝乳山生蚝海蛎子顺丰包邮</t>
        </is>
      </c>
      <c r="I64" t="inlineStr">
        <is>
          <t>690c70971b787900010866cc</t>
        </is>
      </c>
      <c r="J64" t="n">
        <v>31.0</v>
      </c>
      <c r="K64" t="n">
        <v>0.0</v>
      </c>
      <c r="L64" t="n">
        <v>0.0</v>
      </c>
      <c r="M64" t="n">
        <v>12.0</v>
      </c>
      <c r="N64" t="inlineStr">
        <is>
          <t>0.06936416184971098</t>
        </is>
      </c>
      <c r="O64" t="n">
        <v>12.0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inlineStr">
        <is>
          <t/>
        </is>
      </c>
      <c r="X64" t="n">
        <v>0.0</v>
      </c>
      <c r="Y64" t="n">
        <v>3.0</v>
      </c>
      <c r="Z64" t="n">
        <v>0.0</v>
      </c>
      <c r="AA64" t="n">
        <v>0.0</v>
      </c>
      <c r="AB64" t="n">
        <v>0.0</v>
      </c>
      <c r="AC64" t="n">
        <v>0.0</v>
      </c>
      <c r="AD64" t="n">
        <v>173.0</v>
      </c>
      <c r="AE64" t="n">
        <v>1.0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7.745664739884393</v>
      </c>
      <c r="AL64" t="inlineStr">
        <is>
          <t>0.06701030927835051</t>
        </is>
      </c>
    </row>
    <row r="65">
      <c r="A65" t="inlineStr">
        <is>
          <t>60来块够我吃一周的减脂餐的了</t>
        </is>
      </c>
      <c r="B65" t="inlineStr">
        <is>
          <t>69a69f6c000000001a027b60</t>
        </is>
      </c>
      <c r="C65" s="64" t="n">
        <f>HYPERLINK("https://www.xiaohongshu.com/explore/69a69f6c000000001a027b60?xsec_token=TBDC5ayGxbZoC8jUhTnn-Nf_T0qnggcL4GJo9lfGl9hv4=&amp;xsec_source=pc_trdark","https://www.xiaohongshu.com/explore/69a69f6c000000001a027b60?xsec_token=TBDC5ayGxbZoC8jUhTnn-Nf_T0qnggcL4GJo9lfGl9hv4=&amp;xsec_source=pc_trdark")</f>
        <v>0.0</v>
      </c>
      <c r="D65" t="inlineStr">
        <is>
          <t>鲜水湾</t>
        </is>
      </c>
      <c r="E65" t="inlineStr">
        <is>
          <t>49316638994</t>
        </is>
      </c>
      <c r="F65" t="inlineStr">
        <is>
          <t>2026-03-03 16:44:28</t>
        </is>
      </c>
      <c r="G65" t="inlineStr">
        <is>
          <t>图文</t>
        </is>
      </c>
      <c r="H65" t="inlineStr">
        <is>
          <t>大虾基围虾王牌大虾厄瓜多尔白虾盐冻虾仁海洋大虾送礼顺丰包邮</t>
        </is>
      </c>
      <c r="I65" t="inlineStr">
        <is>
          <t>690aeb7be379430001e686ac</t>
        </is>
      </c>
      <c r="J65" t="inlineStr">
        <is>
          <t/>
        </is>
      </c>
      <c r="K65" t="n">
        <v>312.0</v>
      </c>
      <c r="L65" t="n">
        <v>4.0</v>
      </c>
      <c r="M65" t="n">
        <v>48.0</v>
      </c>
      <c r="N65" t="inlineStr">
        <is>
          <t>0.27906976744186046</t>
        </is>
      </c>
      <c r="O65" t="n">
        <v>42.0</v>
      </c>
      <c r="P65" t="n">
        <v>4.0</v>
      </c>
      <c r="Q65" t="inlineStr">
        <is>
          <t>0.08333333333333333</t>
        </is>
      </c>
      <c r="R65" t="inlineStr">
        <is>
          <t>0.09523809523809523</t>
        </is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5.0</v>
      </c>
      <c r="Z65" t="n">
        <v>11.0</v>
      </c>
      <c r="AA65" t="n">
        <v>0.0</v>
      </c>
      <c r="AB65" t="n">
        <v>0.0</v>
      </c>
      <c r="AC65" t="n">
        <v>0.0</v>
      </c>
      <c r="AD65" t="n">
        <v>172.0</v>
      </c>
      <c r="AE65" t="n">
        <v>2.0</v>
      </c>
      <c r="AF65" t="n">
        <v>1.0</v>
      </c>
      <c r="AG65" t="n">
        <v>1.0</v>
      </c>
      <c r="AH65" t="n">
        <v>0.0</v>
      </c>
      <c r="AI65" t="n">
        <v>0.0</v>
      </c>
      <c r="AJ65" t="n">
        <v>0.0</v>
      </c>
      <c r="AK65" t="n">
        <v>11.453488372093023</v>
      </c>
      <c r="AL65" t="inlineStr">
        <is>
          <t/>
        </is>
      </c>
    </row>
    <row r="66">
      <c r="A66" t="inlineStr">
        <is>
          <t>真心建议男人过了30，多吃生蚝🦪</t>
        </is>
      </c>
      <c r="B66" t="inlineStr">
        <is>
          <t>6958d1f4000000001f005398</t>
        </is>
      </c>
      <c r="C66" s="65" t="n">
        <f>HYPERLINK("https://www.xiaohongshu.com/explore/6958d1f4000000001f005398?xsec_token=TBVWL7hy7ogZOv9P5VB1V6xwFILWsG_UatsLFAOiwl6-4=&amp;xsec_source=pc_trdark","https://www.xiaohongshu.com/explore/6958d1f4000000001f005398?xsec_token=TBVWL7hy7ogZOv9P5VB1V6xwFILWsG_UatsLFAOiwl6-4=&amp;xsec_source=pc_trdark")</f>
        <v>0.0</v>
      </c>
      <c r="D66" t="inlineStr">
        <is>
          <t>鲜水湾</t>
        </is>
      </c>
      <c r="E66" t="inlineStr">
        <is>
          <t>49316638994</t>
        </is>
      </c>
      <c r="F66" t="inlineStr">
        <is>
          <t>2026-01-03 16:23:16</t>
        </is>
      </c>
      <c r="G66" t="inlineStr">
        <is>
          <t>图文</t>
        </is>
      </c>
      <c r="H66" t="inlineStr">
        <is>
          <t>生蚝乳山生蚝海蛎子顺丰包邮</t>
        </is>
      </c>
      <c r="I66" t="inlineStr">
        <is>
          <t>690c70971b787900010866cc</t>
        </is>
      </c>
      <c r="J66" t="inlineStr">
        <is>
          <t/>
        </is>
      </c>
      <c r="K66" t="n">
        <v>0.0</v>
      </c>
      <c r="L66" t="n">
        <v>0.0</v>
      </c>
      <c r="M66" t="n">
        <v>15.0</v>
      </c>
      <c r="N66" t="n">
        <v>0.0872093023255814</v>
      </c>
      <c r="O66" t="n">
        <v>15.0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inlineStr">
        <is>
          <t/>
        </is>
      </c>
      <c r="X66" t="n">
        <v>0.0</v>
      </c>
      <c r="Y66" t="n">
        <v>0.0</v>
      </c>
      <c r="Z66" t="n">
        <v>2.0</v>
      </c>
      <c r="AA66" t="n">
        <v>0.0</v>
      </c>
      <c r="AB66" t="n">
        <v>0.0</v>
      </c>
      <c r="AC66" t="n">
        <v>0.0</v>
      </c>
      <c r="AD66" t="n">
        <v>172.0</v>
      </c>
      <c r="AE66" t="n">
        <v>0.0</v>
      </c>
      <c r="AF66" t="n">
        <v>1.0</v>
      </c>
      <c r="AG66" t="n">
        <v>0.0</v>
      </c>
      <c r="AH66" t="n">
        <v>2.0</v>
      </c>
      <c r="AI66" t="n">
        <v>0.0</v>
      </c>
      <c r="AJ66" t="n">
        <v>0.0</v>
      </c>
      <c r="AK66" t="n">
        <v>9.331395348837209</v>
      </c>
      <c r="AL66" t="inlineStr">
        <is>
          <t/>
        </is>
      </c>
    </row>
    <row r="67">
      <c r="A67" t="inlineStr">
        <is>
          <t>建议十二月狠狠吃生蚝，40+一箱的生蚝真嫩~</t>
        </is>
      </c>
      <c r="B67" t="inlineStr">
        <is>
          <t>693a3eff000000001d03cdbe</t>
        </is>
      </c>
      <c r="C67" s="66" t="n">
        <f>HYPERLINK("https://www.xiaohongshu.com/explore/693a3eff000000001d03cdbe?xsec_token=TBSe-eT4tPFhzXSmwZAcjHHzmieHTnjkTL_S03ZMh_jG0=&amp;xsec_source=pc_trdark","https://www.xiaohongshu.com/explore/693a3eff000000001d03cdbe?xsec_token=TBSe-eT4tPFhzXSmwZAcjHHzmieHTnjkTL_S03ZMh_jG0=&amp;xsec_source=pc_trdark")</f>
        <v>0.0</v>
      </c>
      <c r="D67" t="inlineStr">
        <is>
          <t>婉婉上班吃什么</t>
        </is>
      </c>
      <c r="E67" t="inlineStr">
        <is>
          <t>11434449706</t>
        </is>
      </c>
      <c r="F67" t="inlineStr">
        <is>
          <t>2025-12-11 11:48:15</t>
        </is>
      </c>
      <c r="G67" t="inlineStr">
        <is>
          <t>视频</t>
        </is>
      </c>
      <c r="H67" t="inlineStr">
        <is>
          <t>生蚝乳山生蚝海蛎子顺丰包邮</t>
        </is>
      </c>
      <c r="I67" t="inlineStr">
        <is>
          <t>690c70971b787900010866cc</t>
        </is>
      </c>
      <c r="J67" t="n">
        <v>25.0</v>
      </c>
      <c r="K67" t="n">
        <v>79.9</v>
      </c>
      <c r="L67" t="n">
        <v>1.0</v>
      </c>
      <c r="M67" t="n">
        <v>10.0</v>
      </c>
      <c r="N67" t="inlineStr">
        <is>
          <t>0.05847953216374269</t>
        </is>
      </c>
      <c r="O67" t="n">
        <v>7.0</v>
      </c>
      <c r="P67" t="n">
        <v>1.0</v>
      </c>
      <c r="Q67" t="n">
        <v>0.1</v>
      </c>
      <c r="R67" t="inlineStr">
        <is>
          <t>0.14285714285714285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1.0</v>
      </c>
      <c r="Z67" t="n">
        <v>2.0</v>
      </c>
      <c r="AA67" t="n">
        <v>0.0</v>
      </c>
      <c r="AB67" t="n">
        <v>0.0</v>
      </c>
      <c r="AC67" t="n">
        <v>0.0</v>
      </c>
      <c r="AD67" t="n">
        <v>171.0</v>
      </c>
      <c r="AE67" t="n">
        <v>0.0</v>
      </c>
      <c r="AF67" t="n">
        <v>1.0</v>
      </c>
      <c r="AG67" t="n">
        <v>0.0</v>
      </c>
      <c r="AH67" t="n">
        <v>0.0</v>
      </c>
      <c r="AI67" t="n">
        <v>0.0</v>
      </c>
      <c r="AJ67" t="n">
        <v>0.0</v>
      </c>
      <c r="AK67" t="n">
        <v>9.023391812865498</v>
      </c>
      <c r="AL67" t="inlineStr">
        <is>
          <t>0.11282051282051282</t>
        </is>
      </c>
    </row>
    <row r="68">
      <c r="A68" t="inlineStr">
        <is>
          <t>宝子们放心！就算火了我们也绝不涨价！</t>
        </is>
      </c>
      <c r="B68" t="inlineStr">
        <is>
          <t>69b6cd9c0000000022027952</t>
        </is>
      </c>
      <c r="C68" s="67" t="n">
        <f>HYPERLINK("https://www.xiaohongshu.com/explore/69b6cd9c0000000022027952?xsec_token=TBwpaEqA4ODk9qkUKPtwfpqXrgjczAKe7Vt8D7vT24Hq8=&amp;xsec_source=pc_trdark","https://www.xiaohongshu.com/explore/69b6cd9c0000000022027952?xsec_token=TBwpaEqA4ODk9qkUKPtwfpqXrgjczAKe7Vt8D7vT24Hq8=&amp;xsec_source=pc_trdark")</f>
        <v>0.0</v>
      </c>
      <c r="D68" t="inlineStr">
        <is>
          <t>鲜水湾</t>
        </is>
      </c>
      <c r="E68" t="inlineStr">
        <is>
          <t>49316638994</t>
        </is>
      </c>
      <c r="F68" t="inlineStr">
        <is>
          <t>2026-03-15 23:17:48</t>
        </is>
      </c>
      <c r="G68" t="inlineStr">
        <is>
          <t>图文</t>
        </is>
      </c>
      <c r="H68" t="inlineStr">
        <is>
          <t>手剥虾仁 无冰衣无添加 低脂餐一人食 上班带饭 顺丰包邮 5盒装</t>
        </is>
      </c>
      <c r="I68" t="inlineStr">
        <is>
          <t>694baba01d450d00013662f0</t>
        </is>
      </c>
      <c r="J68" t="inlineStr">
        <is>
          <t/>
        </is>
      </c>
      <c r="K68" t="n">
        <v>138.0</v>
      </c>
      <c r="L68" t="n">
        <v>2.0</v>
      </c>
      <c r="M68" t="n">
        <v>22.0</v>
      </c>
      <c r="N68" t="inlineStr">
        <is>
          <t>0.12941176470588237</t>
        </is>
      </c>
      <c r="O68" t="n">
        <v>18.0</v>
      </c>
      <c r="P68" t="n">
        <v>2.0</v>
      </c>
      <c r="Q68" t="inlineStr">
        <is>
          <t>0.09090909090909091</t>
        </is>
      </c>
      <c r="R68" t="n">
        <v>0.1111111111111111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6.0</v>
      </c>
      <c r="Z68" t="n">
        <v>5.0</v>
      </c>
      <c r="AA68" t="n">
        <v>0.0</v>
      </c>
      <c r="AB68" t="n">
        <v>0.0</v>
      </c>
      <c r="AC68" t="n">
        <v>0.0</v>
      </c>
      <c r="AD68" t="n">
        <v>170.0</v>
      </c>
      <c r="AE68" t="n">
        <v>4.0</v>
      </c>
      <c r="AF68" t="n">
        <v>0.0</v>
      </c>
      <c r="AG68" t="n">
        <v>0.0</v>
      </c>
      <c r="AH68" t="n">
        <v>2.0</v>
      </c>
      <c r="AI68" t="n">
        <v>0.0</v>
      </c>
      <c r="AJ68" t="n">
        <v>0.0</v>
      </c>
      <c r="AK68" t="n">
        <v>10.758823529411766</v>
      </c>
      <c r="AL68" t="inlineStr">
        <is>
          <t/>
        </is>
      </c>
    </row>
    <row r="69">
      <c r="A69" t="inlineStr">
        <is>
          <t>59.9r到手5斤，大小一个价，喜欢的来尝尝</t>
        </is>
      </c>
      <c r="B69" t="inlineStr">
        <is>
          <t>69255a3e000000001e02599d</t>
        </is>
      </c>
      <c r="C69" s="68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69" t="inlineStr">
        <is>
          <t>婉婉上班吃什么</t>
        </is>
      </c>
      <c r="E69" t="inlineStr">
        <is>
          <t>11434449706</t>
        </is>
      </c>
      <c r="F69" t="inlineStr">
        <is>
          <t>2025-11-25 15:26:54</t>
        </is>
      </c>
      <c r="G69" t="inlineStr">
        <is>
          <t>视频</t>
        </is>
      </c>
      <c r="H69" t="inlineStr">
        <is>
          <t>生蚝乳山生蚝海蛎子顺丰包邮</t>
        </is>
      </c>
      <c r="I69" t="inlineStr">
        <is>
          <t>690c70971b787900010866cc</t>
        </is>
      </c>
      <c r="J69" t="n">
        <v>28.0</v>
      </c>
      <c r="K69" t="n">
        <v>0.0</v>
      </c>
      <c r="L69" t="n">
        <v>0.0</v>
      </c>
      <c r="M69" t="n">
        <v>15.0</v>
      </c>
      <c r="N69" t="inlineStr">
        <is>
          <t>0.08875739644970414</t>
        </is>
      </c>
      <c r="O69" t="n">
        <v>13.0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inlineStr">
        <is>
          <t/>
        </is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169.0</v>
      </c>
      <c r="AE69" t="n">
        <v>0.0</v>
      </c>
      <c r="AF69" t="n">
        <v>2.0</v>
      </c>
      <c r="AG69" t="n">
        <v>0.0</v>
      </c>
      <c r="AH69" t="n">
        <v>0.0</v>
      </c>
      <c r="AI69" t="n">
        <v>0.0</v>
      </c>
      <c r="AJ69" t="n">
        <v>0.0</v>
      </c>
      <c r="AK69" t="n">
        <v>12.668639053254438</v>
      </c>
      <c r="AL69" t="n">
        <v>0.1485148514851485</v>
      </c>
    </row>
    <row r="70">
      <c r="A70" t="inlineStr">
        <is>
          <t>我也不想抢超市生意，可线下真买不到这价</t>
        </is>
      </c>
      <c r="B70" t="inlineStr">
        <is>
          <t>69a6afc4000000001a0237ed</t>
        </is>
      </c>
      <c r="C70" s="69" t="n">
        <f>HYPERLINK("https://www.xiaohongshu.com/explore/69a6afc4000000001a0237ed?xsec_token=TBDC5ayGxbZoC8jUhTnn-Nf1gfmvPKKXPBz898O7VmQys=&amp;xsec_source=pc_trdark","https://www.xiaohongshu.com/explore/69a6afc4000000001a0237ed?xsec_token=TBDC5ayGxbZoC8jUhTnn-Nf1gfmvPKKXPBz898O7VmQys=&amp;xsec_source=pc_trdark")</f>
        <v>0.0</v>
      </c>
      <c r="D70" t="inlineStr">
        <is>
          <t>鲜水湾</t>
        </is>
      </c>
      <c r="E70" t="inlineStr">
        <is>
          <t>49316638994</t>
        </is>
      </c>
      <c r="F70" t="inlineStr">
        <is>
          <t>2026-03-03 17:54:12</t>
        </is>
      </c>
      <c r="G70" t="inlineStr">
        <is>
          <t>图文</t>
        </is>
      </c>
      <c r="H70" t="inlineStr">
        <is>
          <t>大虾基围虾王牌大虾厄瓜多尔白虾盐冻虾仁海洋大虾送礼顺丰包邮</t>
        </is>
      </c>
      <c r="I70" t="inlineStr">
        <is>
          <t>690aeb7be379430001e686ac</t>
        </is>
      </c>
      <c r="J70" t="inlineStr">
        <is>
          <t/>
        </is>
      </c>
      <c r="K70" t="n">
        <v>0.0</v>
      </c>
      <c r="L70" t="n">
        <v>0.0</v>
      </c>
      <c r="M70" t="n">
        <v>45.0</v>
      </c>
      <c r="N70" t="n">
        <v>0.2694610778443114</v>
      </c>
      <c r="O70" t="n">
        <v>42.0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inlineStr">
        <is>
          <t/>
        </is>
      </c>
      <c r="X70" t="n">
        <v>0.0</v>
      </c>
      <c r="Y70" t="n">
        <v>8.0</v>
      </c>
      <c r="Z70" t="n">
        <v>5.0</v>
      </c>
      <c r="AA70" t="n">
        <v>0.0</v>
      </c>
      <c r="AB70" t="n">
        <v>0.0</v>
      </c>
      <c r="AC70" t="n">
        <v>0.0</v>
      </c>
      <c r="AD70" t="n">
        <v>167.0</v>
      </c>
      <c r="AE70" t="n">
        <v>6.0</v>
      </c>
      <c r="AF70" t="n">
        <v>1.0</v>
      </c>
      <c r="AG70" t="n">
        <v>2.0</v>
      </c>
      <c r="AH70" t="n">
        <v>2.0</v>
      </c>
      <c r="AI70" t="n">
        <v>1.0</v>
      </c>
      <c r="AJ70" t="n">
        <v>0.0</v>
      </c>
      <c r="AK70" t="n">
        <v>9.347305389221557</v>
      </c>
      <c r="AL70" t="inlineStr">
        <is>
          <t/>
        </is>
      </c>
    </row>
    <row r="71">
      <c r="A71" t="inlineStr">
        <is>
          <t>三文鱼真是减脂邪修啊</t>
        </is>
      </c>
      <c r="B71" t="inlineStr">
        <is>
          <t>69b02f7b000000002602d7bf</t>
        </is>
      </c>
      <c r="C71" s="70" t="n">
        <f>HYPERLINK("https://www.xiaohongshu.com/explore/69b02f7b000000002602d7bf?xsec_token=TB1fCSoBGZhUEvn2zrb_Bw2hUfDVtVvpXE8_bFSIjjYbM=&amp;xsec_source=pc_trdark","https://www.xiaohongshu.com/explore/69b02f7b000000002602d7bf?xsec_token=TB1fCSoBGZhUEvn2zrb_Bw2hUfDVtVvpXE8_bFSIjjYbM=&amp;xsec_source=pc_trdark")</f>
        <v>0.0</v>
      </c>
      <c r="D71" t="inlineStr">
        <is>
          <t>鲜水湾甄选</t>
        </is>
      </c>
      <c r="E71" t="inlineStr">
        <is>
          <t>27401929161</t>
        </is>
      </c>
      <c r="F71" t="inlineStr">
        <is>
          <t>2026-03-10 22:49:31</t>
        </is>
      </c>
      <c r="G71" t="inlineStr">
        <is>
          <t>图文</t>
        </is>
      </c>
      <c r="H71" t="inlineStr">
        <is>
          <t>智利三文鱼切块·整条三文鱼·深海鱼一人食健康饮食</t>
        </is>
      </c>
      <c r="I71" t="inlineStr">
        <is>
          <t>691ac562a524ee0001b51d7b</t>
        </is>
      </c>
      <c r="J71" t="inlineStr">
        <is>
          <t/>
        </is>
      </c>
      <c r="K71" t="n">
        <v>0.0</v>
      </c>
      <c r="L71" t="n">
        <v>0.0</v>
      </c>
      <c r="M71" t="n">
        <v>31.0</v>
      </c>
      <c r="N71" t="inlineStr">
        <is>
          <t>0.18674698795180722</t>
        </is>
      </c>
      <c r="O71" t="n">
        <v>29.0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inlineStr">
        <is>
          <t/>
        </is>
      </c>
      <c r="X71" t="n">
        <v>0.0</v>
      </c>
      <c r="Y71" t="n">
        <v>12.0</v>
      </c>
      <c r="Z71" t="n">
        <v>4.0</v>
      </c>
      <c r="AA71" t="n">
        <v>0.0</v>
      </c>
      <c r="AB71" t="n">
        <v>0.0</v>
      </c>
      <c r="AC71" t="n">
        <v>0.0</v>
      </c>
      <c r="AD71" t="n">
        <v>166.0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10.957831325301205</v>
      </c>
      <c r="AL71" t="inlineStr">
        <is>
          <t/>
        </is>
      </c>
    </row>
    <row r="72">
      <c r="A72" t="inlineStr">
        <is>
          <t>70块吃不了一顿外卖，但承包我一周减脂餐！</t>
        </is>
      </c>
      <c r="B72" t="inlineStr">
        <is>
          <t>69b1265b0000000008033642</t>
        </is>
      </c>
      <c r="C72" s="71" t="n">
        <f>HYPERLINK("https://www.xiaohongshu.com/explore/69b1265b0000000008033642?xsec_token=TBPThwaY7kqe53qUk5J0OyzvHFS__c4R67uXQSMP3jqfI=&amp;xsec_source=pc_trdark","https://www.xiaohongshu.com/explore/69b1265b0000000008033642?xsec_token=TBPThwaY7kqe53qUk5J0OyzvHFS__c4R67uXQSMP3jqfI=&amp;xsec_source=pc_trdark")</f>
        <v>0.0</v>
      </c>
      <c r="D72" t="inlineStr">
        <is>
          <t>鲜水湾</t>
        </is>
      </c>
      <c r="E72" t="inlineStr">
        <is>
          <t>49316638994</t>
        </is>
      </c>
      <c r="F72" t="inlineStr">
        <is>
          <t>2026-03-11 16:22:51</t>
        </is>
      </c>
      <c r="G72" t="inlineStr">
        <is>
          <t>图文</t>
        </is>
      </c>
      <c r="H72" t="inlineStr">
        <is>
          <t>大虾基围虾王牌大虾厄瓜多尔白虾盐冻虾仁海洋大虾送礼顺丰包邮</t>
        </is>
      </c>
      <c r="I72" t="inlineStr">
        <is>
          <t>690aeb7be379430001e686ac</t>
        </is>
      </c>
      <c r="J72" t="inlineStr">
        <is>
          <t/>
        </is>
      </c>
      <c r="K72" t="n">
        <v>67.0</v>
      </c>
      <c r="L72" t="n">
        <v>1.0</v>
      </c>
      <c r="M72" t="n">
        <v>25.0</v>
      </c>
      <c r="N72" t="inlineStr">
        <is>
          <t>0.15151515151515152</t>
        </is>
      </c>
      <c r="O72" t="n">
        <v>23.0</v>
      </c>
      <c r="P72" t="n">
        <v>1.0</v>
      </c>
      <c r="Q72" t="n">
        <v>0.04</v>
      </c>
      <c r="R72" t="inlineStr">
        <is>
          <t>0.043478260869565216</t>
        </is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4.0</v>
      </c>
      <c r="Z72" t="n">
        <v>6.0</v>
      </c>
      <c r="AA72" t="n">
        <v>0.0</v>
      </c>
      <c r="AB72" t="n">
        <v>0.0</v>
      </c>
      <c r="AC72" t="n">
        <v>0.0</v>
      </c>
      <c r="AD72" t="n">
        <v>165.0</v>
      </c>
      <c r="AE72" t="n">
        <v>2.0</v>
      </c>
      <c r="AF72" t="n">
        <v>0.0</v>
      </c>
      <c r="AG72" t="n">
        <v>0.0</v>
      </c>
      <c r="AH72" t="n">
        <v>3.0</v>
      </c>
      <c r="AI72" t="n">
        <v>0.0</v>
      </c>
      <c r="AJ72" t="n">
        <v>0.0</v>
      </c>
      <c r="AK72" t="n">
        <v>17.09090909090909</v>
      </c>
      <c r="AL72" t="inlineStr">
        <is>
          <t/>
        </is>
      </c>
    </row>
    <row r="73">
      <c r="A73" t="inlineStr">
        <is>
          <t>长期主义的三文鱼，没有平替。。。</t>
        </is>
      </c>
      <c r="B73" t="inlineStr">
        <is>
          <t>69afde860000000004000657</t>
        </is>
      </c>
      <c r="C73" s="72" t="n">
        <f>HYPERLINK("https://www.xiaohongshu.com/explore/69afde860000000004000657?xsec_token=TBvA7Hz6ko-xGwfQy35gan6Q4ZfKH4K3dGgWzA-8Hq9I8=&amp;xsec_source=pc_trdark","https://www.xiaohongshu.com/explore/69afde860000000004000657?xsec_token=TBvA7Hz6ko-xGwfQy35gan6Q4ZfKH4K3dGgWzA-8Hq9I8=&amp;xsec_source=pc_trdark")</f>
        <v>0.0</v>
      </c>
      <c r="D73" t="inlineStr">
        <is>
          <t>鲜水湾</t>
        </is>
      </c>
      <c r="E73" t="inlineStr">
        <is>
          <t>49316638994</t>
        </is>
      </c>
      <c r="F73" t="inlineStr">
        <is>
          <t>2026-03-10 17:04:06</t>
        </is>
      </c>
      <c r="G73" t="inlineStr">
        <is>
          <t>图文</t>
        </is>
      </c>
      <c r="H73" t="inlineStr">
        <is>
          <t>智利三文鱼切块·整条三文鱼·深海鱼一人食健康饮食</t>
        </is>
      </c>
      <c r="I73" t="inlineStr">
        <is>
          <t>691ac562a524ee0001b51d7b</t>
        </is>
      </c>
      <c r="J73" t="inlineStr">
        <is>
          <t/>
        </is>
      </c>
      <c r="K73" t="n">
        <v>0.0</v>
      </c>
      <c r="L73" t="n">
        <v>0.0</v>
      </c>
      <c r="M73" t="n">
        <v>44.0</v>
      </c>
      <c r="N73" t="n">
        <v>0.2732919254658385</v>
      </c>
      <c r="O73" t="n">
        <v>37.0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inlineStr">
        <is>
          <t/>
        </is>
      </c>
      <c r="X73" t="n">
        <v>0.0</v>
      </c>
      <c r="Y73" t="n">
        <v>10.0</v>
      </c>
      <c r="Z73" t="n">
        <v>8.0</v>
      </c>
      <c r="AA73" t="n">
        <v>0.0</v>
      </c>
      <c r="AB73" t="n">
        <v>0.0</v>
      </c>
      <c r="AC73" t="n">
        <v>0.0</v>
      </c>
      <c r="AD73" t="n">
        <v>161.0</v>
      </c>
      <c r="AE73" t="n">
        <v>1.0</v>
      </c>
      <c r="AF73" t="n">
        <v>3.0</v>
      </c>
      <c r="AG73" t="n">
        <v>0.0</v>
      </c>
      <c r="AH73" t="n">
        <v>1.0</v>
      </c>
      <c r="AI73" t="n">
        <v>0.0</v>
      </c>
      <c r="AJ73" t="n">
        <v>0.0</v>
      </c>
      <c r="AK73" t="n">
        <v>14.68944099378882</v>
      </c>
      <c r="AL73" t="inlineStr">
        <is>
          <t/>
        </is>
      </c>
    </row>
    <row r="74">
      <c r="A74" t="inlineStr">
        <is>
          <t>讲真…我家大虾在小红书上真找不到平替</t>
        </is>
      </c>
      <c r="B74" t="inlineStr">
        <is>
          <t>69ab845b000000002801fb2a</t>
        </is>
      </c>
      <c r="C74" s="73" t="n">
        <f>HYPERLINK("https://www.xiaohongshu.com/explore/69ab845b000000002801fb2a?xsec_token=TBjk1R4L6FFMBESMYKkkhLfIl0MTwJbvMtmMnRl-KhgEM=&amp;xsec_source=pc_trdark","https://www.xiaohongshu.com/explore/69ab845b000000002801fb2a?xsec_token=TBjk1R4L6FFMBESMYKkkhLfIl0MTwJbvMtmMnRl-KhgEM=&amp;xsec_source=pc_trdark")</f>
        <v>0.0</v>
      </c>
      <c r="D74" t="inlineStr">
        <is>
          <t>鲜水湾</t>
        </is>
      </c>
      <c r="E74" t="inlineStr">
        <is>
          <t>49316638994</t>
        </is>
      </c>
      <c r="F74" t="inlineStr">
        <is>
          <t>2026-03-07 09:50:19</t>
        </is>
      </c>
      <c r="G74" t="inlineStr">
        <is>
          <t>图文</t>
        </is>
      </c>
      <c r="H74" t="inlineStr">
        <is>
          <t>大虾基围虾王牌大虾厄瓜多尔白虾盐冻虾仁海洋大虾送礼顺丰包邮</t>
        </is>
      </c>
      <c r="I74" t="inlineStr">
        <is>
          <t>690aeb7be379430001e686ac</t>
        </is>
      </c>
      <c r="J74" t="inlineStr">
        <is>
          <t/>
        </is>
      </c>
      <c r="K74" t="n">
        <v>0.0</v>
      </c>
      <c r="L74" t="n">
        <v>0.0</v>
      </c>
      <c r="M74" t="n">
        <v>39.0</v>
      </c>
      <c r="N74" t="n">
        <v>0.2422360248447205</v>
      </c>
      <c r="O74" t="n">
        <v>34.0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inlineStr">
        <is>
          <t/>
        </is>
      </c>
      <c r="X74" t="n">
        <v>0.0</v>
      </c>
      <c r="Y74" t="n">
        <v>10.0</v>
      </c>
      <c r="Z74" t="n">
        <v>2.0</v>
      </c>
      <c r="AA74" t="n">
        <v>0.0</v>
      </c>
      <c r="AB74" t="n">
        <v>0.0</v>
      </c>
      <c r="AC74" t="n">
        <v>0.0</v>
      </c>
      <c r="AD74" t="n">
        <v>161.0</v>
      </c>
      <c r="AE74" t="n">
        <v>1.0</v>
      </c>
      <c r="AF74" t="n">
        <v>0.0</v>
      </c>
      <c r="AG74" t="n">
        <v>0.0</v>
      </c>
      <c r="AH74" t="n">
        <v>1.0</v>
      </c>
      <c r="AI74" t="n">
        <v>0.0</v>
      </c>
      <c r="AJ74" t="n">
        <v>0.0</v>
      </c>
      <c r="AK74" t="n">
        <v>8.341614906832298</v>
      </c>
      <c r="AL74" t="inlineStr">
        <is>
          <t/>
        </is>
      </c>
    </row>
    <row r="75">
      <c r="A75" t="inlineStr">
        <is>
          <t>下班后的干净晚餐｜一块三文鱼排就够了🍣</t>
        </is>
      </c>
      <c r="B75" t="inlineStr">
        <is>
          <t>69ba9e7c000000001e00eb36</t>
        </is>
      </c>
      <c r="C75" s="74" t="n">
        <f>HYPERLINK("https://www.xiaohongshu.com/explore/69ba9e7c000000001e00eb36?xsec_token=TBgJVNruMKjnZKfHBYiZtZCTZfn-oUpq2OoYZHjIz_Y8I=&amp;xsec_source=pc_trdark","https://www.xiaohongshu.com/explore/69ba9e7c000000001e00eb36?xsec_token=TBgJVNruMKjnZKfHBYiZtZCTZfn-oUpq2OoYZHjIz_Y8I=&amp;xsec_source=pc_trdark")</f>
        <v>0.0</v>
      </c>
      <c r="D75" t="inlineStr">
        <is>
          <t>鲜水湾</t>
        </is>
      </c>
      <c r="E75" t="inlineStr">
        <is>
          <t>49316638994</t>
        </is>
      </c>
      <c r="F75" t="inlineStr">
        <is>
          <t>2026-03-18 20:45:48</t>
        </is>
      </c>
      <c r="G75" t="inlineStr">
        <is>
          <t>图文</t>
        </is>
      </c>
      <c r="H75" t="inlineStr">
        <is>
          <t>智利三文鱼切块·整条三文鱼·深海鱼一人食健康饮食</t>
        </is>
      </c>
      <c r="I75" t="inlineStr">
        <is>
          <t>691ac562a524ee0001b51d7b</t>
        </is>
      </c>
      <c r="J75" t="inlineStr">
        <is>
          <t/>
        </is>
      </c>
      <c r="K75" t="n">
        <v>68.0</v>
      </c>
      <c r="L75" t="n">
        <v>1.0</v>
      </c>
      <c r="M75" t="n">
        <v>31.0</v>
      </c>
      <c r="N75" t="n">
        <v>0.1962025316455696</v>
      </c>
      <c r="O75" t="n">
        <v>29.0</v>
      </c>
      <c r="P75" t="n">
        <v>1.0</v>
      </c>
      <c r="Q75" t="inlineStr">
        <is>
          <t>0.03225806451612903</t>
        </is>
      </c>
      <c r="R75" t="inlineStr">
        <is>
          <t>0.034482758620689655</t>
        </is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4.0</v>
      </c>
      <c r="Z75" t="n">
        <v>5.0</v>
      </c>
      <c r="AA75" t="n">
        <v>0.0</v>
      </c>
      <c r="AB75" t="n">
        <v>0.0</v>
      </c>
      <c r="AC75" t="n">
        <v>0.0</v>
      </c>
      <c r="AD75" t="n">
        <v>158.0</v>
      </c>
      <c r="AE75" t="n">
        <v>2.0</v>
      </c>
      <c r="AF75" t="n">
        <v>0.0</v>
      </c>
      <c r="AG75" t="n">
        <v>0.0</v>
      </c>
      <c r="AH75" t="n">
        <v>2.0</v>
      </c>
      <c r="AI75" t="n">
        <v>1.0</v>
      </c>
      <c r="AJ75" t="n">
        <v>0.0</v>
      </c>
      <c r="AK75" t="n">
        <v>14.670886075949367</v>
      </c>
      <c r="AL75" t="inlineStr">
        <is>
          <t/>
        </is>
      </c>
    </row>
    <row r="76">
      <c r="A76" t="inlineStr">
        <is>
          <t>听劝！不吃晚饭真的会稳稳反弹</t>
        </is>
      </c>
      <c r="B76" t="inlineStr">
        <is>
          <t>69bdf758000000001f004836</t>
        </is>
      </c>
      <c r="C76" s="75" t="n">
        <f>HYPERLINK("https://www.xiaohongshu.com/explore/69bdf758000000001f004836?xsec_token=TBRwbx0S6Y78qN5wWC1_PyBCQJvx4Waifepj2V-Bu94KA=&amp;xsec_source=pc_trdark","https://www.xiaohongshu.com/explore/69bdf758000000001f004836?xsec_token=TBRwbx0S6Y78qN5wWC1_PyBCQJvx4Waifepj2V-Bu94KA=&amp;xsec_source=pc_trdark")</f>
        <v>0.0</v>
      </c>
      <c r="D76" t="inlineStr">
        <is>
          <t>婉婉上班吃什么</t>
        </is>
      </c>
      <c r="E76" t="inlineStr">
        <is>
          <t>11434449706</t>
        </is>
      </c>
      <c r="F76" t="inlineStr">
        <is>
          <t>2026-03-21 09:41:44</t>
        </is>
      </c>
      <c r="G76" t="inlineStr">
        <is>
          <t>图文</t>
        </is>
      </c>
      <c r="H76" t="inlineStr">
        <is>
          <t>手剥虾仁 无冰衣无添加 低脂餐一人食 上班带饭 顺丰包邮 5盒装</t>
        </is>
      </c>
      <c r="I76" t="inlineStr">
        <is>
          <t>694baba01d450d00013662f0</t>
        </is>
      </c>
      <c r="J76" t="inlineStr">
        <is>
          <t/>
        </is>
      </c>
      <c r="K76" t="n">
        <v>0.0</v>
      </c>
      <c r="L76" t="n">
        <v>0.0</v>
      </c>
      <c r="M76" t="n">
        <v>9.0</v>
      </c>
      <c r="N76" t="inlineStr">
        <is>
          <t>0.05732484076433121</t>
        </is>
      </c>
      <c r="O76" t="n">
        <v>6.0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2.0</v>
      </c>
      <c r="Z76" t="n">
        <v>8.0</v>
      </c>
      <c r="AA76" t="n">
        <v>0.0</v>
      </c>
      <c r="AB76" t="n">
        <v>0.0</v>
      </c>
      <c r="AC76" t="n">
        <v>0.0</v>
      </c>
      <c r="AD76" t="n">
        <v>157.0</v>
      </c>
      <c r="AE76" t="n">
        <v>2.0</v>
      </c>
      <c r="AF76" t="n">
        <v>0.0</v>
      </c>
      <c r="AG76" t="n">
        <v>0.0</v>
      </c>
      <c r="AH76" t="n">
        <v>1.0</v>
      </c>
      <c r="AI76" t="n">
        <v>0.0</v>
      </c>
      <c r="AJ76" t="n">
        <v>0.0</v>
      </c>
      <c r="AK76" t="n">
        <v>8.51592356687898</v>
      </c>
      <c r="AL76" t="inlineStr">
        <is>
          <t/>
        </is>
      </c>
    </row>
    <row r="77">
      <c r="A77" t="inlineStr">
        <is>
          <t>年后减脂真花不了多少钱，69够吃一周了</t>
        </is>
      </c>
      <c r="B77" t="inlineStr">
        <is>
          <t>69b55914000000001a0370f6</t>
        </is>
      </c>
      <c r="C77" s="76" t="n">
        <f>HYPERLINK("https://www.xiaohongshu.com/explore/69b55914000000001a0370f6?xsec_token=TBYgTJ9EzKmyKny4Vfc-tHE1D-4FPN_Ls21dAeDDr4uNA=&amp;xsec_source=pc_trdark","https://www.xiaohongshu.com/explore/69b55914000000001a0370f6?xsec_token=TBYgTJ9EzKmyKny4Vfc-tHE1D-4FPN_Ls21dAeDDr4uNA=&amp;xsec_source=pc_trdark")</f>
        <v>0.0</v>
      </c>
      <c r="D77" t="inlineStr">
        <is>
          <t>婉婉上班吃什么</t>
        </is>
      </c>
      <c r="E77" t="inlineStr">
        <is>
          <t>11434449706</t>
        </is>
      </c>
      <c r="F77" t="inlineStr">
        <is>
          <t>2026-03-14 20:48:20</t>
        </is>
      </c>
      <c r="G77" t="inlineStr">
        <is>
          <t>图文</t>
        </is>
      </c>
      <c r="H77" t="inlineStr">
        <is>
          <t>手剥虾仁 无冰衣无添加 低脂餐一人食 上班带饭 顺丰包邮 5盒装</t>
        </is>
      </c>
      <c r="I77" t="inlineStr">
        <is>
          <t>694baba01d450d00013662f0</t>
        </is>
      </c>
      <c r="J77" t="inlineStr">
        <is>
          <t/>
        </is>
      </c>
      <c r="K77" t="n">
        <v>0.0</v>
      </c>
      <c r="L77" t="n">
        <v>0.0</v>
      </c>
      <c r="M77" t="n">
        <v>17.0</v>
      </c>
      <c r="N77" t="inlineStr">
        <is>
          <t>0.10828025477707007</t>
        </is>
      </c>
      <c r="O77" t="n">
        <v>17.0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inlineStr">
        <is>
          <t/>
        </is>
      </c>
      <c r="X77" t="n">
        <v>0.0</v>
      </c>
      <c r="Y77" t="n">
        <v>5.0</v>
      </c>
      <c r="Z77" t="n">
        <v>3.0</v>
      </c>
      <c r="AA77" t="n">
        <v>0.0</v>
      </c>
      <c r="AB77" t="n">
        <v>0.0</v>
      </c>
      <c r="AC77" t="n">
        <v>0.0</v>
      </c>
      <c r="AD77" t="n">
        <v>157.0</v>
      </c>
      <c r="AE77" t="n">
        <v>1.0</v>
      </c>
      <c r="AF77" t="n">
        <v>1.0</v>
      </c>
      <c r="AG77" t="n">
        <v>0.0</v>
      </c>
      <c r="AH77" t="n">
        <v>4.0</v>
      </c>
      <c r="AI77" t="n">
        <v>0.0</v>
      </c>
      <c r="AJ77" t="n">
        <v>0.0</v>
      </c>
      <c r="AK77" t="n">
        <v>11.420382165605096</v>
      </c>
      <c r="AL77" t="inlineStr">
        <is>
          <t/>
        </is>
      </c>
    </row>
    <row r="78">
      <c r="A78" t="inlineStr">
        <is>
          <t>带饭的尽头…真的是免加热</t>
        </is>
      </c>
      <c r="B78" t="inlineStr">
        <is>
          <t>69a8fada000000001a01e106</t>
        </is>
      </c>
      <c r="C78" s="77" t="n">
        <f>HYPERLINK("https://www.xiaohongshu.com/explore/69a8fada000000001a01e106?xsec_token=TBoPbpeIhQUL4QR6_LMsKnIZN-sC3eEnPvvU7inyQsj3g=&amp;xsec_source=pc_trdark","https://www.xiaohongshu.com/explore/69a8fada000000001a01e106?xsec_token=TBoPbpeIhQUL4QR6_LMsKnIZN-sC3eEnPvvU7inyQsj3g=&amp;xsec_source=pc_trdark")</f>
        <v>0.0</v>
      </c>
      <c r="D78" t="inlineStr">
        <is>
          <t>鲜水湾</t>
        </is>
      </c>
      <c r="E78" t="inlineStr">
        <is>
          <t>49316638994</t>
        </is>
      </c>
      <c r="F78" t="inlineStr">
        <is>
          <t>2026-03-05 11:39:06</t>
        </is>
      </c>
      <c r="G78" t="inlineStr">
        <is>
          <t>图文</t>
        </is>
      </c>
      <c r="H78" t="inlineStr">
        <is>
          <t>大虾基围虾王牌大虾厄瓜多尔白虾盐冻虾仁海洋大虾送礼顺丰包邮</t>
        </is>
      </c>
      <c r="I78" t="inlineStr">
        <is>
          <t>690aeb7be379430001e686ac</t>
        </is>
      </c>
      <c r="J78" t="inlineStr">
        <is>
          <t/>
        </is>
      </c>
      <c r="K78" t="n">
        <v>0.0</v>
      </c>
      <c r="L78" t="n">
        <v>0.0</v>
      </c>
      <c r="M78" t="n">
        <v>10.0</v>
      </c>
      <c r="N78" t="inlineStr">
        <is>
          <t>0.06451612903225806</t>
        </is>
      </c>
      <c r="O78" t="n">
        <v>10.0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1.0</v>
      </c>
      <c r="Z78" t="n">
        <v>3.0</v>
      </c>
      <c r="AA78" t="n">
        <v>0.0</v>
      </c>
      <c r="AB78" t="n">
        <v>0.0</v>
      </c>
      <c r="AC78" t="n">
        <v>0.0</v>
      </c>
      <c r="AD78" t="n">
        <v>155.0</v>
      </c>
      <c r="AE78" t="n">
        <v>1.0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11.012903225806452</v>
      </c>
      <c r="AL78" t="inlineStr">
        <is>
          <t/>
        </is>
      </c>
    </row>
    <row r="79">
      <c r="A79" t="inlineStr">
        <is>
          <t>奉劝控体人不要低估了60来块钱的购买力……</t>
        </is>
      </c>
      <c r="B79" t="inlineStr">
        <is>
          <t>69ad7d71000000001a03025f</t>
        </is>
      </c>
      <c r="C79" s="78" t="n">
        <f>HYPERLINK("https://www.xiaohongshu.com/explore/69ad7d71000000001a03025f?xsec_token=TBsauhpT2AwjD8NBV7WI8gZKBMHIqgu_3WmtwpIdUTbSI=&amp;xsec_source=pc_trdark","https://www.xiaohongshu.com/explore/69ad7d71000000001a03025f?xsec_token=TBsauhpT2AwjD8NBV7WI8gZKBMHIqgu_3WmtwpIdUTbSI=&amp;xsec_source=pc_trdark")</f>
        <v>0.0</v>
      </c>
      <c r="D79" t="inlineStr">
        <is>
          <t>鲜水湾</t>
        </is>
      </c>
      <c r="E79" t="inlineStr">
        <is>
          <t>49316638994</t>
        </is>
      </c>
      <c r="F79" t="inlineStr">
        <is>
          <t>2026-03-08 21:45:21</t>
        </is>
      </c>
      <c r="G79" t="inlineStr">
        <is>
          <t>图文</t>
        </is>
      </c>
      <c r="H79" t="inlineStr">
        <is>
          <t>大虾基围虾王牌大虾厄瓜多尔白虾盐冻虾仁海洋大虾送礼顺丰包邮</t>
        </is>
      </c>
      <c r="I79" t="inlineStr">
        <is>
          <t>690aeb7be379430001e686ac</t>
        </is>
      </c>
      <c r="J79" t="inlineStr">
        <is>
          <t/>
        </is>
      </c>
      <c r="K79" t="n">
        <v>77.0</v>
      </c>
      <c r="L79" t="n">
        <v>1.0</v>
      </c>
      <c r="M79" t="n">
        <v>42.0</v>
      </c>
      <c r="N79" t="inlineStr">
        <is>
          <t>0.27450980392156865</t>
        </is>
      </c>
      <c r="O79" t="n">
        <v>38.0</v>
      </c>
      <c r="P79" t="n">
        <v>1.0</v>
      </c>
      <c r="Q79" t="inlineStr">
        <is>
          <t>0.023809523809523808</t>
        </is>
      </c>
      <c r="R79" t="inlineStr">
        <is>
          <t>0.02631578947368421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10.0</v>
      </c>
      <c r="Z79" t="n">
        <v>3.0</v>
      </c>
      <c r="AA79" t="n">
        <v>0.0</v>
      </c>
      <c r="AB79" t="n">
        <v>0.0</v>
      </c>
      <c r="AC79" t="n">
        <v>0.0</v>
      </c>
      <c r="AD79" t="n">
        <v>153.0</v>
      </c>
      <c r="AE79" t="n">
        <v>0.0</v>
      </c>
      <c r="AF79" t="n">
        <v>0.0</v>
      </c>
      <c r="AG79" t="n">
        <v>0.0</v>
      </c>
      <c r="AH79" t="n">
        <v>2.0</v>
      </c>
      <c r="AI79" t="n">
        <v>0.0</v>
      </c>
      <c r="AJ79" t="n">
        <v>0.0</v>
      </c>
      <c r="AK79" t="n">
        <v>7.73202614379085</v>
      </c>
      <c r="AL79" t="inlineStr">
        <is>
          <t/>
        </is>
      </c>
    </row>
    <row r="80">
      <c r="A80" t="inlineStr">
        <is>
          <t>小小69元，承包了我一周减脂餐的快乐</t>
        </is>
      </c>
      <c r="B80" t="inlineStr">
        <is>
          <t>69bbb262000000002301d917</t>
        </is>
      </c>
      <c r="C80" s="79" t="n">
        <f>HYPERLINK("https://www.xiaohongshu.com/explore/69bbb262000000002301d917?xsec_token=TBbjiHoA30T3IRnkbtYIm1O-yrKFLvtkBR58U2weum4tQ=&amp;xsec_source=pc_trdark","https://www.xiaohongshu.com/explore/69bbb262000000002301d917?xsec_token=TBbjiHoA30T3IRnkbtYIm1O-yrKFLvtkBR58U2weum4tQ=&amp;xsec_source=pc_trdark")</f>
        <v>0.0</v>
      </c>
      <c r="D80" t="inlineStr">
        <is>
          <t>菲菲上班吃什么</t>
        </is>
      </c>
      <c r="E80" t="inlineStr">
        <is>
          <t>49936530607</t>
        </is>
      </c>
      <c r="F80" t="inlineStr">
        <is>
          <t>2026-03-19 16:22:58</t>
        </is>
      </c>
      <c r="G80" t="inlineStr">
        <is>
          <t>图文</t>
        </is>
      </c>
      <c r="H80" t="inlineStr">
        <is>
          <t>手剥虾仁 无冰衣无添加 低脂餐一人食 上班带饭 顺丰包邮 5盒装</t>
        </is>
      </c>
      <c r="I80" t="inlineStr">
        <is>
          <t>694baba01d450d00013662f0</t>
        </is>
      </c>
      <c r="J80" t="inlineStr">
        <is>
          <t/>
        </is>
      </c>
      <c r="K80" t="n">
        <v>69.0</v>
      </c>
      <c r="L80" t="n">
        <v>1.0</v>
      </c>
      <c r="M80" t="n">
        <v>15.0</v>
      </c>
      <c r="N80" t="inlineStr">
        <is>
          <t>0.09933774834437085</t>
        </is>
      </c>
      <c r="O80" t="n">
        <v>14.0</v>
      </c>
      <c r="P80" t="n">
        <v>1.0</v>
      </c>
      <c r="Q80" t="inlineStr">
        <is>
          <t>0.06666666666666667</t>
        </is>
      </c>
      <c r="R80" t="inlineStr">
        <is>
          <t>0.07142857142857142</t>
        </is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3.0</v>
      </c>
      <c r="Z80" t="n">
        <v>1.0</v>
      </c>
      <c r="AA80" t="n">
        <v>0.0</v>
      </c>
      <c r="AB80" t="n">
        <v>0.0</v>
      </c>
      <c r="AC80" t="n">
        <v>0.0</v>
      </c>
      <c r="AD80" t="n">
        <v>151.0</v>
      </c>
      <c r="AE80" t="n">
        <v>1.0</v>
      </c>
      <c r="AF80" t="n">
        <v>1.0</v>
      </c>
      <c r="AG80" t="n">
        <v>0.0</v>
      </c>
      <c r="AH80" t="n">
        <v>2.0</v>
      </c>
      <c r="AI80" t="n">
        <v>0.0</v>
      </c>
      <c r="AJ80" t="n">
        <v>0.0</v>
      </c>
      <c r="AK80" t="n">
        <v>12.19205298013245</v>
      </c>
      <c r="AL80" t="inlineStr">
        <is>
          <t/>
        </is>
      </c>
    </row>
    <row r="81">
      <c r="A81" t="inlineStr">
        <is>
          <t>爸妈说我每天吃三文鱼很奢侈…</t>
        </is>
      </c>
      <c r="B81" t="inlineStr">
        <is>
          <t>69c8ea2b000000002301c4f4</t>
        </is>
      </c>
      <c r="C81" s="80" t="n">
        <f>HYPERLINK("https://www.xiaohongshu.com/explore/69c8ea2b000000002301c4f4?xsec_token=TBSs0bsvi6YGXB042lLCz_JOPvhpzBxCLcVvY7UKT8xhQ=&amp;xsec_source=pc_trdark","https://www.xiaohongshu.com/explore/69c8ea2b000000002301c4f4?xsec_token=TBSs0bsvi6YGXB042lLCz_JOPvhpzBxCLcVvY7UKT8xhQ=&amp;xsec_source=pc_trdark")</f>
        <v>0.0</v>
      </c>
      <c r="D81" t="inlineStr">
        <is>
          <t>菲菲上班吃什么</t>
        </is>
      </c>
      <c r="E81" t="inlineStr">
        <is>
          <t>49936530607</t>
        </is>
      </c>
      <c r="F81" t="inlineStr">
        <is>
          <t>2026-03-29 17:00:27</t>
        </is>
      </c>
      <c r="G81" t="inlineStr">
        <is>
          <t>图文</t>
        </is>
      </c>
      <c r="H81" t="inlineStr">
        <is>
          <t>智利三文鱼切块·整条三文鱼·深海鱼一人食健康饮食</t>
        </is>
      </c>
      <c r="I81" t="inlineStr">
        <is>
          <t>691ac562a524ee0001b51d7b</t>
        </is>
      </c>
      <c r="J81" t="inlineStr">
        <is>
          <t/>
        </is>
      </c>
      <c r="K81" t="n">
        <v>0.0</v>
      </c>
      <c r="L81" t="n">
        <v>0.0</v>
      </c>
      <c r="M81" t="n">
        <v>14.0</v>
      </c>
      <c r="N81" t="inlineStr">
        <is>
          <t>0.09395973154362416</t>
        </is>
      </c>
      <c r="O81" t="n">
        <v>14.0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inlineStr">
        <is>
          <t/>
        </is>
      </c>
      <c r="X81" t="n">
        <v>0.0</v>
      </c>
      <c r="Y81" t="n">
        <v>0.0</v>
      </c>
      <c r="Z81" t="n">
        <v>3.0</v>
      </c>
      <c r="AA81" t="n">
        <v>0.0</v>
      </c>
      <c r="AB81" t="n">
        <v>0.0</v>
      </c>
      <c r="AC81" t="n">
        <v>0.0</v>
      </c>
      <c r="AD81" t="n">
        <v>149.0</v>
      </c>
      <c r="AE81" t="n">
        <v>2.0</v>
      </c>
      <c r="AF81" t="n">
        <v>0.0</v>
      </c>
      <c r="AG81" t="n">
        <v>0.0</v>
      </c>
      <c r="AH81" t="n">
        <v>2.0</v>
      </c>
      <c r="AI81" t="n">
        <v>0.0</v>
      </c>
      <c r="AJ81" t="n">
        <v>0.0</v>
      </c>
      <c r="AK81" t="n">
        <v>11.563758389261745</v>
      </c>
      <c r="AL81" t="inlineStr">
        <is>
          <t/>
        </is>
      </c>
    </row>
    <row r="82">
      <c r="A82" t="inlineStr">
        <is>
          <t>感谢网友推荐！年后控体真的太简单了</t>
        </is>
      </c>
      <c r="B82" t="inlineStr">
        <is>
          <t>69abdddf000000002801e216</t>
        </is>
      </c>
      <c r="C82" s="81" t="n">
        <f>HYPERLINK("https://www.xiaohongshu.com/explore/69abdddf000000002801e216?xsec_token=TBjk1R4L6FFMBESMYKkkhLfMbEK-S3v4SB0RGJYvdu88M=&amp;xsec_source=pc_trdark","https://www.xiaohongshu.com/explore/69abdddf000000002801e216?xsec_token=TBjk1R4L6FFMBESMYKkkhLfMbEK-S3v4SB0RGJYvdu88M=&amp;xsec_source=pc_trdark")</f>
        <v>0.0</v>
      </c>
      <c r="D82" t="inlineStr">
        <is>
          <t>鲜水湾</t>
        </is>
      </c>
      <c r="E82" t="inlineStr">
        <is>
          <t>49316638994</t>
        </is>
      </c>
      <c r="F82" t="inlineStr">
        <is>
          <t>2026-03-07 16:12:15</t>
        </is>
      </c>
      <c r="G82" t="inlineStr">
        <is>
          <t>图文</t>
        </is>
      </c>
      <c r="H82" t="inlineStr">
        <is>
          <t>大虾基围虾王牌大虾厄瓜多尔白虾盐冻虾仁海洋大虾送礼顺丰包邮</t>
        </is>
      </c>
      <c r="I82" t="inlineStr">
        <is>
          <t>690aeb7be379430001e686ac</t>
        </is>
      </c>
      <c r="J82" t="inlineStr">
        <is>
          <t/>
        </is>
      </c>
      <c r="K82" t="n">
        <v>0.0</v>
      </c>
      <c r="L82" t="n">
        <v>0.0</v>
      </c>
      <c r="M82" t="n">
        <v>23.0</v>
      </c>
      <c r="N82" t="inlineStr">
        <is>
          <t>0.15436241610738255</t>
        </is>
      </c>
      <c r="O82" t="n">
        <v>21.0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inlineStr">
        <is>
          <t/>
        </is>
      </c>
      <c r="X82" t="n">
        <v>0.0</v>
      </c>
      <c r="Y82" t="n">
        <v>4.0</v>
      </c>
      <c r="Z82" t="n">
        <v>8.0</v>
      </c>
      <c r="AA82" t="n">
        <v>0.0</v>
      </c>
      <c r="AB82" t="n">
        <v>0.0</v>
      </c>
      <c r="AC82" t="n">
        <v>0.0</v>
      </c>
      <c r="AD82" t="n">
        <v>149.0</v>
      </c>
      <c r="AE82" t="n">
        <v>3.0</v>
      </c>
      <c r="AF82" t="n">
        <v>1.0</v>
      </c>
      <c r="AG82" t="n">
        <v>0.0</v>
      </c>
      <c r="AH82" t="n">
        <v>3.0</v>
      </c>
      <c r="AI82" t="n">
        <v>0.0</v>
      </c>
      <c r="AJ82" t="n">
        <v>0.0</v>
      </c>
      <c r="AK82" t="n">
        <v>9.436241610738255</v>
      </c>
      <c r="AL82" t="inlineStr">
        <is>
          <t/>
        </is>
      </c>
    </row>
    <row r="83">
      <c r="A83" t="inlineStr">
        <is>
          <t>节后控体，都把鸡胸肉换成抗炎减脂的三文鱼</t>
        </is>
      </c>
      <c r="B83" t="inlineStr">
        <is>
          <t>69b14b4f000000000601f212</t>
        </is>
      </c>
      <c r="C83" s="82" t="n">
        <f>HYPERLINK("https://www.xiaohongshu.com/explore/69b14b4f000000000601f212?xsec_token=TBPThwaY7kqe53qUk5J0Oyzr1tds-y3hBLv9mZD2SjD-8=&amp;xsec_source=pc_trdark","https://www.xiaohongshu.com/explore/69b14b4f000000000601f212?xsec_token=TBPThwaY7kqe53qUk5J0Oyzr1tds-y3hBLv9mZD2SjD-8=&amp;xsec_source=pc_trdark")</f>
        <v>0.0</v>
      </c>
      <c r="D83" t="inlineStr">
        <is>
          <t>鲜水湾</t>
        </is>
      </c>
      <c r="E83" t="inlineStr">
        <is>
          <t>49316638994</t>
        </is>
      </c>
      <c r="F83" t="inlineStr">
        <is>
          <t>2026-03-11 19:00:31</t>
        </is>
      </c>
      <c r="G83" t="inlineStr">
        <is>
          <t>图文</t>
        </is>
      </c>
      <c r="H83" t="inlineStr">
        <is>
          <t>智利三文鱼切块·整条三文鱼·深海鱼一人食健康饮食</t>
        </is>
      </c>
      <c r="I83" t="inlineStr">
        <is>
          <t>691ac562a524ee0001b51d7b</t>
        </is>
      </c>
      <c r="J83" t="inlineStr">
        <is>
          <t/>
        </is>
      </c>
      <c r="K83" t="n">
        <v>0.0</v>
      </c>
      <c r="L83" t="n">
        <v>0.0</v>
      </c>
      <c r="M83" t="n">
        <v>25.0</v>
      </c>
      <c r="N83" t="inlineStr">
        <is>
          <t>0.17006802721088435</t>
        </is>
      </c>
      <c r="O83" t="n">
        <v>23.0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inlineStr">
        <is>
          <t/>
        </is>
      </c>
      <c r="X83" t="n">
        <v>0.0</v>
      </c>
      <c r="Y83" t="n">
        <v>4.0</v>
      </c>
      <c r="Z83" t="n">
        <v>11.0</v>
      </c>
      <c r="AA83" t="n">
        <v>0.0</v>
      </c>
      <c r="AB83" t="n">
        <v>0.0</v>
      </c>
      <c r="AC83" t="n">
        <v>0.0</v>
      </c>
      <c r="AD83" t="n">
        <v>147.0</v>
      </c>
      <c r="AE83" t="n">
        <v>0.0</v>
      </c>
      <c r="AF83" t="n">
        <v>0.0</v>
      </c>
      <c r="AG83" t="n">
        <v>0.0</v>
      </c>
      <c r="AH83" t="n">
        <v>2.0</v>
      </c>
      <c r="AI83" t="n">
        <v>0.0</v>
      </c>
      <c r="AJ83" t="n">
        <v>0.0</v>
      </c>
      <c r="AK83" t="n">
        <v>11.870748299319727</v>
      </c>
      <c r="AL83" t="inlineStr">
        <is>
          <t/>
        </is>
      </c>
    </row>
    <row r="84">
      <c r="A84" t="inlineStr">
        <is>
          <t>同事问我怎么每天带饭都是虾仁……</t>
        </is>
      </c>
      <c r="B84" t="inlineStr">
        <is>
          <t>69c4f367000000001f00102e</t>
        </is>
      </c>
      <c r="C84" s="83" t="n">
        <f>HYPERLINK("https://www.xiaohongshu.com/explore/69c4f367000000001f00102e?xsec_token=TBIVv4KG_Is8XT8uyOgDE1Rx9jc3uVRVNnU2AS_ccjcSg=&amp;xsec_source=pc_trdark","https://www.xiaohongshu.com/explore/69c4f367000000001f00102e?xsec_token=TBIVv4KG_Is8XT8uyOgDE1Rx9jc3uVRVNnU2AS_ccjcSg=&amp;xsec_source=pc_trdark")</f>
        <v>0.0</v>
      </c>
      <c r="D84" t="inlineStr">
        <is>
          <t>婉婉上班吃什么</t>
        </is>
      </c>
      <c r="E84" t="inlineStr">
        <is>
          <t>11434449706</t>
        </is>
      </c>
      <c r="F84" t="inlineStr">
        <is>
          <t>2026-03-26 16:50:47</t>
        </is>
      </c>
      <c r="G84" t="inlineStr">
        <is>
          <t>图文</t>
        </is>
      </c>
      <c r="H84" t="inlineStr">
        <is>
          <t>手剥虾仁 无冰衣无添加 低脂餐一人食 上班带饭 顺丰包邮 5盒装</t>
        </is>
      </c>
      <c r="I84" t="inlineStr">
        <is>
          <t>694baba01d450d00013662f0</t>
        </is>
      </c>
      <c r="J84" t="inlineStr">
        <is>
          <t/>
        </is>
      </c>
      <c r="K84" t="n">
        <v>0.0</v>
      </c>
      <c r="L84" t="n">
        <v>0.0</v>
      </c>
      <c r="M84" t="n">
        <v>12.0</v>
      </c>
      <c r="N84" t="n">
        <v>0.0821917808219178</v>
      </c>
      <c r="O84" t="n">
        <v>12.0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1.0</v>
      </c>
      <c r="Z84" t="n">
        <v>1.0</v>
      </c>
      <c r="AA84" t="n">
        <v>0.0</v>
      </c>
      <c r="AB84" t="n">
        <v>0.0</v>
      </c>
      <c r="AC84" t="n">
        <v>0.0</v>
      </c>
      <c r="AD84" t="n">
        <v>146.0</v>
      </c>
      <c r="AE84" t="n">
        <v>2.0</v>
      </c>
      <c r="AF84" t="n">
        <v>1.0</v>
      </c>
      <c r="AG84" t="n">
        <v>0.0</v>
      </c>
      <c r="AH84" t="n">
        <v>2.0</v>
      </c>
      <c r="AI84" t="n">
        <v>0.0</v>
      </c>
      <c r="AJ84" t="n">
        <v>0.0</v>
      </c>
      <c r="AK84" t="n">
        <v>12.684931506849315</v>
      </c>
      <c r="AL84" t="inlineStr">
        <is>
          <t/>
        </is>
      </c>
    </row>
    <row r="85">
      <c r="A85" t="inlineStr">
        <is>
          <t>真别小看69块！够我吃一周了</t>
        </is>
      </c>
      <c r="B85" t="inlineStr">
        <is>
          <t>69bd5beb000000001a02e655</t>
        </is>
      </c>
      <c r="C85" s="84" t="n">
        <f>HYPERLINK("https://www.xiaohongshu.com/explore/69bd5beb000000001a02e655?xsec_token=TBRwbx0S6Y78qN5wWC1_PyBNpv5z6iE5zQauNEKYndr70=&amp;xsec_source=pc_trdark","https://www.xiaohongshu.com/explore/69bd5beb000000001a02e655?xsec_token=TBRwbx0S6Y78qN5wWC1_PyBNpv5z6iE5zQauNEKYndr70=&amp;xsec_source=pc_trdark")</f>
        <v>0.0</v>
      </c>
      <c r="D85" t="inlineStr">
        <is>
          <t>菲菲上班吃什么</t>
        </is>
      </c>
      <c r="E85" t="inlineStr">
        <is>
          <t>49936530607</t>
        </is>
      </c>
      <c r="F85" t="inlineStr">
        <is>
          <t>2026-03-20 22:38:35</t>
        </is>
      </c>
      <c r="G85" t="inlineStr">
        <is>
          <t>图文</t>
        </is>
      </c>
      <c r="H85" t="inlineStr">
        <is>
          <t>手剥虾仁 无冰衣无添加 低脂餐一人食 上班带饭 顺丰包邮 5盒装</t>
        </is>
      </c>
      <c r="I85" t="inlineStr">
        <is>
          <t>694baba01d450d00013662f0</t>
        </is>
      </c>
      <c r="J85" t="inlineStr">
        <is>
          <t/>
        </is>
      </c>
      <c r="K85" t="n">
        <v>0.0</v>
      </c>
      <c r="L85" t="n">
        <v>0.0</v>
      </c>
      <c r="M85" t="n">
        <v>28.0</v>
      </c>
      <c r="N85" t="inlineStr">
        <is>
          <t>0.19444444444444445</t>
        </is>
      </c>
      <c r="O85" t="n">
        <v>25.0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inlineStr">
        <is>
          <t/>
        </is>
      </c>
      <c r="X85" t="n">
        <v>0.0</v>
      </c>
      <c r="Y85" t="n">
        <v>6.0</v>
      </c>
      <c r="Z85" t="n">
        <v>12.0</v>
      </c>
      <c r="AA85" t="n">
        <v>0.0</v>
      </c>
      <c r="AB85" t="n">
        <v>0.0</v>
      </c>
      <c r="AC85" t="n">
        <v>0.0</v>
      </c>
      <c r="AD85" t="n">
        <v>144.0</v>
      </c>
      <c r="AE85" t="n">
        <v>3.0</v>
      </c>
      <c r="AF85" t="n">
        <v>0.0</v>
      </c>
      <c r="AG85" t="n">
        <v>1.0</v>
      </c>
      <c r="AH85" t="n">
        <v>1.0</v>
      </c>
      <c r="AI85" t="n">
        <v>0.0</v>
      </c>
      <c r="AJ85" t="n">
        <v>0.0</v>
      </c>
      <c r="AK85" t="n">
        <v>12.347222222222221</v>
      </c>
      <c r="AL85" t="inlineStr">
        <is>
          <t/>
        </is>
      </c>
    </row>
    <row r="86">
      <c r="A86" t="inlineStr">
        <is>
          <t>带饭的尽头…真的是免加热</t>
        </is>
      </c>
      <c r="B86" t="inlineStr">
        <is>
          <t>69bb6a07000000001a02cda7</t>
        </is>
      </c>
      <c r="C86" s="85" t="n">
        <f>HYPERLINK("https://www.xiaohongshu.com/explore/69bb6a07000000001a02cda7?xsec_token=TBbjiHoA30T3IRnkbtYIm1O0hosuIpOuYX2B1olmbPzBU=&amp;xsec_source=pc_trdark","https://www.xiaohongshu.com/explore/69bb6a07000000001a02cda7?xsec_token=TBbjiHoA30T3IRnkbtYIm1O0hosuIpOuYX2B1olmbPzBU=&amp;xsec_source=pc_trdark")</f>
        <v>0.0</v>
      </c>
      <c r="D86" t="inlineStr">
        <is>
          <t>菲菲上班吃什么</t>
        </is>
      </c>
      <c r="E86" t="inlineStr">
        <is>
          <t>49936530607</t>
        </is>
      </c>
      <c r="F86" t="inlineStr">
        <is>
          <t>2026-03-19 11:14:15</t>
        </is>
      </c>
      <c r="G86" t="inlineStr">
        <is>
          <t>图文</t>
        </is>
      </c>
      <c r="H86" t="inlineStr">
        <is>
          <t>手剥虾仁 无冰衣无添加 低脂餐一人食 上班带饭 顺丰包邮 5盒装</t>
        </is>
      </c>
      <c r="I86" t="inlineStr">
        <is>
          <t>694baba01d450d00013662f0</t>
        </is>
      </c>
      <c r="J86" t="inlineStr">
        <is>
          <t/>
        </is>
      </c>
      <c r="K86" t="n">
        <v>138.0</v>
      </c>
      <c r="L86" t="n">
        <v>2.0</v>
      </c>
      <c r="M86" t="n">
        <v>13.0</v>
      </c>
      <c r="N86" t="inlineStr">
        <is>
          <t>0.09090909090909091</t>
        </is>
      </c>
      <c r="O86" t="n">
        <v>7.0</v>
      </c>
      <c r="P86" t="n">
        <v>2.0</v>
      </c>
      <c r="Q86" t="inlineStr">
        <is>
          <t>0.15384615384615385</t>
        </is>
      </c>
      <c r="R86" t="n">
        <v>0.2857142857142857</v>
      </c>
      <c r="S86" t="n">
        <v>69.0</v>
      </c>
      <c r="T86" t="n">
        <v>1.0</v>
      </c>
      <c r="U86" t="n">
        <v>1.0</v>
      </c>
      <c r="V86" t="n">
        <v>69.0</v>
      </c>
      <c r="W86" t="n">
        <v>0.5</v>
      </c>
      <c r="X86" t="n">
        <v>1.0</v>
      </c>
      <c r="Y86" t="n">
        <v>5.0</v>
      </c>
      <c r="Z86" t="n">
        <v>1.0</v>
      </c>
      <c r="AA86" t="n">
        <v>0.0</v>
      </c>
      <c r="AB86" t="n">
        <v>0.0</v>
      </c>
      <c r="AC86" t="n">
        <v>0.0</v>
      </c>
      <c r="AD86" t="n">
        <v>143.0</v>
      </c>
      <c r="AE86" t="n">
        <v>3.0</v>
      </c>
      <c r="AF86" t="n">
        <v>2.0</v>
      </c>
      <c r="AG86" t="n">
        <v>0.0</v>
      </c>
      <c r="AH86" t="n">
        <v>1.0</v>
      </c>
      <c r="AI86" t="n">
        <v>0.0</v>
      </c>
      <c r="AJ86" t="n">
        <v>0.0</v>
      </c>
      <c r="AK86" t="n">
        <v>13.076923076923077</v>
      </c>
      <c r="AL86" t="inlineStr">
        <is>
          <t/>
        </is>
      </c>
    </row>
    <row r="87">
      <c r="A87" t="inlineStr">
        <is>
          <t>以为69没多少，结果够我吃一周减脂餐的了</t>
        </is>
      </c>
      <c r="B87" t="inlineStr">
        <is>
          <t>69c15c01000000002800873c</t>
        </is>
      </c>
      <c r="C87" s="86" t="n">
        <f>HYPERLINK("https://www.xiaohongshu.com/explore/69c15c01000000002800873c?xsec_token=TBltfkQyXS0u_Ko7SgIzuBYs6LVUOf53YM7PIAn0mfGs8=&amp;xsec_source=pc_trdark","https://www.xiaohongshu.com/explore/69c15c01000000002800873c?xsec_token=TBltfkQyXS0u_Ko7SgIzuBYs6LVUOf53YM7PIAn0mfGs8=&amp;xsec_source=pc_trdark")</f>
        <v>0.0</v>
      </c>
      <c r="D87" t="inlineStr">
        <is>
          <t>菲菲上班吃什么</t>
        </is>
      </c>
      <c r="E87" t="inlineStr">
        <is>
          <t>49936530607</t>
        </is>
      </c>
      <c r="F87" t="inlineStr">
        <is>
          <t>2026-03-23 23:28:01</t>
        </is>
      </c>
      <c r="G87" t="inlineStr">
        <is>
          <t>图文</t>
        </is>
      </c>
      <c r="H87" t="inlineStr">
        <is>
          <t>手剥虾仁 无冰衣无添加 低脂餐一人食 上班带饭 顺丰包邮 5盒装</t>
        </is>
      </c>
      <c r="I87" t="inlineStr">
        <is>
          <t>694baba01d450d00013662f0</t>
        </is>
      </c>
      <c r="J87" t="inlineStr">
        <is>
          <t/>
        </is>
      </c>
      <c r="K87" t="n">
        <v>69.0</v>
      </c>
      <c r="L87" t="n">
        <v>1.0</v>
      </c>
      <c r="M87" t="n">
        <v>32.0</v>
      </c>
      <c r="N87" t="inlineStr">
        <is>
          <t>0.22535211267605634</t>
        </is>
      </c>
      <c r="O87" t="n">
        <v>31.0</v>
      </c>
      <c r="P87" t="n">
        <v>1.0</v>
      </c>
      <c r="Q87" t="n">
        <v>0.03125</v>
      </c>
      <c r="R87" t="inlineStr">
        <is>
          <t>0.03225806451612903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7.0</v>
      </c>
      <c r="Z87" t="n">
        <v>7.0</v>
      </c>
      <c r="AA87" t="n">
        <v>0.0</v>
      </c>
      <c r="AB87" t="n">
        <v>0.0</v>
      </c>
      <c r="AC87" t="n">
        <v>0.0</v>
      </c>
      <c r="AD87" t="n">
        <v>142.0</v>
      </c>
      <c r="AE87" t="n">
        <v>2.0</v>
      </c>
      <c r="AF87" t="n">
        <v>0.0</v>
      </c>
      <c r="AG87" t="n">
        <v>0.0</v>
      </c>
      <c r="AH87" t="n">
        <v>2.0</v>
      </c>
      <c r="AI87" t="n">
        <v>0.0</v>
      </c>
      <c r="AJ87" t="n">
        <v>0.0</v>
      </c>
      <c r="AK87" t="n">
        <v>17.204225352112676</v>
      </c>
      <c r="AL87" t="inlineStr">
        <is>
          <t/>
        </is>
      </c>
    </row>
    <row r="88">
      <c r="A88" t="inlineStr">
        <is>
          <t>晚上只吃虾，掉秤巨稳</t>
        </is>
      </c>
      <c r="B88" t="inlineStr">
        <is>
          <t>69a8f445000000002801d57d</t>
        </is>
      </c>
      <c r="C88" s="87" t="n">
        <f>HYPERLINK("https://www.xiaohongshu.com/explore/69a8f445000000002801d57d?xsec_token=TBoPbpeIhQUL4QR6_LMsKnIRXXf9-BsatbfrxCyb4eMEE=&amp;xsec_source=pc_trdark","https://www.xiaohongshu.com/explore/69a8f445000000002801d57d?xsec_token=TBoPbpeIhQUL4QR6_LMsKnIRXXf9-BsatbfrxCyb4eMEE=&amp;xsec_source=pc_trdark")</f>
        <v>0.0</v>
      </c>
      <c r="D88" t="inlineStr">
        <is>
          <t>鲜水湾</t>
        </is>
      </c>
      <c r="E88" t="inlineStr">
        <is>
          <t>49316638994</t>
        </is>
      </c>
      <c r="F88" t="inlineStr">
        <is>
          <t>2026-03-05 11:11:01</t>
        </is>
      </c>
      <c r="G88" t="inlineStr">
        <is>
          <t>图文</t>
        </is>
      </c>
      <c r="H88" t="inlineStr">
        <is>
          <t>大虾基围虾王牌大虾厄瓜多尔白虾盐冻虾仁海洋大虾送礼顺丰包邮</t>
        </is>
      </c>
      <c r="I88" t="inlineStr">
        <is>
          <t>690aeb7be379430001e686ac</t>
        </is>
      </c>
      <c r="J88" t="inlineStr">
        <is>
          <t/>
        </is>
      </c>
      <c r="K88" t="n">
        <v>0.0</v>
      </c>
      <c r="L88" t="n">
        <v>0.0</v>
      </c>
      <c r="M88" t="n">
        <v>14.0</v>
      </c>
      <c r="N88" t="inlineStr">
        <is>
          <t>0.10218978102189781</t>
        </is>
      </c>
      <c r="O88" t="n">
        <v>13.0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inlineStr">
        <is>
          <t/>
        </is>
      </c>
      <c r="X88" t="n">
        <v>0.0</v>
      </c>
      <c r="Y88" t="n">
        <v>0.0</v>
      </c>
      <c r="Z88" t="n">
        <v>1.0</v>
      </c>
      <c r="AA88" t="n">
        <v>0.0</v>
      </c>
      <c r="AB88" t="n">
        <v>0.0</v>
      </c>
      <c r="AC88" t="n">
        <v>0.0</v>
      </c>
      <c r="AD88" t="n">
        <v>137.0</v>
      </c>
      <c r="AE88" t="n">
        <v>1.0</v>
      </c>
      <c r="AF88" t="n">
        <v>1.0</v>
      </c>
      <c r="AG88" t="n">
        <v>0.0</v>
      </c>
      <c r="AH88" t="n">
        <v>2.0</v>
      </c>
      <c r="AI88" t="n">
        <v>0.0</v>
      </c>
      <c r="AJ88" t="n">
        <v>0.0</v>
      </c>
      <c r="AK88" t="n">
        <v>8.737226277372264</v>
      </c>
      <c r="AL88" t="inlineStr">
        <is>
          <t/>
        </is>
      </c>
    </row>
    <row r="89">
      <c r="A89" t="inlineStr">
        <is>
          <t>推荐身材管理期的宝子们都去吃这个</t>
        </is>
      </c>
      <c r="B89" t="inlineStr">
        <is>
          <t>69b960eb000000001f005fed</t>
        </is>
      </c>
      <c r="C89" s="88" t="n">
        <f>HYPERLINK("https://www.xiaohongshu.com/explore/69b960eb000000001f005fed?xsec_token=TBgv0wN35T_w0yZx7fmvlvfJbThzeDNCyPQnQJpvdvF70=&amp;xsec_source=pc_trdark","https://www.xiaohongshu.com/explore/69b960eb000000001f005fed?xsec_token=TBgv0wN35T_w0yZx7fmvlvfJbThzeDNCyPQnQJpvdvF70=&amp;xsec_source=pc_trdark")</f>
        <v>0.0</v>
      </c>
      <c r="D89" t="inlineStr">
        <is>
          <t>婉婉上班吃什么</t>
        </is>
      </c>
      <c r="E89" t="inlineStr">
        <is>
          <t>11434449706</t>
        </is>
      </c>
      <c r="F89" t="inlineStr">
        <is>
          <t>2026-03-17 22:10:52</t>
        </is>
      </c>
      <c r="G89" t="inlineStr">
        <is>
          <t>图文</t>
        </is>
      </c>
      <c r="H89" t="inlineStr">
        <is>
          <t>手剥虾仁 无冰衣无添加 低脂餐一人食 上班带饭 顺丰包邮 5盒装</t>
        </is>
      </c>
      <c r="I89" t="inlineStr">
        <is>
          <t>694baba01d450d00013662f0</t>
        </is>
      </c>
      <c r="J89" t="inlineStr">
        <is>
          <t/>
        </is>
      </c>
      <c r="K89" t="n">
        <v>69.0</v>
      </c>
      <c r="L89" t="n">
        <v>1.0</v>
      </c>
      <c r="M89" t="n">
        <v>16.0</v>
      </c>
      <c r="N89" t="inlineStr">
        <is>
          <t>0.11851851851851852</t>
        </is>
      </c>
      <c r="O89" t="n">
        <v>14.0</v>
      </c>
      <c r="P89" t="n">
        <v>1.0</v>
      </c>
      <c r="Q89" t="n">
        <v>0.0625</v>
      </c>
      <c r="R89" t="inlineStr">
        <is>
          <t>0.07142857142857142</t>
        </is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4.0</v>
      </c>
      <c r="Z89" t="n">
        <v>1.0</v>
      </c>
      <c r="AA89" t="n">
        <v>0.0</v>
      </c>
      <c r="AB89" t="n">
        <v>0.0</v>
      </c>
      <c r="AC89" t="n">
        <v>0.0</v>
      </c>
      <c r="AD89" t="n">
        <v>135.0</v>
      </c>
      <c r="AE89" t="n">
        <v>1.0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7.37037037037037</v>
      </c>
      <c r="AL89" t="inlineStr">
        <is>
          <t/>
        </is>
      </c>
    </row>
    <row r="90">
      <c r="A90" t="inlineStr">
        <is>
          <t>完全低估了300多的购买力…</t>
        </is>
      </c>
      <c r="B90" t="inlineStr">
        <is>
          <t>69ca9b20000000001b022f98</t>
        </is>
      </c>
      <c r="C90" s="89" t="n">
        <f>HYPERLINK("https://www.xiaohongshu.com/explore/69ca9b20000000001b022f98?xsec_token=TBZMwIQ43aS0K0DsaEHGlBqgg83skNUCe6chnhZXv2cU0=&amp;xsec_source=pc_trdark","https://www.xiaohongshu.com/explore/69ca9b20000000001b022f98?xsec_token=TBZMwIQ43aS0K0DsaEHGlBqgg83skNUCe6chnhZXv2cU0=&amp;xsec_source=pc_trdark")</f>
        <v>0.0</v>
      </c>
      <c r="D90" t="inlineStr">
        <is>
          <t>婉婉上班吃什么</t>
        </is>
      </c>
      <c r="E90" t="inlineStr">
        <is>
          <t>11434449706</t>
        </is>
      </c>
      <c r="F90" t="inlineStr">
        <is>
          <t>2026-03-30 23:47:44</t>
        </is>
      </c>
      <c r="G90" t="inlineStr">
        <is>
          <t>图文</t>
        </is>
      </c>
      <c r="H90" t="inlineStr">
        <is>
          <t>智利三文鱼切块·整条三文鱼·深海鱼一人食健康饮食</t>
        </is>
      </c>
      <c r="I90" t="inlineStr">
        <is>
          <t>691ac562a524ee0001b51d7b</t>
        </is>
      </c>
      <c r="J90" t="inlineStr">
        <is>
          <t/>
        </is>
      </c>
      <c r="K90" t="n">
        <v>333.0</v>
      </c>
      <c r="L90" t="n">
        <v>1.0</v>
      </c>
      <c r="M90" t="n">
        <v>19.0</v>
      </c>
      <c r="N90" t="n">
        <v>0.1417910447761194</v>
      </c>
      <c r="O90" t="n">
        <v>16.0</v>
      </c>
      <c r="P90" t="n">
        <v>1.0</v>
      </c>
      <c r="Q90" t="inlineStr">
        <is>
          <t>0.05263157894736842</t>
        </is>
      </c>
      <c r="R90" t="n">
        <v>0.0625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3.0</v>
      </c>
      <c r="Z90" t="n">
        <v>1.0</v>
      </c>
      <c r="AA90" t="n">
        <v>0.0</v>
      </c>
      <c r="AB90" t="n">
        <v>0.0</v>
      </c>
      <c r="AC90" t="n">
        <v>0.0</v>
      </c>
      <c r="AD90" t="n">
        <v>134.0</v>
      </c>
      <c r="AE90" t="n">
        <v>1.0</v>
      </c>
      <c r="AF90" t="n">
        <v>1.0</v>
      </c>
      <c r="AG90" t="n">
        <v>0.0</v>
      </c>
      <c r="AH90" t="n">
        <v>1.0</v>
      </c>
      <c r="AI90" t="n">
        <v>1.0</v>
      </c>
      <c r="AJ90" t="n">
        <v>0.0</v>
      </c>
      <c r="AK90" t="n">
        <v>10.67910447761194</v>
      </c>
      <c r="AL90" t="inlineStr">
        <is>
          <t/>
        </is>
      </c>
    </row>
    <row r="91">
      <c r="A91" t="inlineStr">
        <is>
          <t>第一次直观感受到69块的威力</t>
        </is>
      </c>
      <c r="B91" t="inlineStr">
        <is>
          <t>69b502ed00000000220262e6</t>
        </is>
      </c>
      <c r="C91" s="90" t="n">
        <f>HYPERLINK("https://www.xiaohongshu.com/explore/69b502ed00000000220262e6?xsec_token=TBYgTJ9EzKmyKny4Vfc-tHE2mSMp89o7u8rbprTJLD-IY=&amp;xsec_source=pc_trdark","https://www.xiaohongshu.com/explore/69b502ed00000000220262e6?xsec_token=TBYgTJ9EzKmyKny4Vfc-tHE2mSMp89o7u8rbprTJLD-IY=&amp;xsec_source=pc_trdark")</f>
        <v>0.0</v>
      </c>
      <c r="D91" t="inlineStr">
        <is>
          <t>婉婉上班吃什么</t>
        </is>
      </c>
      <c r="E91" t="inlineStr">
        <is>
          <t>11434449706</t>
        </is>
      </c>
      <c r="F91" t="inlineStr">
        <is>
          <t>2026-03-14 14:40:45</t>
        </is>
      </c>
      <c r="G91" t="inlineStr">
        <is>
          <t>图文</t>
        </is>
      </c>
      <c r="H91" t="inlineStr">
        <is>
          <t>手剥虾仁 无冰衣无添加 低脂餐一人食 上班带饭 顺丰包邮 5盒装</t>
        </is>
      </c>
      <c r="I91" t="inlineStr">
        <is>
          <t>694baba01d450d00013662f0</t>
        </is>
      </c>
      <c r="J91" t="inlineStr">
        <is>
          <t/>
        </is>
      </c>
      <c r="K91" t="n">
        <v>207.0</v>
      </c>
      <c r="L91" t="n">
        <v>3.0</v>
      </c>
      <c r="M91" t="n">
        <v>34.0</v>
      </c>
      <c r="N91" t="n">
        <v>0.2556390977443609</v>
      </c>
      <c r="O91" t="n">
        <v>31.0</v>
      </c>
      <c r="P91" t="n">
        <v>3.0</v>
      </c>
      <c r="Q91" t="inlineStr">
        <is>
          <t>0.08823529411764706</t>
        </is>
      </c>
      <c r="R91" t="n">
        <v>0.0967741935483871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7.0</v>
      </c>
      <c r="Z91" t="n">
        <v>4.0</v>
      </c>
      <c r="AA91" t="n">
        <v>0.0</v>
      </c>
      <c r="AB91" t="n">
        <v>0.0</v>
      </c>
      <c r="AC91" t="n">
        <v>0.0</v>
      </c>
      <c r="AD91" t="n">
        <v>133.0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12.654135338345865</v>
      </c>
      <c r="AL91" t="inlineStr">
        <is>
          <t/>
        </is>
      </c>
    </row>
    <row r="92">
      <c r="A92" t="inlineStr">
        <is>
          <t>宝子们听劝！自律期吃虾仁，低热量还巨顶饱…</t>
        </is>
      </c>
      <c r="B92" t="inlineStr">
        <is>
          <t>69b4d1d7000000002202ad8d</t>
        </is>
      </c>
      <c r="C92" s="91" t="n">
        <f>HYPERLINK("https://www.xiaohongshu.com/explore/69b4d1d7000000002202ad8d?xsec_token=TB4dy4zP2Sasn_cYXEm_KMI-KaUM7TuBmIgyWSAEH_0YU=&amp;xsec_source=pc_trdark","https://www.xiaohongshu.com/explore/69b4d1d7000000002202ad8d?xsec_token=TB4dy4zP2Sasn_cYXEm_KMI-KaUM7TuBmIgyWSAEH_0YU=&amp;xsec_source=pc_trdark")</f>
        <v>0.0</v>
      </c>
      <c r="D92" t="inlineStr">
        <is>
          <t>婉婉上班吃什么</t>
        </is>
      </c>
      <c r="E92" t="inlineStr">
        <is>
          <t>11434449706</t>
        </is>
      </c>
      <c r="F92" t="inlineStr">
        <is>
          <t>2026-03-14 11:11:19</t>
        </is>
      </c>
      <c r="G92" t="inlineStr">
        <is>
          <t>图文</t>
        </is>
      </c>
      <c r="H92" t="inlineStr">
        <is>
          <t>手剥虾仁 无冰衣无添加 低脂餐一人食 上班带饭 顺丰包邮 5盒装</t>
        </is>
      </c>
      <c r="I92" t="inlineStr">
        <is>
          <t>694baba01d450d00013662f0</t>
        </is>
      </c>
      <c r="J92" t="inlineStr">
        <is>
          <t/>
        </is>
      </c>
      <c r="K92" t="n">
        <v>0.0</v>
      </c>
      <c r="L92" t="n">
        <v>0.0</v>
      </c>
      <c r="M92" t="n">
        <v>26.0</v>
      </c>
      <c r="N92" t="inlineStr">
        <is>
          <t>0.19548872180451127</t>
        </is>
      </c>
      <c r="O92" t="n">
        <v>21.0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inlineStr">
        <is>
          <t/>
        </is>
      </c>
      <c r="X92" t="n">
        <v>0.0</v>
      </c>
      <c r="Y92" t="n">
        <v>5.0</v>
      </c>
      <c r="Z92" t="n">
        <v>3.0</v>
      </c>
      <c r="AA92" t="n">
        <v>0.0</v>
      </c>
      <c r="AB92" t="n">
        <v>0.0</v>
      </c>
      <c r="AC92" t="n">
        <v>0.0</v>
      </c>
      <c r="AD92" t="n">
        <v>133.0</v>
      </c>
      <c r="AE92" t="n">
        <v>1.0</v>
      </c>
      <c r="AF92" t="n">
        <v>0.0</v>
      </c>
      <c r="AG92" t="n">
        <v>0.0</v>
      </c>
      <c r="AH92" t="n">
        <v>2.0</v>
      </c>
      <c r="AI92" t="n">
        <v>0.0</v>
      </c>
      <c r="AJ92" t="n">
        <v>0.0</v>
      </c>
      <c r="AK92" t="n">
        <v>9.270676691729323</v>
      </c>
      <c r="AL92" t="inlineStr">
        <is>
          <t/>
        </is>
      </c>
    </row>
    <row r="93">
      <c r="A93" t="inlineStr">
        <is>
          <t>现在的人严重低估了60来块的购买力</t>
        </is>
      </c>
      <c r="B93" t="inlineStr">
        <is>
          <t>69be4e15000000002800aa80</t>
        </is>
      </c>
      <c r="C93" s="92" t="n">
        <f>HYPERLINK("https://www.xiaohongshu.com/explore/69be4e15000000002800aa80?xsec_token=TBEV1jCaY14J6usHdX26xRKCo50U8oEibng1Ke-zYKGLU=&amp;xsec_source=pc_trdark","https://www.xiaohongshu.com/explore/69be4e15000000002800aa80?xsec_token=TBEV1jCaY14J6usHdX26xRKCo50U8oEibng1Ke-zYKGLU=&amp;xsec_source=pc_trdark")</f>
        <v>0.0</v>
      </c>
      <c r="D93" t="inlineStr">
        <is>
          <t>菲菲上班吃什么</t>
        </is>
      </c>
      <c r="E93" t="inlineStr">
        <is>
          <t>49936530607</t>
        </is>
      </c>
      <c r="F93" t="inlineStr">
        <is>
          <t>2026-03-21 15:51:49</t>
        </is>
      </c>
      <c r="G93" t="inlineStr">
        <is>
          <t>图文</t>
        </is>
      </c>
      <c r="H93" t="inlineStr">
        <is>
          <t>大虾基围虾王牌大虾厄瓜多尔白虾盐冻虾仁海洋大虾送礼顺丰包邮</t>
        </is>
      </c>
      <c r="I93" t="inlineStr">
        <is>
          <t>690aeb7be379430001e686ac</t>
        </is>
      </c>
      <c r="J93" t="inlineStr">
        <is>
          <t/>
        </is>
      </c>
      <c r="K93" t="n">
        <v>79.0</v>
      </c>
      <c r="L93" t="n">
        <v>1.0</v>
      </c>
      <c r="M93" t="n">
        <v>36.0</v>
      </c>
      <c r="N93" t="n">
        <v>0.2727272727272727</v>
      </c>
      <c r="O93" t="n">
        <v>32.0</v>
      </c>
      <c r="P93" t="n">
        <v>1.0</v>
      </c>
      <c r="Q93" t="inlineStr">
        <is>
          <t>0.027777777777777776</t>
        </is>
      </c>
      <c r="R93" t="n">
        <v>0.03125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4.0</v>
      </c>
      <c r="Z93" t="n">
        <v>2.0</v>
      </c>
      <c r="AA93" t="n">
        <v>0.0</v>
      </c>
      <c r="AB93" t="n">
        <v>0.0</v>
      </c>
      <c r="AC93" t="n">
        <v>0.0</v>
      </c>
      <c r="AD93" t="n">
        <v>132.0</v>
      </c>
      <c r="AE93" t="n">
        <v>4.0</v>
      </c>
      <c r="AF93" t="n">
        <v>0.0</v>
      </c>
      <c r="AG93" t="n">
        <v>0.0</v>
      </c>
      <c r="AH93" t="n">
        <v>1.0</v>
      </c>
      <c r="AI93" t="n">
        <v>0.0</v>
      </c>
      <c r="AJ93" t="n">
        <v>0.0</v>
      </c>
      <c r="AK93" t="n">
        <v>10.742424242424242</v>
      </c>
      <c r="AL93" t="inlineStr">
        <is>
          <t/>
        </is>
      </c>
    </row>
    <row r="94">
      <c r="A94" t="inlineStr">
        <is>
          <t>身材管理期虾仁和牛肉怎么选？我全要有的～</t>
        </is>
      </c>
      <c r="B94" t="inlineStr">
        <is>
          <t>69bd6b52000000001f0015a2</t>
        </is>
      </c>
      <c r="C94" s="93" t="n">
        <f>HYPERLINK("https://www.xiaohongshu.com/explore/69bd6b52000000001f0015a2?xsec_token=TBRwbx0S6Y78qN5wWC1_PyBJ9jgyQRpLMHTKQvs-0CR0A=&amp;xsec_source=pc_trdark","https://www.xiaohongshu.com/explore/69bd6b52000000001f0015a2?xsec_token=TBRwbx0S6Y78qN5wWC1_PyBJ9jgyQRpLMHTKQvs-0CR0A=&amp;xsec_source=pc_trdark")</f>
        <v>0.0</v>
      </c>
      <c r="D94" t="inlineStr">
        <is>
          <t>菲菲上班吃什么</t>
        </is>
      </c>
      <c r="E94" t="inlineStr">
        <is>
          <t>49936530607</t>
        </is>
      </c>
      <c r="F94" t="inlineStr">
        <is>
          <t>2026-03-20 23:44:18</t>
        </is>
      </c>
      <c r="G94" t="inlineStr">
        <is>
          <t>图文</t>
        </is>
      </c>
      <c r="H94" t="inlineStr">
        <is>
          <t>手剥虾仁 无冰衣无添加 低脂餐一人食 上班带饭 顺丰包邮 5盒装</t>
        </is>
      </c>
      <c r="I94" t="inlineStr">
        <is>
          <t>694baba01d450d00013662f0</t>
        </is>
      </c>
      <c r="J94" t="inlineStr">
        <is>
          <t/>
        </is>
      </c>
      <c r="K94" t="n">
        <v>69.0</v>
      </c>
      <c r="L94" t="n">
        <v>1.0</v>
      </c>
      <c r="M94" t="n">
        <v>15.0</v>
      </c>
      <c r="N94" t="inlineStr">
        <is>
          <t>0.11363636363636363</t>
        </is>
      </c>
      <c r="O94" t="n">
        <v>14.0</v>
      </c>
      <c r="P94" t="n">
        <v>1.0</v>
      </c>
      <c r="Q94" t="inlineStr">
        <is>
          <t>0.06666666666666667</t>
        </is>
      </c>
      <c r="R94" t="inlineStr">
        <is>
          <t>0.07142857142857142</t>
        </is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2.0</v>
      </c>
      <c r="Z94" t="n">
        <v>1.0</v>
      </c>
      <c r="AA94" t="n">
        <v>0.0</v>
      </c>
      <c r="AB94" t="n">
        <v>0.0</v>
      </c>
      <c r="AC94" t="n">
        <v>0.0</v>
      </c>
      <c r="AD94" t="n">
        <v>132.0</v>
      </c>
      <c r="AE94" t="n">
        <v>2.0</v>
      </c>
      <c r="AF94" t="n">
        <v>0.0</v>
      </c>
      <c r="AG94" t="n">
        <v>1.0</v>
      </c>
      <c r="AH94" t="n">
        <v>0.0</v>
      </c>
      <c r="AI94" t="n">
        <v>0.0</v>
      </c>
      <c r="AJ94" t="n">
        <v>0.0</v>
      </c>
      <c r="AK94" t="n">
        <v>12.159090909090908</v>
      </c>
      <c r="AL94" t="inlineStr">
        <is>
          <t/>
        </is>
      </c>
    </row>
    <row r="95">
      <c r="A95" t="inlineStr">
        <is>
          <t>奉劝大家不要低估了100来块的购买力…</t>
        </is>
      </c>
      <c r="B95" t="inlineStr">
        <is>
          <t>69ca4b650000000020038d5c</t>
        </is>
      </c>
      <c r="C95" s="94" t="n">
        <f>HYPERLINK("https://www.xiaohongshu.com/explore/69ca4b650000000020038d5c?xsec_token=TBZMwIQ43aS0K0DsaEHGlBqiOJChTYLifzA6OgCAxHaLg=&amp;xsec_source=pc_trdark","https://www.xiaohongshu.com/explore/69ca4b650000000020038d5c?xsec_token=TBZMwIQ43aS0K0DsaEHGlBqiOJChTYLifzA6OgCAxHaLg=&amp;xsec_source=pc_trdark")</f>
        <v>0.0</v>
      </c>
      <c r="D95" t="inlineStr">
        <is>
          <t>婉婉上班吃什么</t>
        </is>
      </c>
      <c r="E95" t="inlineStr">
        <is>
          <t>11434449706</t>
        </is>
      </c>
      <c r="F95" t="inlineStr">
        <is>
          <t>2026-03-30 18:07:33</t>
        </is>
      </c>
      <c r="G95" t="inlineStr">
        <is>
          <t>图文</t>
        </is>
      </c>
      <c r="H95" t="inlineStr">
        <is>
          <t>手剥虾仁 无冰衣无添加 低脂餐一人食 上班带饭 顺丰包邮 5盒装</t>
        </is>
      </c>
      <c r="I95" t="inlineStr">
        <is>
          <t>694baba01d450d00013662f0</t>
        </is>
      </c>
      <c r="J95" t="inlineStr">
        <is>
          <t/>
        </is>
      </c>
      <c r="K95" t="n">
        <v>128.0</v>
      </c>
      <c r="L95" t="n">
        <v>1.0</v>
      </c>
      <c r="M95" t="n">
        <v>18.0</v>
      </c>
      <c r="N95" t="inlineStr">
        <is>
          <t>0.13846153846153847</t>
        </is>
      </c>
      <c r="O95" t="n">
        <v>17.0</v>
      </c>
      <c r="P95" t="n">
        <v>1.0</v>
      </c>
      <c r="Q95" t="inlineStr">
        <is>
          <t>0.05555555555555555</t>
        </is>
      </c>
      <c r="R95" t="inlineStr">
        <is>
          <t>0.058823529411764705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3.0</v>
      </c>
      <c r="Z95" t="n">
        <v>4.0</v>
      </c>
      <c r="AA95" t="n">
        <v>0.0</v>
      </c>
      <c r="AB95" t="n">
        <v>0.0</v>
      </c>
      <c r="AC95" t="n">
        <v>0.0</v>
      </c>
      <c r="AD95" t="n">
        <v>130.0</v>
      </c>
      <c r="AE95" t="n">
        <v>2.0</v>
      </c>
      <c r="AF95" t="n">
        <v>0.0</v>
      </c>
      <c r="AG95" t="n">
        <v>0.0</v>
      </c>
      <c r="AH95" t="n">
        <v>2.0</v>
      </c>
      <c r="AI95" t="n">
        <v>0.0</v>
      </c>
      <c r="AJ95" t="n">
        <v>0.0</v>
      </c>
      <c r="AK95" t="n">
        <v>12.461538461538462</v>
      </c>
      <c r="AL95" t="inlineStr">
        <is>
          <t/>
        </is>
      </c>
    </row>
    <row r="96">
      <c r="A96" t="inlineStr">
        <is>
          <t>身材管理期的姐妹建议把鸡胸肉换成三文鱼</t>
        </is>
      </c>
      <c r="B96" t="inlineStr">
        <is>
          <t>69b15afb000000000b035170</t>
        </is>
      </c>
      <c r="C96" s="95" t="n">
        <f>HYPERLINK("https://www.xiaohongshu.com/explore/69b15afb000000000b035170?xsec_token=TBPThwaY7kqe53qUk5J0OyzrCXs0-q7XVg1OwEYpBC-q8=&amp;xsec_source=pc_trdark","https://www.xiaohongshu.com/explore/69b15afb000000000b035170?xsec_token=TBPThwaY7kqe53qUk5J0OyzrCXs0-q7XVg1OwEYpBC-q8=&amp;xsec_source=pc_trdark")</f>
        <v>0.0</v>
      </c>
      <c r="D96" t="inlineStr">
        <is>
          <t>婉婉上班吃什么</t>
        </is>
      </c>
      <c r="E96" t="inlineStr">
        <is>
          <t>11434449706</t>
        </is>
      </c>
      <c r="F96" t="inlineStr">
        <is>
          <t>2026-03-11 20:07:23</t>
        </is>
      </c>
      <c r="G96" t="inlineStr">
        <is>
          <t>图文</t>
        </is>
      </c>
      <c r="H96" t="inlineStr">
        <is>
          <t>智利三文鱼切块·整条三文鱼·深海鱼一人食健康饮食</t>
        </is>
      </c>
      <c r="I96" t="inlineStr">
        <is>
          <t>691ac562a524ee0001b51d7b</t>
        </is>
      </c>
      <c r="J96" t="inlineStr">
        <is>
          <t/>
        </is>
      </c>
      <c r="K96" t="n">
        <v>0.0</v>
      </c>
      <c r="L96" t="n">
        <v>0.0</v>
      </c>
      <c r="M96" t="n">
        <v>26.0</v>
      </c>
      <c r="N96" t="n">
        <v>0.2</v>
      </c>
      <c r="O96" t="n">
        <v>25.0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inlineStr">
        <is>
          <t/>
        </is>
      </c>
      <c r="X96" t="n">
        <v>0.0</v>
      </c>
      <c r="Y96" t="n">
        <v>7.0</v>
      </c>
      <c r="Z96" t="n">
        <v>3.0</v>
      </c>
      <c r="AA96" t="n">
        <v>0.0</v>
      </c>
      <c r="AB96" t="n">
        <v>0.0</v>
      </c>
      <c r="AC96" t="n">
        <v>0.0</v>
      </c>
      <c r="AD96" t="n">
        <v>130.0</v>
      </c>
      <c r="AE96" t="n">
        <v>4.0</v>
      </c>
      <c r="AF96" t="n">
        <v>0.0</v>
      </c>
      <c r="AG96" t="n">
        <v>0.0</v>
      </c>
      <c r="AH96" t="n">
        <v>1.0</v>
      </c>
      <c r="AI96" t="n">
        <v>0.0</v>
      </c>
      <c r="AJ96" t="n">
        <v>0.0</v>
      </c>
      <c r="AK96" t="n">
        <v>11.515384615384615</v>
      </c>
      <c r="AL96" t="inlineStr">
        <is>
          <t/>
        </is>
      </c>
    </row>
    <row r="97">
      <c r="A97" t="inlineStr">
        <is>
          <t>这盘三文鱼餐，承包了我一天的快乐和营养</t>
        </is>
      </c>
      <c r="B97" t="inlineStr">
        <is>
          <t>69ae8868000000002801cdbd</t>
        </is>
      </c>
      <c r="C97" s="96" t="n">
        <f>HYPERLINK("https://www.xiaohongshu.com/explore/69ae8868000000002801cdbd?xsec_token=TBy3i3TfmyKE7XGojG_cT9hZxfO_Yt35ktjtr-38ewnJE=&amp;xsec_source=pc_trdark","https://www.xiaohongshu.com/explore/69ae8868000000002801cdbd?xsec_token=TBy3i3TfmyKE7XGojG_cT9hZxfO_Yt35ktjtr-38ewnJE=&amp;xsec_source=pc_trdark")</f>
        <v>0.0</v>
      </c>
      <c r="D97" t="inlineStr">
        <is>
          <t>鲜水湾</t>
        </is>
      </c>
      <c r="E97" t="inlineStr">
        <is>
          <t>49316638994</t>
        </is>
      </c>
      <c r="F97" t="inlineStr">
        <is>
          <t>2026-03-09 16:44:24</t>
        </is>
      </c>
      <c r="G97" t="inlineStr">
        <is>
          <t>图文</t>
        </is>
      </c>
      <c r="H97" t="inlineStr">
        <is>
          <t>智利三文鱼切块·整条三文鱼·深海鱼一人食健康饮食</t>
        </is>
      </c>
      <c r="I97" t="inlineStr">
        <is>
          <t>691ac562a524ee0001b51d7b</t>
        </is>
      </c>
      <c r="J97" t="inlineStr">
        <is>
          <t/>
        </is>
      </c>
      <c r="K97" t="n">
        <v>0.0</v>
      </c>
      <c r="L97" t="n">
        <v>0.0</v>
      </c>
      <c r="M97" t="n">
        <v>13.0</v>
      </c>
      <c r="N97" t="inlineStr">
        <is>
          <t>0.10236220472440945</t>
        </is>
      </c>
      <c r="O97" t="n">
        <v>13.0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/>
        </is>
      </c>
      <c r="X97" t="n">
        <v>0.0</v>
      </c>
      <c r="Y97" t="n">
        <v>2.0</v>
      </c>
      <c r="Z97" t="n">
        <v>3.0</v>
      </c>
      <c r="AA97" t="n">
        <v>0.0</v>
      </c>
      <c r="AB97" t="n">
        <v>0.0</v>
      </c>
      <c r="AC97" t="n">
        <v>0.0</v>
      </c>
      <c r="AD97" t="n">
        <v>127.0</v>
      </c>
      <c r="AE97" t="n">
        <v>6.0</v>
      </c>
      <c r="AF97" t="n">
        <v>1.0</v>
      </c>
      <c r="AG97" t="n">
        <v>0.0</v>
      </c>
      <c r="AH97" t="n">
        <v>2.0</v>
      </c>
      <c r="AI97" t="n">
        <v>0.0</v>
      </c>
      <c r="AJ97" t="n">
        <v>0.0</v>
      </c>
      <c r="AK97" t="n">
        <v>13.645669291338583</v>
      </c>
      <c r="AL97" t="inlineStr">
        <is>
          <t/>
        </is>
      </c>
    </row>
    <row r="98">
      <c r="A98" t="inlineStr">
        <is>
          <t>天塌了，不到70💰能囤一周的减脂餐</t>
        </is>
      </c>
      <c r="B98" t="inlineStr">
        <is>
          <t>69a92dbc000000001a037ae8</t>
        </is>
      </c>
      <c r="C98" s="97" t="n">
        <f>HYPERLINK("https://www.xiaohongshu.com/explore/69a92dbc000000001a037ae8?xsec_token=TBX1UPru9xmrqAy_hfS76TmlpRB1n-T_g9ciWxv8tt878=&amp;xsec_source=pc_trdark","https://www.xiaohongshu.com/explore/69a92dbc000000001a037ae8?xsec_token=TBX1UPru9xmrqAy_hfS76TmlpRB1n-T_g9ciWxv8tt878=&amp;xsec_source=pc_trdark")</f>
        <v>0.0</v>
      </c>
      <c r="D98" t="inlineStr">
        <is>
          <t>鲜水湾</t>
        </is>
      </c>
      <c r="E98" t="inlineStr">
        <is>
          <t>49316638994</t>
        </is>
      </c>
      <c r="F98" t="inlineStr">
        <is>
          <t>2026-03-05 15:16:12</t>
        </is>
      </c>
      <c r="G98" t="inlineStr">
        <is>
          <t>图文</t>
        </is>
      </c>
      <c r="H98" t="inlineStr">
        <is>
          <t>大虾基围虾王牌大虾厄瓜多尔白虾盐冻虾仁海洋大虾送礼顺丰包邮</t>
        </is>
      </c>
      <c r="I98" t="inlineStr">
        <is>
          <t>690aeb7be379430001e686ac</t>
        </is>
      </c>
      <c r="J98" t="inlineStr">
        <is>
          <t/>
        </is>
      </c>
      <c r="K98" t="n">
        <v>67.0</v>
      </c>
      <c r="L98" t="n">
        <v>1.0</v>
      </c>
      <c r="M98" t="n">
        <v>28.0</v>
      </c>
      <c r="N98" t="n">
        <v>0.2222222222222222</v>
      </c>
      <c r="O98" t="n">
        <v>26.0</v>
      </c>
      <c r="P98" t="n">
        <v>1.0</v>
      </c>
      <c r="Q98" t="inlineStr">
        <is>
          <t>0.03571428571428571</t>
        </is>
      </c>
      <c r="R98" t="inlineStr">
        <is>
          <t>0.038461538461538464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2.0</v>
      </c>
      <c r="Z98" t="n">
        <v>0.0</v>
      </c>
      <c r="AA98" t="n">
        <v>0.0</v>
      </c>
      <c r="AB98" t="n">
        <v>0.0</v>
      </c>
      <c r="AC98" t="n">
        <v>0.0</v>
      </c>
      <c r="AD98" t="n">
        <v>126.0</v>
      </c>
      <c r="AE98" t="n">
        <v>1.0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9.5</v>
      </c>
      <c r="AL98" t="inlineStr">
        <is>
          <t/>
        </is>
      </c>
    </row>
    <row r="99">
      <c r="A99" t="inlineStr">
        <is>
          <t>快递半个月就停运了😭错过只能明年再吃了</t>
        </is>
      </c>
      <c r="B99" t="inlineStr">
        <is>
          <t>696d9286000000000a02ae67</t>
        </is>
      </c>
      <c r="C99" s="98" t="n">
        <f>HYPERLINK("https://www.xiaohongshu.com/explore/696d9286000000000a02ae67?xsec_token=TBhBdCGGh1NnVPomuS6-J4HwqZdNVzfvYi4-dz_chPrGM=&amp;xsec_source=pc_trdark","https://www.xiaohongshu.com/explore/696d9286000000000a02ae67?xsec_token=TBhBdCGGh1NnVPomuS6-J4HwqZdNVzfvYi4-dz_chPrGM=&amp;xsec_source=pc_trdark")</f>
        <v>0.0</v>
      </c>
      <c r="D99" t="inlineStr">
        <is>
          <t>鲜水湾甄选</t>
        </is>
      </c>
      <c r="E99" t="inlineStr">
        <is>
          <t>27401929161</t>
        </is>
      </c>
      <c r="F99" t="inlineStr">
        <is>
          <t>2026-01-19 12:10:00</t>
        </is>
      </c>
      <c r="G99" t="inlineStr">
        <is>
          <t>视频</t>
        </is>
      </c>
      <c r="H99" t="inlineStr">
        <is>
          <t>北极甜虾头籽甜虾元宝虾北极熊冰虾孕妈妈宝宝辅食顺丰</t>
        </is>
      </c>
      <c r="I99" t="inlineStr">
        <is>
          <t>6953717eb8f0bb000115158d</t>
        </is>
      </c>
      <c r="J99" t="n">
        <v>39.0</v>
      </c>
      <c r="K99" t="n">
        <v>0.0</v>
      </c>
      <c r="L99" t="n">
        <v>0.0</v>
      </c>
      <c r="M99" t="n">
        <v>2.0</v>
      </c>
      <c r="N99" t="inlineStr">
        <is>
          <t>0.015873015873015872</t>
        </is>
      </c>
      <c r="O99" t="n">
        <v>2.0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inlineStr">
        <is>
          <t/>
        </is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126.0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9.96031746031746</v>
      </c>
      <c r="AL99" t="inlineStr">
        <is>
          <t>0.08088235294117647</t>
        </is>
      </c>
    </row>
    <row r="100">
      <c r="A100" t="inlineStr">
        <is>
          <t>月薪3k也能实现三文鱼自由！减脂党闭眼冲</t>
        </is>
      </c>
      <c r="B100" t="inlineStr">
        <is>
          <t>69a8ec06000000002203217f</t>
        </is>
      </c>
      <c r="C100" s="99" t="n">
        <f>HYPERLINK("https://www.xiaohongshu.com/explore/69a8ec06000000002203217f?xsec_token=TBoPbpeIhQUL4QR6_LMsKnIUHSQSgX9HbTdBWveVp3JHw=&amp;xsec_source=pc_trdark","https://www.xiaohongshu.com/explore/69a8ec06000000002203217f?xsec_token=TBoPbpeIhQUL4QR6_LMsKnIUHSQSgX9HbTdBWveVp3JHw=&amp;xsec_source=pc_trdark")</f>
        <v>0.0</v>
      </c>
      <c r="D100" t="inlineStr">
        <is>
          <t>鲜水湾甄选</t>
        </is>
      </c>
      <c r="E100" t="inlineStr">
        <is>
          <t>27401929161</t>
        </is>
      </c>
      <c r="F100" t="inlineStr">
        <is>
          <t>2026-03-05 10:35:50</t>
        </is>
      </c>
      <c r="G100" t="inlineStr">
        <is>
          <t>图文</t>
        </is>
      </c>
      <c r="H100" t="inlineStr">
        <is>
          <t>智利三文鱼切块·整条三文鱼·深海鱼一人食健康饮食</t>
        </is>
      </c>
      <c r="I100" t="inlineStr">
        <is>
          <t>691ac562a524ee0001b51d7b</t>
        </is>
      </c>
      <c r="J100" t="inlineStr">
        <is>
          <t/>
        </is>
      </c>
      <c r="K100" t="n">
        <v>0.0</v>
      </c>
      <c r="L100" t="n">
        <v>0.0</v>
      </c>
      <c r="M100" t="n">
        <v>19.0</v>
      </c>
      <c r="N100" t="n">
        <v>0.152</v>
      </c>
      <c r="O100" t="n">
        <v>18.0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inlineStr">
        <is>
          <t/>
        </is>
      </c>
      <c r="X100" t="n">
        <v>0.0</v>
      </c>
      <c r="Y100" t="n">
        <v>5.0</v>
      </c>
      <c r="Z100" t="n">
        <v>3.0</v>
      </c>
      <c r="AA100" t="n">
        <v>0.0</v>
      </c>
      <c r="AB100" t="n">
        <v>0.0</v>
      </c>
      <c r="AC100" t="n">
        <v>0.0</v>
      </c>
      <c r="AD100" t="n">
        <v>125.0</v>
      </c>
      <c r="AE100" t="n">
        <v>1.0</v>
      </c>
      <c r="AF100" t="n">
        <v>1.0</v>
      </c>
      <c r="AG100" t="n">
        <v>0.0</v>
      </c>
      <c r="AH100" t="n">
        <v>2.0</v>
      </c>
      <c r="AI100" t="n">
        <v>0.0</v>
      </c>
      <c r="AJ100" t="n">
        <v>0.0</v>
      </c>
      <c r="AK100" t="n">
        <v>15.52</v>
      </c>
      <c r="AL100" t="inlineStr">
        <is>
          <t/>
        </is>
      </c>
    </row>
    <row r="101">
      <c r="A101" t="inlineStr">
        <is>
          <t>以为 69 没多少，结果解决了我一周上班带饭</t>
        </is>
      </c>
      <c r="B101" t="inlineStr">
        <is>
          <t>69cb9ed000000000230074e2</t>
        </is>
      </c>
      <c r="C101" s="100" t="n">
        <f>HYPERLINK("https://www.xiaohongshu.com/explore/69cb9ed000000000230074e2?xsec_token=TBNvk7eB588c7ey-qUUMF7OQgaVKUfny5-Ux8Z4SL_lhA=&amp;xsec_source=pc_trdark","https://www.xiaohongshu.com/explore/69cb9ed000000000230074e2?xsec_token=TBNvk7eB588c7ey-qUUMF7OQgaVKUfny5-Ux8Z4SL_lhA=&amp;xsec_source=pc_trdark")</f>
        <v>0.0</v>
      </c>
      <c r="D101" t="inlineStr">
        <is>
          <t>菲菲上班吃什么</t>
        </is>
      </c>
      <c r="E101" t="inlineStr">
        <is>
          <t>49936530607</t>
        </is>
      </c>
      <c r="F101" t="inlineStr">
        <is>
          <t>2026-03-31 18:15:44</t>
        </is>
      </c>
      <c r="G101" t="inlineStr">
        <is>
          <t>图文</t>
        </is>
      </c>
      <c r="H101" t="inlineStr">
        <is>
          <t>手剥虾仁 无冰衣无添加 低脂餐一人食 上班带饭 顺丰包邮 5盒装</t>
        </is>
      </c>
      <c r="I101" t="inlineStr">
        <is>
          <t>694baba01d450d00013662f0</t>
        </is>
      </c>
      <c r="J101" t="inlineStr">
        <is>
          <t/>
        </is>
      </c>
      <c r="K101" t="n">
        <v>207.0</v>
      </c>
      <c r="L101" t="n">
        <v>3.0</v>
      </c>
      <c r="M101" t="n">
        <v>21.0</v>
      </c>
      <c r="N101" t="n">
        <v>0.1693548387096774</v>
      </c>
      <c r="O101" t="n">
        <v>19.0</v>
      </c>
      <c r="P101" t="n">
        <v>3.0</v>
      </c>
      <c r="Q101" t="inlineStr">
        <is>
          <t>0.14285714285714285</t>
        </is>
      </c>
      <c r="R101" t="inlineStr">
        <is>
          <t>0.15789473684210525</t>
        </is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1.0</v>
      </c>
      <c r="Z101" t="n">
        <v>1.0</v>
      </c>
      <c r="AA101" t="n">
        <v>0.0</v>
      </c>
      <c r="AB101" t="n">
        <v>0.0</v>
      </c>
      <c r="AC101" t="n">
        <v>0.0</v>
      </c>
      <c r="AD101" t="n">
        <v>124.0</v>
      </c>
      <c r="AE101" t="n">
        <v>2.0</v>
      </c>
      <c r="AF101" t="n">
        <v>1.0</v>
      </c>
      <c r="AG101" t="n">
        <v>0.0</v>
      </c>
      <c r="AH101" t="n">
        <v>1.0</v>
      </c>
      <c r="AI101" t="n">
        <v>0.0</v>
      </c>
      <c r="AJ101" t="n">
        <v>0.0</v>
      </c>
      <c r="AK101" t="n">
        <v>17.991935483870968</v>
      </c>
      <c r="AL101" t="inlineStr">
        <is>
          <t/>
        </is>
      </c>
    </row>
    <row r="102">
      <c r="A102" t="inlineStr">
        <is>
          <t>感谢315🥹，让更多宝妈知道了咱家无添加虾仁</t>
        </is>
      </c>
      <c r="B102" t="inlineStr">
        <is>
          <t>69c396410000000023017924</t>
        </is>
      </c>
      <c r="C102" s="101" t="n">
        <f>HYPERLINK("https://www.xiaohongshu.com/explore/69c396410000000023017924?xsec_token=TBedSEQ7qtT06AlsylOAiUw6flfVHpUzyomzIzIbtRSWY=&amp;xsec_source=pc_trdark","https://www.xiaohongshu.com/explore/69c396410000000023017924?xsec_token=TBedSEQ7qtT06AlsylOAiUw6flfVHpUzyomzIzIbtRSWY=&amp;xsec_source=pc_trdark")</f>
        <v>0.0</v>
      </c>
      <c r="D102" t="inlineStr">
        <is>
          <t>鲜水湾</t>
        </is>
      </c>
      <c r="E102" t="inlineStr">
        <is>
          <t>49316638994</t>
        </is>
      </c>
      <c r="F102" t="inlineStr">
        <is>
          <t>2026-03-25 16:01:05</t>
        </is>
      </c>
      <c r="G102" t="inlineStr">
        <is>
          <t>图文</t>
        </is>
      </c>
      <c r="H102" t="inlineStr">
        <is>
          <t>手剥虾仁 无冰衣无添加 低脂餐一人食 上班带饭 顺丰包邮 5盒装</t>
        </is>
      </c>
      <c r="I102" t="inlineStr">
        <is>
          <t>694baba01d450d00013662f0</t>
        </is>
      </c>
      <c r="J102" t="inlineStr">
        <is>
          <t/>
        </is>
      </c>
      <c r="K102" t="n">
        <v>69.0</v>
      </c>
      <c r="L102" t="n">
        <v>1.0</v>
      </c>
      <c r="M102" t="n">
        <v>34.0</v>
      </c>
      <c r="N102" t="inlineStr">
        <is>
          <t>0.27419354838709675</t>
        </is>
      </c>
      <c r="O102" t="n">
        <v>33.0</v>
      </c>
      <c r="P102" t="n">
        <v>1.0</v>
      </c>
      <c r="Q102" t="inlineStr">
        <is>
          <t>0.029411764705882353</t>
        </is>
      </c>
      <c r="R102" t="inlineStr">
        <is>
          <t>0.030303030303030304</t>
        </is>
      </c>
      <c r="S102" t="n">
        <v>69.0</v>
      </c>
      <c r="T102" t="n">
        <v>1.0</v>
      </c>
      <c r="U102" t="n">
        <v>1.0</v>
      </c>
      <c r="V102" t="n">
        <v>69.0</v>
      </c>
      <c r="W102" t="n">
        <v>1.0</v>
      </c>
      <c r="X102" t="n">
        <v>1.0</v>
      </c>
      <c r="Y102" t="n">
        <v>7.0</v>
      </c>
      <c r="Z102" t="n">
        <v>8.0</v>
      </c>
      <c r="AA102" t="n">
        <v>0.0</v>
      </c>
      <c r="AB102" t="n">
        <v>0.0</v>
      </c>
      <c r="AC102" t="n">
        <v>0.0</v>
      </c>
      <c r="AD102" t="n">
        <v>124.0</v>
      </c>
      <c r="AE102" t="n">
        <v>2.0</v>
      </c>
      <c r="AF102" t="n">
        <v>0.0</v>
      </c>
      <c r="AG102" t="n">
        <v>0.0</v>
      </c>
      <c r="AH102" t="n">
        <v>2.0</v>
      </c>
      <c r="AI102" t="n">
        <v>0.0</v>
      </c>
      <c r="AJ102" t="n">
        <v>0.0</v>
      </c>
      <c r="AK102" t="n">
        <v>16.129032258064516</v>
      </c>
      <c r="AL102" t="inlineStr">
        <is>
          <t/>
        </is>
      </c>
    </row>
    <row r="103">
      <c r="A103" t="inlineStr">
        <is>
          <t>节后减脂无限回购，鲜水湾家的大虾</t>
        </is>
      </c>
      <c r="B103" t="inlineStr">
        <is>
          <t>69ae5965000000002801d96e</t>
        </is>
      </c>
      <c r="C103" s="102" t="n">
        <f>HYPERLINK("https://www.xiaohongshu.com/explore/69ae5965000000002801d96e?xsec_token=TBy3i3TfmyKE7XGojG_cT9hR9rsEXHVm9w5Ql6KJZHpQc=&amp;xsec_source=pc_trdark","https://www.xiaohongshu.com/explore/69ae5965000000002801d96e?xsec_token=TBy3i3TfmyKE7XGojG_cT9hR9rsEXHVm9w5Ql6KJZHpQc=&amp;xsec_source=pc_trdark")</f>
        <v>0.0</v>
      </c>
      <c r="D103" t="inlineStr">
        <is>
          <t>鲜水湾</t>
        </is>
      </c>
      <c r="E103" t="inlineStr">
        <is>
          <t>49316638994</t>
        </is>
      </c>
      <c r="F103" t="inlineStr">
        <is>
          <t>2026-03-09 13:23:49</t>
        </is>
      </c>
      <c r="G103" t="inlineStr">
        <is>
          <t>图文</t>
        </is>
      </c>
      <c r="H103" t="inlineStr">
        <is>
          <t>大虾基围虾王牌大虾厄瓜多尔白虾盐冻虾仁海洋大虾送礼顺丰包邮</t>
        </is>
      </c>
      <c r="I103" t="inlineStr">
        <is>
          <t>690aeb7be379430001e686ac</t>
        </is>
      </c>
      <c r="J103" t="inlineStr">
        <is>
          <t/>
        </is>
      </c>
      <c r="K103" t="n">
        <v>0.0</v>
      </c>
      <c r="L103" t="n">
        <v>0.0</v>
      </c>
      <c r="M103" t="n">
        <v>28.0</v>
      </c>
      <c r="N103" t="inlineStr">
        <is>
          <t>0.22580645161290322</t>
        </is>
      </c>
      <c r="O103" t="n">
        <v>25.0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inlineStr">
        <is>
          <t/>
        </is>
      </c>
      <c r="X103" t="n">
        <v>0.0</v>
      </c>
      <c r="Y103" t="n">
        <v>5.0</v>
      </c>
      <c r="Z103" t="n">
        <v>4.0</v>
      </c>
      <c r="AA103" t="n">
        <v>0.0</v>
      </c>
      <c r="AB103" t="n">
        <v>0.0</v>
      </c>
      <c r="AC103" t="n">
        <v>0.0</v>
      </c>
      <c r="AD103" t="n">
        <v>124.0</v>
      </c>
      <c r="AE103" t="n">
        <v>4.0</v>
      </c>
      <c r="AF103" t="n">
        <v>0.0</v>
      </c>
      <c r="AG103" t="n">
        <v>0.0</v>
      </c>
      <c r="AH103" t="n">
        <v>2.0</v>
      </c>
      <c r="AI103" t="n">
        <v>0.0</v>
      </c>
      <c r="AJ103" t="n">
        <v>0.0</v>
      </c>
      <c r="AK103" t="n">
        <v>10.733870967741936</v>
      </c>
      <c r="AL103" t="inlineStr">
        <is>
          <t/>
        </is>
      </c>
    </row>
    <row r="104">
      <c r="A104" t="inlineStr">
        <is>
          <t>不啰嗦了，60来块一大盒</t>
        </is>
      </c>
      <c r="B104" t="inlineStr">
        <is>
          <t>69a940ca000000001a031ed2</t>
        </is>
      </c>
      <c r="C104" s="103" t="n">
        <f>HYPERLINK("https://www.xiaohongshu.com/explore/69a940ca000000001a031ed2?xsec_token=TBX1UPru9xmrqAy_hfS76Tmu1a6mu6QY0alJQS8yVmtpI=&amp;xsec_source=pc_trdark","https://www.xiaohongshu.com/explore/69a940ca000000001a031ed2?xsec_token=TBX1UPru9xmrqAy_hfS76Tmu1a6mu6QY0alJQS8yVmtpI=&amp;xsec_source=pc_trdark")</f>
        <v>0.0</v>
      </c>
      <c r="D104" t="inlineStr">
        <is>
          <t>鲜水湾</t>
        </is>
      </c>
      <c r="E104" t="inlineStr">
        <is>
          <t>49316638994</t>
        </is>
      </c>
      <c r="F104" t="inlineStr">
        <is>
          <t>2026-03-05 16:37:30</t>
        </is>
      </c>
      <c r="G104" t="inlineStr">
        <is>
          <t>图文</t>
        </is>
      </c>
      <c r="H104" t="inlineStr">
        <is>
          <t>大虾基围虾王牌大虾厄瓜多尔白虾盐冻虾仁海洋大虾送礼顺丰包邮</t>
        </is>
      </c>
      <c r="I104" t="inlineStr">
        <is>
          <t>690aeb7be379430001e686ac</t>
        </is>
      </c>
      <c r="J104" t="inlineStr">
        <is>
          <t/>
        </is>
      </c>
      <c r="K104" t="n">
        <v>77.0</v>
      </c>
      <c r="L104" t="n">
        <v>1.0</v>
      </c>
      <c r="M104" t="n">
        <v>48.0</v>
      </c>
      <c r="N104" t="n">
        <v>0.3870967741935484</v>
      </c>
      <c r="O104" t="n">
        <v>40.0</v>
      </c>
      <c r="P104" t="n">
        <v>1.0</v>
      </c>
      <c r="Q104" t="inlineStr">
        <is>
          <t>0.020833333333333332</t>
        </is>
      </c>
      <c r="R104" t="n">
        <v>0.025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2.0</v>
      </c>
      <c r="Z104" t="n">
        <v>14.0</v>
      </c>
      <c r="AA104" t="n">
        <v>0.0</v>
      </c>
      <c r="AB104" t="n">
        <v>0.0</v>
      </c>
      <c r="AC104" t="n">
        <v>0.0</v>
      </c>
      <c r="AD104" t="n">
        <v>124.0</v>
      </c>
      <c r="AE104" t="n">
        <v>3.0</v>
      </c>
      <c r="AF104" t="n">
        <v>2.0</v>
      </c>
      <c r="AG104" t="n">
        <v>3.0</v>
      </c>
      <c r="AH104" t="n">
        <v>0.0</v>
      </c>
      <c r="AI104" t="n">
        <v>0.0</v>
      </c>
      <c r="AJ104" t="n">
        <v>0.0</v>
      </c>
      <c r="AK104" t="n">
        <v>14.57258064516129</v>
      </c>
      <c r="AL104" t="inlineStr">
        <is>
          <t/>
        </is>
      </c>
    </row>
    <row r="105">
      <c r="A105" t="inlineStr">
        <is>
          <t>上班带饭的尽头是…极简</t>
        </is>
      </c>
      <c r="B105" t="inlineStr">
        <is>
          <t>69c0d03a000000001f001f27</t>
        </is>
      </c>
      <c r="C105" s="104" t="n">
        <f>HYPERLINK("https://www.xiaohongshu.com/explore/69c0d03a000000001f001f27?xsec_token=TBlSRAgxB_sBYkF02kEEKO56skowvUCWBbvPNdCCCV_SI=&amp;xsec_source=pc_trdark","https://www.xiaohongshu.com/explore/69c0d03a000000001f001f27?xsec_token=TBlSRAgxB_sBYkF02kEEKO56skowvUCWBbvPNdCCCV_SI=&amp;xsec_source=pc_trdark")</f>
        <v>0.0</v>
      </c>
      <c r="D105" t="inlineStr">
        <is>
          <t>菲菲上班吃什么</t>
        </is>
      </c>
      <c r="E105" t="inlineStr">
        <is>
          <t>49936530607</t>
        </is>
      </c>
      <c r="F105" t="inlineStr">
        <is>
          <t>2026-03-23 13:31:38</t>
        </is>
      </c>
      <c r="G105" t="inlineStr">
        <is>
          <t>图文</t>
        </is>
      </c>
      <c r="H105" t="inlineStr">
        <is>
          <t>手剥虾仁 无冰衣无添加 低脂餐一人食 上班带饭 顺丰包邮 5盒装</t>
        </is>
      </c>
      <c r="I105" t="inlineStr">
        <is>
          <t>694baba01d450d00013662f0</t>
        </is>
      </c>
      <c r="J105" t="inlineStr">
        <is>
          <t/>
        </is>
      </c>
      <c r="K105" t="n">
        <v>69.0</v>
      </c>
      <c r="L105" t="n">
        <v>1.0</v>
      </c>
      <c r="M105" t="n">
        <v>11.0</v>
      </c>
      <c r="N105" t="inlineStr">
        <is>
          <t>0.08943089430894309</t>
        </is>
      </c>
      <c r="O105" t="n">
        <v>10.0</v>
      </c>
      <c r="P105" t="n">
        <v>1.0</v>
      </c>
      <c r="Q105" t="inlineStr">
        <is>
          <t>0.09090909090909091</t>
        </is>
      </c>
      <c r="R105" t="n">
        <v>0.1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3.0</v>
      </c>
      <c r="Z105" t="n">
        <v>5.0</v>
      </c>
      <c r="AA105" t="n">
        <v>0.0</v>
      </c>
      <c r="AB105" t="n">
        <v>0.0</v>
      </c>
      <c r="AC105" t="n">
        <v>0.0</v>
      </c>
      <c r="AD105" t="n">
        <v>123.0</v>
      </c>
      <c r="AE105" t="n">
        <v>1.0</v>
      </c>
      <c r="AF105" t="n">
        <v>0.0</v>
      </c>
      <c r="AG105" t="n">
        <v>0.0</v>
      </c>
      <c r="AH105" t="n">
        <v>2.0</v>
      </c>
      <c r="AI105" t="n">
        <v>0.0</v>
      </c>
      <c r="AJ105" t="n">
        <v>0.0</v>
      </c>
      <c r="AK105" t="n">
        <v>14.861788617886178</v>
      </c>
      <c r="AL105" t="inlineStr">
        <is>
          <t/>
        </is>
      </c>
    </row>
    <row r="106">
      <c r="A106" t="inlineStr">
        <is>
          <t>爸妈对于我每天吃一片三文鱼表示很奢侈</t>
        </is>
      </c>
      <c r="B106" t="inlineStr">
        <is>
          <t>69b4313d000000002003bfd0</t>
        </is>
      </c>
      <c r="C106" s="105" t="n">
        <f>HYPERLINK("https://www.xiaohongshu.com/explore/69b4313d000000002003bfd0?xsec_token=TB4dy4zP2Sasn_cYXEm_KMI1W3sgF6vDokja11Nc4WvIc=&amp;xsec_source=pc_trdark","https://www.xiaohongshu.com/explore/69b4313d000000002003bfd0?xsec_token=TB4dy4zP2Sasn_cYXEm_KMI1W3sgF6vDokja11Nc4WvIc=&amp;xsec_source=pc_trdark")</f>
        <v>0.0</v>
      </c>
      <c r="D106" t="inlineStr">
        <is>
          <t>婉婉上班吃什么</t>
        </is>
      </c>
      <c r="E106" t="inlineStr">
        <is>
          <t>11434449706</t>
        </is>
      </c>
      <c r="F106" t="inlineStr">
        <is>
          <t>2026-03-13 23:46:05</t>
        </is>
      </c>
      <c r="G106" t="inlineStr">
        <is>
          <t>图文</t>
        </is>
      </c>
      <c r="H106" t="inlineStr">
        <is>
          <t>智利三文鱼切块·整条三文鱼·深海鱼一人食健康饮食</t>
        </is>
      </c>
      <c r="I106" t="inlineStr">
        <is>
          <t>691ac562a524ee0001b51d7b</t>
        </is>
      </c>
      <c r="J106" t="inlineStr">
        <is>
          <t/>
        </is>
      </c>
      <c r="K106" t="n">
        <v>0.0</v>
      </c>
      <c r="L106" t="n">
        <v>0.0</v>
      </c>
      <c r="M106" t="n">
        <v>27.0</v>
      </c>
      <c r="N106" t="inlineStr">
        <is>
          <t>0.21951219512195122</t>
        </is>
      </c>
      <c r="O106" t="n">
        <v>23.0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inlineStr">
        <is>
          <t/>
        </is>
      </c>
      <c r="X106" t="n">
        <v>0.0</v>
      </c>
      <c r="Y106" t="n">
        <v>5.0</v>
      </c>
      <c r="Z106" t="n">
        <v>6.0</v>
      </c>
      <c r="AA106" t="n">
        <v>0.0</v>
      </c>
      <c r="AB106" t="n">
        <v>0.0</v>
      </c>
      <c r="AC106" t="n">
        <v>0.0</v>
      </c>
      <c r="AD106" t="n">
        <v>123.0</v>
      </c>
      <c r="AE106" t="n">
        <v>2.0</v>
      </c>
      <c r="AF106" t="n">
        <v>0.0</v>
      </c>
      <c r="AG106" t="n">
        <v>0.0</v>
      </c>
      <c r="AH106" t="n">
        <v>2.0</v>
      </c>
      <c r="AI106" t="n">
        <v>0.0</v>
      </c>
      <c r="AJ106" t="n">
        <v>0.0</v>
      </c>
      <c r="AK106" t="n">
        <v>14.308943089430894</v>
      </c>
      <c r="AL106" t="inlineStr">
        <is>
          <t/>
        </is>
      </c>
    </row>
    <row r="107">
      <c r="A107" t="inlineStr">
        <is>
          <t>姐妹们别乱买了！69元搞定一周轻食餐</t>
        </is>
      </c>
      <c r="B107" t="inlineStr">
        <is>
          <t>69ba54d2000000001e00fadd</t>
        </is>
      </c>
      <c r="C107" s="106" t="n">
        <f>HYPERLINK("https://www.xiaohongshu.com/explore/69ba54d2000000001e00fadd?xsec_token=TBgJVNruMKjnZKfHBYiZtZCRhIFVSuBP68jlu-FJ4WHG8=&amp;xsec_source=pc_trdark","https://www.xiaohongshu.com/explore/69ba54d2000000001e00fadd?xsec_token=TBgJVNruMKjnZKfHBYiZtZCRhIFVSuBP68jlu-FJ4WHG8=&amp;xsec_source=pc_trdark")</f>
        <v>0.0</v>
      </c>
      <c r="D107" t="inlineStr">
        <is>
          <t>婉婉上班吃什么</t>
        </is>
      </c>
      <c r="E107" t="inlineStr">
        <is>
          <t>11434449706</t>
        </is>
      </c>
      <c r="F107" t="inlineStr">
        <is>
          <t>2026-03-18 15:31:30</t>
        </is>
      </c>
      <c r="G107" t="inlineStr">
        <is>
          <t>图文</t>
        </is>
      </c>
      <c r="H107" t="inlineStr">
        <is>
          <t>手剥虾仁 无冰衣无添加 低脂餐一人食 上班带饭 顺丰包邮 5盒装</t>
        </is>
      </c>
      <c r="I107" t="inlineStr">
        <is>
          <t>694baba01d450d00013662f0</t>
        </is>
      </c>
      <c r="J107" t="inlineStr">
        <is>
          <t/>
        </is>
      </c>
      <c r="K107" t="n">
        <v>69.0</v>
      </c>
      <c r="L107" t="n">
        <v>1.0</v>
      </c>
      <c r="M107" t="n">
        <v>13.0</v>
      </c>
      <c r="N107" t="inlineStr">
        <is>
          <t>0.10655737704918032</t>
        </is>
      </c>
      <c r="O107" t="n">
        <v>11.0</v>
      </c>
      <c r="P107" t="n">
        <v>1.0</v>
      </c>
      <c r="Q107" t="inlineStr">
        <is>
          <t>0.07692307692307693</t>
        </is>
      </c>
      <c r="R107" t="inlineStr">
        <is>
          <t>0.09090909090909091</t>
        </is>
      </c>
      <c r="S107" t="n">
        <v>69.0</v>
      </c>
      <c r="T107" t="n">
        <v>1.0</v>
      </c>
      <c r="U107" t="n">
        <v>1.0</v>
      </c>
      <c r="V107" t="n">
        <v>69.0</v>
      </c>
      <c r="W107" t="n">
        <v>1.0</v>
      </c>
      <c r="X107" t="n">
        <v>1.0</v>
      </c>
      <c r="Y107" t="n">
        <v>2.0</v>
      </c>
      <c r="Z107" t="n">
        <v>1.0</v>
      </c>
      <c r="AA107" t="n">
        <v>0.0</v>
      </c>
      <c r="AB107" t="n">
        <v>0.0</v>
      </c>
      <c r="AC107" t="n">
        <v>0.0</v>
      </c>
      <c r="AD107" t="n">
        <v>122.0</v>
      </c>
      <c r="AE107" t="n">
        <v>2.0</v>
      </c>
      <c r="AF107" t="n">
        <v>0.0</v>
      </c>
      <c r="AG107" t="n">
        <v>0.0</v>
      </c>
      <c r="AH107" t="n">
        <v>1.0</v>
      </c>
      <c r="AI107" t="n">
        <v>0.0</v>
      </c>
      <c r="AJ107" t="n">
        <v>0.0</v>
      </c>
      <c r="AK107" t="n">
        <v>12.057377049180328</v>
      </c>
      <c r="AL107" t="inlineStr">
        <is>
          <t/>
        </is>
      </c>
    </row>
    <row r="108">
      <c r="A108" t="inlineStr">
        <is>
          <t>以为69没多少，结果够我吃一周控体餐了🥹</t>
        </is>
      </c>
      <c r="B108" t="inlineStr">
        <is>
          <t>69c136150000000023014524</t>
        </is>
      </c>
      <c r="C108" s="107" t="n">
        <f>HYPERLINK("https://www.xiaohongshu.com/explore/69c136150000000023014524?xsec_token=TBltfkQyXS0u_Ko7SgIzuBYhZpBDkUoNmGlgixHyIAFE0=&amp;xsec_source=pc_trdark","https://www.xiaohongshu.com/explore/69c136150000000023014524?xsec_token=TBltfkQyXS0u_Ko7SgIzuBYhZpBDkUoNmGlgixHyIAFE0=&amp;xsec_source=pc_trdark")</f>
        <v>0.0</v>
      </c>
      <c r="D108" t="inlineStr">
        <is>
          <t>鲜水湾</t>
        </is>
      </c>
      <c r="E108" t="inlineStr">
        <is>
          <t>49316638994</t>
        </is>
      </c>
      <c r="F108" t="inlineStr">
        <is>
          <t>2026-03-23 20:46:13</t>
        </is>
      </c>
      <c r="G108" t="inlineStr">
        <is>
          <t>图文</t>
        </is>
      </c>
      <c r="H108" t="inlineStr">
        <is>
          <t>手剥虾仁 无冰衣无添加 低脂餐一人食 上班带饭 顺丰包邮 5盒装</t>
        </is>
      </c>
      <c r="I108" t="inlineStr">
        <is>
          <t>694baba01d450d00013662f0</t>
        </is>
      </c>
      <c r="J108" t="inlineStr">
        <is>
          <t/>
        </is>
      </c>
      <c r="K108" t="n">
        <v>207.0</v>
      </c>
      <c r="L108" t="n">
        <v>3.0</v>
      </c>
      <c r="M108" t="n">
        <v>30.0</v>
      </c>
      <c r="N108" t="inlineStr">
        <is>
          <t>0.24793388429752067</t>
        </is>
      </c>
      <c r="O108" t="n">
        <v>27.0</v>
      </c>
      <c r="P108" t="n">
        <v>2.0</v>
      </c>
      <c r="Q108" t="n">
        <v>0.1</v>
      </c>
      <c r="R108" t="inlineStr">
        <is>
          <t>0.07407407407407407</t>
        </is>
      </c>
      <c r="S108" t="n">
        <v>69.0</v>
      </c>
      <c r="T108" t="n">
        <v>1.0</v>
      </c>
      <c r="U108" t="n">
        <v>1.0</v>
      </c>
      <c r="V108" t="n">
        <v>69.0</v>
      </c>
      <c r="W108" t="n">
        <v>0.3333333333333333</v>
      </c>
      <c r="X108" t="n">
        <v>1.0</v>
      </c>
      <c r="Y108" t="n">
        <v>8.0</v>
      </c>
      <c r="Z108" t="n">
        <v>6.0</v>
      </c>
      <c r="AA108" t="n">
        <v>69.0</v>
      </c>
      <c r="AB108" t="n">
        <v>0.0</v>
      </c>
      <c r="AC108" t="n">
        <v>0.0</v>
      </c>
      <c r="AD108" t="n">
        <v>121.0</v>
      </c>
      <c r="AE108" t="n">
        <v>0.0</v>
      </c>
      <c r="AF108" t="n">
        <v>1.0</v>
      </c>
      <c r="AG108" t="n">
        <v>0.0</v>
      </c>
      <c r="AH108" t="n">
        <v>2.0</v>
      </c>
      <c r="AI108" t="n">
        <v>0.0</v>
      </c>
      <c r="AJ108" t="n">
        <v>0.0</v>
      </c>
      <c r="AK108" t="n">
        <v>15.396694214876034</v>
      </c>
      <c r="AL108" t="inlineStr">
        <is>
          <t/>
        </is>
      </c>
    </row>
    <row r="109">
      <c r="A109" t="inlineStr">
        <is>
          <t>奉劝那些天天喝蛋白粉健身的女孩……</t>
        </is>
      </c>
      <c r="B109" t="inlineStr">
        <is>
          <t>69ad877e000000002303acac</t>
        </is>
      </c>
      <c r="C109" s="108" t="n">
        <f>HYPERLINK("https://www.xiaohongshu.com/explore/69ad877e000000002303acac?xsec_token=TBsauhpT2AwjD8NBV7WI8gZPl1x6YHHkcolydKD-MIQp8=&amp;xsec_source=pc_trdark","https://www.xiaohongshu.com/explore/69ad877e000000002303acac?xsec_token=TBsauhpT2AwjD8NBV7WI8gZPl1x6YHHkcolydKD-MIQp8=&amp;xsec_source=pc_trdark")</f>
        <v>0.0</v>
      </c>
      <c r="D109" t="inlineStr">
        <is>
          <t>鲜水湾甄选</t>
        </is>
      </c>
      <c r="E109" t="inlineStr">
        <is>
          <t>27401929161</t>
        </is>
      </c>
      <c r="F109" t="inlineStr">
        <is>
          <t>2026-03-08 22:28:14</t>
        </is>
      </c>
      <c r="G109" t="inlineStr">
        <is>
          <t>图文</t>
        </is>
      </c>
      <c r="H109" t="inlineStr">
        <is>
          <t>大虾基围虾王牌大虾厄瓜多尔白虾盐冻虾仁海洋大虾送礼顺丰包邮</t>
        </is>
      </c>
      <c r="I109" t="inlineStr">
        <is>
          <t>690aeb7be379430001e686ac</t>
        </is>
      </c>
      <c r="J109" t="inlineStr">
        <is>
          <t/>
        </is>
      </c>
      <c r="K109" t="n">
        <v>0.0</v>
      </c>
      <c r="L109" t="n">
        <v>0.0</v>
      </c>
      <c r="M109" t="n">
        <v>5.0</v>
      </c>
      <c r="N109" t="inlineStr">
        <is>
          <t>0.04132231404958678</t>
        </is>
      </c>
      <c r="O109" t="n">
        <v>5.0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inlineStr">
        <is>
          <t/>
        </is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121.0</v>
      </c>
      <c r="AE109" t="n">
        <v>3.0</v>
      </c>
      <c r="AF109" t="n">
        <v>0.0</v>
      </c>
      <c r="AG109" t="n">
        <v>0.0</v>
      </c>
      <c r="AH109" t="n">
        <v>4.0</v>
      </c>
      <c r="AI109" t="n">
        <v>0.0</v>
      </c>
      <c r="AJ109" t="n">
        <v>0.0</v>
      </c>
      <c r="AK109" t="n">
        <v>7.148760330578512</v>
      </c>
      <c r="AL109" t="inlineStr">
        <is>
          <t/>
        </is>
      </c>
    </row>
    <row r="110">
      <c r="A110" t="inlineStr">
        <is>
          <t>晚上只吃虾会变瘦是真的</t>
        </is>
      </c>
      <c r="B110" t="inlineStr">
        <is>
          <t>69aaca22000000000e03d2a2</t>
        </is>
      </c>
      <c r="C110" s="109" t="n">
        <f>HYPERLINK("https://www.xiaohongshu.com/explore/69aaca22000000000e03d2a2?xsec_token=TB8xU8BGf5cxJmpLtWj3tacacLC0Rmrw5mKoYR2flThQg=&amp;xsec_source=pc_trdark","https://www.xiaohongshu.com/explore/69aaca22000000000e03d2a2?xsec_token=TB8xU8BGf5cxJmpLtWj3tacacLC0Rmrw5mKoYR2flThQg=&amp;xsec_source=pc_trdark")</f>
        <v>0.0</v>
      </c>
      <c r="D110" t="inlineStr">
        <is>
          <t>婉婉上班吃什么</t>
        </is>
      </c>
      <c r="E110" t="inlineStr">
        <is>
          <t>11434449706</t>
        </is>
      </c>
      <c r="F110" t="inlineStr">
        <is>
          <t>2026-03-06 20:35:46</t>
        </is>
      </c>
      <c r="G110" t="inlineStr">
        <is>
          <t>图文</t>
        </is>
      </c>
      <c r="H110" t="inlineStr">
        <is>
          <t>大虾基围虾王牌大虾厄瓜多尔白虾盐冻虾仁海洋大虾送礼顺丰包邮</t>
        </is>
      </c>
      <c r="I110" t="inlineStr">
        <is>
          <t>690aeb7be379430001e686ac</t>
        </is>
      </c>
      <c r="J110" t="inlineStr">
        <is>
          <t/>
        </is>
      </c>
      <c r="K110" t="n">
        <v>0.0</v>
      </c>
      <c r="L110" t="n">
        <v>0.0</v>
      </c>
      <c r="M110" t="n">
        <v>14.0</v>
      </c>
      <c r="N110" t="inlineStr">
        <is>
          <t>0.11570247933884298</t>
        </is>
      </c>
      <c r="O110" t="n">
        <v>12.0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inlineStr">
        <is>
          <t/>
        </is>
      </c>
      <c r="X110" t="n">
        <v>0.0</v>
      </c>
      <c r="Y110" t="n">
        <v>4.0</v>
      </c>
      <c r="Z110" t="n">
        <v>3.0</v>
      </c>
      <c r="AA110" t="n">
        <v>0.0</v>
      </c>
      <c r="AB110" t="n">
        <v>0.0</v>
      </c>
      <c r="AC110" t="n">
        <v>0.0</v>
      </c>
      <c r="AD110" t="n">
        <v>121.0</v>
      </c>
      <c r="AE110" t="n">
        <v>1.0</v>
      </c>
      <c r="AF110" t="n">
        <v>0.0</v>
      </c>
      <c r="AG110" t="n">
        <v>0.0</v>
      </c>
      <c r="AH110" t="n">
        <v>1.0</v>
      </c>
      <c r="AI110" t="n">
        <v>0.0</v>
      </c>
      <c r="AJ110" t="n">
        <v>0.0</v>
      </c>
      <c r="AK110" t="n">
        <v>7.24793388429752</v>
      </c>
      <c r="AL110" t="inlineStr">
        <is>
          <t/>
        </is>
      </c>
    </row>
    <row r="111">
      <c r="A111" t="inlineStr">
        <is>
          <t>不愧是10w网友认证过的乳山生蚝 ?太绝了！</t>
        </is>
      </c>
      <c r="B111" t="inlineStr">
        <is>
          <t>691a79eb0000000007021690</t>
        </is>
      </c>
      <c r="C111" s="110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111" t="inlineStr">
        <is>
          <t>婉婉上班吃什么</t>
        </is>
      </c>
      <c r="E111" t="inlineStr">
        <is>
          <t>11434449706</t>
        </is>
      </c>
      <c r="F111" t="inlineStr">
        <is>
          <t>2025-11-17 09:27:07</t>
        </is>
      </c>
      <c r="G111" t="inlineStr">
        <is>
          <t>视频</t>
        </is>
      </c>
      <c r="H111" t="inlineStr">
        <is>
          <t>生蚝乳山生蚝海蛎子顺丰包邮</t>
        </is>
      </c>
      <c r="I111" t="inlineStr">
        <is>
          <t>690c70971b787900010866cc</t>
        </is>
      </c>
      <c r="J111" t="n">
        <v>25.0</v>
      </c>
      <c r="K111" t="n">
        <v>0.0</v>
      </c>
      <c r="L111" t="n">
        <v>0.0</v>
      </c>
      <c r="M111" t="n">
        <v>9.0</v>
      </c>
      <c r="N111" t="n">
        <v>0.0743801652892562</v>
      </c>
      <c r="O111" t="n">
        <v>9.0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inlineStr">
        <is>
          <t/>
        </is>
      </c>
      <c r="X111" t="n">
        <v>0.0</v>
      </c>
      <c r="Y111" t="n">
        <v>0.0</v>
      </c>
      <c r="Z111" t="n">
        <v>2.0</v>
      </c>
      <c r="AA111" t="n">
        <v>0.0</v>
      </c>
      <c r="AB111" t="n">
        <v>0.0</v>
      </c>
      <c r="AC111" t="n">
        <v>0.0</v>
      </c>
      <c r="AD111" t="n">
        <v>121.0</v>
      </c>
      <c r="AE111" t="n">
        <v>1.0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14.669421487603305</v>
      </c>
      <c r="AL111" t="n">
        <v>0.2222222222222222</v>
      </c>
    </row>
    <row r="112">
      <c r="A112" t="inlineStr">
        <is>
          <t>年轻人真的不要低估了100块的购买力</t>
        </is>
      </c>
      <c r="B112" t="inlineStr">
        <is>
          <t>69bbed56000000002003abe7</t>
        </is>
      </c>
      <c r="C112" s="111" t="n">
        <f>HYPERLINK("https://www.xiaohongshu.com/explore/69bbed56000000002003abe7?xsec_token=TBbjiHoA30T3IRnkbtYIm1OybzhmTih0D0U8_vPWmHqNo=&amp;xsec_source=pc_trdark","https://www.xiaohongshu.com/explore/69bbed56000000002003abe7?xsec_token=TBbjiHoA30T3IRnkbtYIm1OybzhmTih0D0U8_vPWmHqNo=&amp;xsec_source=pc_trdark")</f>
        <v>0.0</v>
      </c>
      <c r="D112" t="inlineStr">
        <is>
          <t>婉婉上班吃什么</t>
        </is>
      </c>
      <c r="E112" t="inlineStr">
        <is>
          <t>11434449706</t>
        </is>
      </c>
      <c r="F112" t="inlineStr">
        <is>
          <t>2026-03-19 20:34:30</t>
        </is>
      </c>
      <c r="G112" t="inlineStr">
        <is>
          <t>图文</t>
        </is>
      </c>
      <c r="H112" t="inlineStr">
        <is>
          <t>手剥虾仁 无冰衣无添加 低脂餐一人食 上班带饭 顺丰包邮 5盒装</t>
        </is>
      </c>
      <c r="I112" t="inlineStr">
        <is>
          <t>694baba01d450d00013662f0</t>
        </is>
      </c>
      <c r="J112" t="inlineStr">
        <is>
          <t/>
        </is>
      </c>
      <c r="K112" t="n">
        <v>197.0</v>
      </c>
      <c r="L112" t="n">
        <v>2.0</v>
      </c>
      <c r="M112" t="n">
        <v>14.0</v>
      </c>
      <c r="N112" t="inlineStr">
        <is>
          <t>0.11666666666666667</t>
        </is>
      </c>
      <c r="O112" t="n">
        <v>12.0</v>
      </c>
      <c r="P112" t="n">
        <v>2.0</v>
      </c>
      <c r="Q112" t="inlineStr">
        <is>
          <t>0.14285714285714285</t>
        </is>
      </c>
      <c r="R112" t="inlineStr">
        <is>
          <t>0.16666666666666666</t>
        </is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120.0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9.216666666666667</v>
      </c>
      <c r="AL112" t="inlineStr">
        <is>
          <t/>
        </is>
      </c>
    </row>
    <row r="113">
      <c r="A113" t="inlineStr">
        <is>
          <t>不啰嗦了，300来块一整条</t>
        </is>
      </c>
      <c r="B113" t="inlineStr">
        <is>
          <t>69a9313d000000002202051a</t>
        </is>
      </c>
      <c r="C113" s="112" t="n">
        <f>HYPERLINK("https://www.xiaohongshu.com/explore/69a9313d000000002202051a?xsec_token=TBX1UPru9xmrqAy_hfS76TmugbaunlLKC6JrddAjTNWCM=&amp;xsec_source=pc_trdark","https://www.xiaohongshu.com/explore/69a9313d000000002202051a?xsec_token=TBX1UPru9xmrqAy_hfS76TmugbaunlLKC6JrddAjTNWCM=&amp;xsec_source=pc_trdark")</f>
        <v>0.0</v>
      </c>
      <c r="D113" t="inlineStr">
        <is>
          <t>鲜水湾甄选</t>
        </is>
      </c>
      <c r="E113" t="inlineStr">
        <is>
          <t>27401929161</t>
        </is>
      </c>
      <c r="F113" t="inlineStr">
        <is>
          <t>2026-03-05 15:31:09</t>
        </is>
      </c>
      <c r="G113" t="inlineStr">
        <is>
          <t>图文</t>
        </is>
      </c>
      <c r="H113" t="inlineStr">
        <is>
          <t>智利三文鱼切块·整条三文鱼·深海鱼一人食健康饮食</t>
        </is>
      </c>
      <c r="I113" t="inlineStr">
        <is>
          <t>691ac562a524ee0001b51d7b</t>
        </is>
      </c>
      <c r="J113" t="inlineStr">
        <is>
          <t/>
        </is>
      </c>
      <c r="K113" t="n">
        <v>0.0</v>
      </c>
      <c r="L113" t="n">
        <v>0.0</v>
      </c>
      <c r="M113" t="n">
        <v>22.0</v>
      </c>
      <c r="N113" t="inlineStr">
        <is>
          <t>0.18487394957983194</t>
        </is>
      </c>
      <c r="O113" t="n">
        <v>19.0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inlineStr">
        <is>
          <t/>
        </is>
      </c>
      <c r="X113" t="n">
        <v>0.0</v>
      </c>
      <c r="Y113" t="n">
        <v>7.0</v>
      </c>
      <c r="Z113" t="n">
        <v>3.0</v>
      </c>
      <c r="AA113" t="n">
        <v>0.0</v>
      </c>
      <c r="AB113" t="n">
        <v>0.0</v>
      </c>
      <c r="AC113" t="n">
        <v>0.0</v>
      </c>
      <c r="AD113" t="n">
        <v>119.0</v>
      </c>
      <c r="AE113" t="n">
        <v>0.0</v>
      </c>
      <c r="AF113" t="n">
        <v>0.0</v>
      </c>
      <c r="AG113" t="n">
        <v>0.0</v>
      </c>
      <c r="AH113" t="n">
        <v>1.0</v>
      </c>
      <c r="AI113" t="n">
        <v>1.0</v>
      </c>
      <c r="AJ113" t="n">
        <v>0.0</v>
      </c>
      <c r="AK113" t="n">
        <v>11.07563025210084</v>
      </c>
      <c r="AL113" t="inlineStr">
        <is>
          <t/>
        </is>
      </c>
    </row>
    <row r="114">
      <c r="A114" t="inlineStr">
        <is>
          <t>同事问我：天天带饭，是因为穷吗？</t>
        </is>
      </c>
      <c r="B114" t="inlineStr">
        <is>
          <t>69c0d9b80000000023017b7c</t>
        </is>
      </c>
      <c r="C114" s="113" t="n">
        <f>HYPERLINK("https://www.xiaohongshu.com/explore/69c0d9b80000000023017b7c?xsec_token=TBlSRAgxB_sBYkF02kEEKO5zTUqmQEvgLfWbtwclihx_0=&amp;xsec_source=pc_trdark","https://www.xiaohongshu.com/explore/69c0d9b80000000023017b7c?xsec_token=TBlSRAgxB_sBYkF02kEEKO5zTUqmQEvgLfWbtwclihx_0=&amp;xsec_source=pc_trdark")</f>
        <v>0.0</v>
      </c>
      <c r="D114" t="inlineStr">
        <is>
          <t>菲菲上班吃什么</t>
        </is>
      </c>
      <c r="E114" t="inlineStr">
        <is>
          <t>49936530607</t>
        </is>
      </c>
      <c r="F114" t="inlineStr">
        <is>
          <t>2026-03-23 14:12:08</t>
        </is>
      </c>
      <c r="G114" t="inlineStr">
        <is>
          <t>图文</t>
        </is>
      </c>
      <c r="H114" t="inlineStr">
        <is>
          <t>手剥虾仁 无冰衣无添加 低脂餐一人食 上班带饭 顺丰包邮 5盒装</t>
        </is>
      </c>
      <c r="I114" t="inlineStr">
        <is>
          <t>694baba01d450d00013662f0</t>
        </is>
      </c>
      <c r="J114" t="inlineStr">
        <is>
          <t/>
        </is>
      </c>
      <c r="K114" t="n">
        <v>197.0</v>
      </c>
      <c r="L114" t="n">
        <v>2.0</v>
      </c>
      <c r="M114" t="n">
        <v>16.0</v>
      </c>
      <c r="N114" t="inlineStr">
        <is>
          <t>0.13675213675213677</t>
        </is>
      </c>
      <c r="O114" t="n">
        <v>14.0</v>
      </c>
      <c r="P114" t="n">
        <v>2.0</v>
      </c>
      <c r="Q114" t="n">
        <v>0.125</v>
      </c>
      <c r="R114" t="inlineStr">
        <is>
          <t>0.14285714285714285</t>
        </is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2.0</v>
      </c>
      <c r="Z114" t="n">
        <v>5.0</v>
      </c>
      <c r="AA114" t="n">
        <v>0.0</v>
      </c>
      <c r="AB114" t="n">
        <v>0.0</v>
      </c>
      <c r="AC114" t="n">
        <v>0.0</v>
      </c>
      <c r="AD114" t="n">
        <v>117.0</v>
      </c>
      <c r="AE114" t="n">
        <v>1.0</v>
      </c>
      <c r="AF114" t="n">
        <v>0.0</v>
      </c>
      <c r="AG114" t="n">
        <v>0.0</v>
      </c>
      <c r="AH114" t="n">
        <v>1.0</v>
      </c>
      <c r="AI114" t="n">
        <v>0.0</v>
      </c>
      <c r="AJ114" t="n">
        <v>0.0</v>
      </c>
      <c r="AK114" t="n">
        <v>19.23076923076923</v>
      </c>
      <c r="AL114" t="inlineStr">
        <is>
          <t/>
        </is>
      </c>
    </row>
    <row r="115">
      <c r="A115" t="inlineStr">
        <is>
          <t>懒人的控体餐能有多省事…</t>
        </is>
      </c>
      <c r="B115" t="inlineStr">
        <is>
          <t>69c3bfda0000000020039b54</t>
        </is>
      </c>
      <c r="C115" s="114" t="n">
        <f>HYPERLINK("https://www.xiaohongshu.com/explore/69c3bfda0000000020039b54?xsec_token=TBedSEQ7qtT06AlsylOAiUw2SSI_cQHI_53IO1pQYMeZg=&amp;xsec_source=pc_trdark","https://www.xiaohongshu.com/explore/69c3bfda0000000020039b54?xsec_token=TBedSEQ7qtT06AlsylOAiUw2SSI_cQHI_53IO1pQYMeZg=&amp;xsec_source=pc_trdark")</f>
        <v>0.0</v>
      </c>
      <c r="D115" t="inlineStr">
        <is>
          <t>婉婉上班吃什么</t>
        </is>
      </c>
      <c r="E115" t="inlineStr">
        <is>
          <t>11434449706</t>
        </is>
      </c>
      <c r="F115" t="inlineStr">
        <is>
          <t>2026-03-25 18:58:34</t>
        </is>
      </c>
      <c r="G115" t="inlineStr">
        <is>
          <t>图文</t>
        </is>
      </c>
      <c r="H115" t="inlineStr">
        <is>
          <t>手剥虾仁 无冰衣无添加 低脂餐一人食 上班带饭 顺丰包邮 5盒装</t>
        </is>
      </c>
      <c r="I115" t="inlineStr">
        <is>
          <t>694baba01d450d00013662f0</t>
        </is>
      </c>
      <c r="J115" t="inlineStr">
        <is>
          <t/>
        </is>
      </c>
      <c r="K115" t="n">
        <v>0.0</v>
      </c>
      <c r="L115" t="n">
        <v>0.0</v>
      </c>
      <c r="M115" t="n">
        <v>7.0</v>
      </c>
      <c r="N115" t="inlineStr">
        <is>
          <t>0.06086956521739131</t>
        </is>
      </c>
      <c r="O115" t="n">
        <v>7.0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inlineStr">
        <is>
          <t/>
        </is>
      </c>
      <c r="X115" t="n">
        <v>0.0</v>
      </c>
      <c r="Y115" t="n">
        <v>2.0</v>
      </c>
      <c r="Z115" t="n">
        <v>1.0</v>
      </c>
      <c r="AA115" t="n">
        <v>0.0</v>
      </c>
      <c r="AB115" t="n">
        <v>0.0</v>
      </c>
      <c r="AC115" t="n">
        <v>0.0</v>
      </c>
      <c r="AD115" t="n">
        <v>115.0</v>
      </c>
      <c r="AE115" t="n">
        <v>0.0</v>
      </c>
      <c r="AF115" t="n">
        <v>0.0</v>
      </c>
      <c r="AG115" t="n">
        <v>0.0</v>
      </c>
      <c r="AH115" t="n">
        <v>1.0</v>
      </c>
      <c r="AI115" t="n">
        <v>0.0</v>
      </c>
      <c r="AJ115" t="n">
        <v>0.0</v>
      </c>
      <c r="AK115" t="n">
        <v>7.165217391304348</v>
      </c>
      <c r="AL115" t="inlineStr">
        <is>
          <t/>
        </is>
      </c>
    </row>
    <row r="116">
      <c r="A116" t="inlineStr">
        <is>
          <t>每天带一包大虾上班，同事说我很有钱</t>
        </is>
      </c>
      <c r="B116" t="inlineStr">
        <is>
          <t>69ad8b83000000002800b0fe</t>
        </is>
      </c>
      <c r="C116" s="115" t="n">
        <f>HYPERLINK("https://www.xiaohongshu.com/explore/69ad8b83000000002800b0fe?xsec_token=TBsauhpT2AwjD8NBV7WI8gZEER3ruVJK7qEhQ5wTYffjA=&amp;xsec_source=pc_trdark","https://www.xiaohongshu.com/explore/69ad8b83000000002800b0fe?xsec_token=TBsauhpT2AwjD8NBV7WI8gZEER3ruVJK7qEhQ5wTYffjA=&amp;xsec_source=pc_trdark")</f>
        <v>0.0</v>
      </c>
      <c r="D116" t="inlineStr">
        <is>
          <t>鲜水湾</t>
        </is>
      </c>
      <c r="E116" t="inlineStr">
        <is>
          <t>49316638994</t>
        </is>
      </c>
      <c r="F116" t="inlineStr">
        <is>
          <t>2026-03-08 22:45:23</t>
        </is>
      </c>
      <c r="G116" t="inlineStr">
        <is>
          <t>图文</t>
        </is>
      </c>
      <c r="H116" t="inlineStr">
        <is>
          <t>大虾基围虾王牌大虾厄瓜多尔白虾盐冻虾仁海洋大虾送礼顺丰包邮</t>
        </is>
      </c>
      <c r="I116" t="inlineStr">
        <is>
          <t>690aeb7be379430001e686ac</t>
        </is>
      </c>
      <c r="J116" t="inlineStr">
        <is>
          <t/>
        </is>
      </c>
      <c r="K116" t="n">
        <v>0.0</v>
      </c>
      <c r="L116" t="n">
        <v>0.0</v>
      </c>
      <c r="M116" t="n">
        <v>18.0</v>
      </c>
      <c r="N116" t="n">
        <v>0.1565217391304348</v>
      </c>
      <c r="O116" t="n">
        <v>18.0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inlineStr">
        <is>
          <t/>
        </is>
      </c>
      <c r="X116" t="n">
        <v>0.0</v>
      </c>
      <c r="Y116" t="n">
        <v>3.0</v>
      </c>
      <c r="Z116" t="n">
        <v>3.0</v>
      </c>
      <c r="AA116" t="n">
        <v>0.0</v>
      </c>
      <c r="AB116" t="n">
        <v>0.0</v>
      </c>
      <c r="AC116" t="n">
        <v>0.0</v>
      </c>
      <c r="AD116" t="n">
        <v>115.0</v>
      </c>
      <c r="AE116" t="n">
        <v>1.0</v>
      </c>
      <c r="AF116" t="n">
        <v>1.0</v>
      </c>
      <c r="AG116" t="n">
        <v>0.0</v>
      </c>
      <c r="AH116" t="n">
        <v>3.0</v>
      </c>
      <c r="AI116" t="n">
        <v>0.0</v>
      </c>
      <c r="AJ116" t="n">
        <v>0.0</v>
      </c>
      <c r="AK116" t="n">
        <v>8.408695652173913</v>
      </c>
      <c r="AL116" t="inlineStr">
        <is>
          <t/>
        </is>
      </c>
    </row>
    <row r="117">
      <c r="A117" t="inlineStr">
        <is>
          <t>脱脂牛马带饭启发</t>
        </is>
      </c>
      <c r="B117" t="inlineStr">
        <is>
          <t>69cbdd72000000002301f884</t>
        </is>
      </c>
      <c r="C117" s="116" t="n">
        <f>HYPERLINK("https://www.xiaohongshu.com/explore/69cbdd72000000002301f884?xsec_token=TBNvk7eB588c7ey-qUUMF7ORa2eWAAzo1x-Lkye20xOak=&amp;xsec_source=pc_trdark","https://www.xiaohongshu.com/explore/69cbdd72000000002301f884?xsec_token=TBNvk7eB588c7ey-qUUMF7ORa2eWAAzo1x-Lkye20xOak=&amp;xsec_source=pc_trdark")</f>
        <v>0.0</v>
      </c>
      <c r="D117" t="inlineStr">
        <is>
          <t>菲菲上班吃什么</t>
        </is>
      </c>
      <c r="E117" t="inlineStr">
        <is>
          <t>49936530607</t>
        </is>
      </c>
      <c r="F117" t="inlineStr">
        <is>
          <t>2026-03-31 22:42:58</t>
        </is>
      </c>
      <c r="G117" t="inlineStr">
        <is>
          <t>图文</t>
        </is>
      </c>
      <c r="H117" t="inlineStr">
        <is>
          <t>手剥虾仁 无冰衣无添加 低脂餐一人食 上班带饭 顺丰包邮 5盒装</t>
        </is>
      </c>
      <c r="I117" t="inlineStr">
        <is>
          <t>694baba01d450d00013662f0</t>
        </is>
      </c>
      <c r="J117" t="inlineStr">
        <is>
          <t/>
        </is>
      </c>
      <c r="K117" t="n">
        <v>276.0</v>
      </c>
      <c r="L117" t="n">
        <v>2.0</v>
      </c>
      <c r="M117" t="n">
        <v>8.0</v>
      </c>
      <c r="N117" t="inlineStr">
        <is>
          <t>0.07017543859649122</t>
        </is>
      </c>
      <c r="O117" t="n">
        <v>7.0</v>
      </c>
      <c r="P117" t="n">
        <v>2.0</v>
      </c>
      <c r="Q117" t="n">
        <v>0.25</v>
      </c>
      <c r="R117" t="n">
        <v>0.2857142857142857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5.0</v>
      </c>
      <c r="Z117" t="n">
        <v>3.0</v>
      </c>
      <c r="AA117" t="n">
        <v>178.0</v>
      </c>
      <c r="AB117" t="n">
        <v>0.0</v>
      </c>
      <c r="AC117" t="n">
        <v>0.0</v>
      </c>
      <c r="AD117" t="n">
        <v>114.0</v>
      </c>
      <c r="AE117" t="n">
        <v>2.0</v>
      </c>
      <c r="AF117" t="n">
        <v>0.0</v>
      </c>
      <c r="AG117" t="n">
        <v>0.0</v>
      </c>
      <c r="AH117" t="n">
        <v>2.0</v>
      </c>
      <c r="AI117" t="n">
        <v>0.0</v>
      </c>
      <c r="AJ117" t="n">
        <v>0.0</v>
      </c>
      <c r="AK117" t="n">
        <v>9.236842105263158</v>
      </c>
      <c r="AL117" t="inlineStr">
        <is>
          <t/>
        </is>
      </c>
    </row>
    <row r="118">
      <c r="A118" t="inlineStr">
        <is>
          <t>以为100块没多少，结果够我自律期吃半个月了</t>
        </is>
      </c>
      <c r="B118" t="inlineStr">
        <is>
          <t>69c1f172000000001b0235d8</t>
        </is>
      </c>
      <c r="C118" s="117" t="n">
        <f>HYPERLINK("https://www.xiaohongshu.com/explore/69c1f172000000001b0235d8?xsec_token=TBltfkQyXS0u_Ko7SgIzuBYioy9b9lBs3Ey2ozWJqU_EQ=&amp;xsec_source=pc_trdark","https://www.xiaohongshu.com/explore/69c1f172000000001b0235d8?xsec_token=TBltfkQyXS0u_Ko7SgIzuBYioy9b9lBs3Ey2ozWJqU_EQ=&amp;xsec_source=pc_trdark")</f>
        <v>0.0</v>
      </c>
      <c r="D118" t="inlineStr">
        <is>
          <t>婉婉上班吃什么</t>
        </is>
      </c>
      <c r="E118" t="inlineStr">
        <is>
          <t>11434449706</t>
        </is>
      </c>
      <c r="F118" t="inlineStr">
        <is>
          <t>2026-03-24 10:05:38</t>
        </is>
      </c>
      <c r="G118" t="inlineStr">
        <is>
          <t>图文</t>
        </is>
      </c>
      <c r="H118" t="inlineStr">
        <is>
          <t>手剥虾仁 无冰衣无添加 低脂餐一人食 上班带饭 顺丰包邮 5盒装</t>
        </is>
      </c>
      <c r="I118" t="inlineStr">
        <is>
          <t>694baba01d450d00013662f0</t>
        </is>
      </c>
      <c r="J118" t="inlineStr">
        <is>
          <t/>
        </is>
      </c>
      <c r="K118" t="n">
        <v>178.0</v>
      </c>
      <c r="L118" t="n">
        <v>1.0</v>
      </c>
      <c r="M118" t="n">
        <v>19.0</v>
      </c>
      <c r="N118" t="inlineStr">
        <is>
          <t>0.16666666666666666</t>
        </is>
      </c>
      <c r="O118" t="n">
        <v>18.0</v>
      </c>
      <c r="P118" t="n">
        <v>1.0</v>
      </c>
      <c r="Q118" t="inlineStr">
        <is>
          <t>0.05263157894736842</t>
        </is>
      </c>
      <c r="R118" t="inlineStr">
        <is>
          <t>0.05555555555555555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3.0</v>
      </c>
      <c r="Z118" t="n">
        <v>2.0</v>
      </c>
      <c r="AA118" t="n">
        <v>0.0</v>
      </c>
      <c r="AB118" t="n">
        <v>0.0</v>
      </c>
      <c r="AC118" t="n">
        <v>0.0</v>
      </c>
      <c r="AD118" t="n">
        <v>114.0</v>
      </c>
      <c r="AE118" t="n">
        <v>4.0</v>
      </c>
      <c r="AF118" t="n">
        <v>1.0</v>
      </c>
      <c r="AG118" t="n">
        <v>0.0</v>
      </c>
      <c r="AH118" t="n">
        <v>0.0</v>
      </c>
      <c r="AI118" t="n">
        <v>0.0</v>
      </c>
      <c r="AJ118" t="n">
        <v>0.0</v>
      </c>
      <c r="AK118" t="n">
        <v>16.464912280701753</v>
      </c>
      <c r="AL118" t="inlineStr">
        <is>
          <t/>
        </is>
      </c>
    </row>
    <row r="119">
      <c r="A119" t="inlineStr">
        <is>
          <t>买的时候没人告诉我，69💰吃一周减脂餐</t>
        </is>
      </c>
      <c r="B119" t="inlineStr">
        <is>
          <t>69bbaf6b000000001f00728f</t>
        </is>
      </c>
      <c r="C119" s="118" t="n">
        <f>HYPERLINK("https://www.xiaohongshu.com/explore/69bbaf6b000000001f00728f?xsec_token=TBbjiHoA30T3IRnkbtYIm1OwoGZUAlXdefd9Vw2fNtEPU=&amp;xsec_source=pc_trdark","https://www.xiaohongshu.com/explore/69bbaf6b000000001f00728f?xsec_token=TBbjiHoA30T3IRnkbtYIm1OwoGZUAlXdefd9Vw2fNtEPU=&amp;xsec_source=pc_trdark")</f>
        <v>0.0</v>
      </c>
      <c r="D119" t="inlineStr">
        <is>
          <t>婉婉上班吃什么</t>
        </is>
      </c>
      <c r="E119" t="inlineStr">
        <is>
          <t>11434449706</t>
        </is>
      </c>
      <c r="F119" t="inlineStr">
        <is>
          <t>2026-03-19 16:10:19</t>
        </is>
      </c>
      <c r="G119" t="inlineStr">
        <is>
          <t>图文</t>
        </is>
      </c>
      <c r="H119" t="inlineStr">
        <is>
          <t>手剥虾仁 无冰衣无添加 低脂餐一人食 上班带饭 顺丰包邮 5盒装</t>
        </is>
      </c>
      <c r="I119" t="inlineStr">
        <is>
          <t>694baba01d450d00013662f0</t>
        </is>
      </c>
      <c r="J119" t="inlineStr">
        <is>
          <t/>
        </is>
      </c>
      <c r="K119" t="n">
        <v>0.0</v>
      </c>
      <c r="L119" t="n">
        <v>0.0</v>
      </c>
      <c r="M119" t="n">
        <v>12.0</v>
      </c>
      <c r="N119" t="inlineStr">
        <is>
          <t>0.10526315789473684</t>
        </is>
      </c>
      <c r="O119" t="n">
        <v>12.0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inlineStr">
        <is>
          <t/>
        </is>
      </c>
      <c r="X119" t="n">
        <v>0.0</v>
      </c>
      <c r="Y119" t="n">
        <v>2.0</v>
      </c>
      <c r="Z119" t="n">
        <v>1.0</v>
      </c>
      <c r="AA119" t="n">
        <v>0.0</v>
      </c>
      <c r="AB119" t="n">
        <v>0.0</v>
      </c>
      <c r="AC119" t="n">
        <v>0.0</v>
      </c>
      <c r="AD119" t="n">
        <v>114.0</v>
      </c>
      <c r="AE119" t="n">
        <v>3.0</v>
      </c>
      <c r="AF119" t="n">
        <v>0.0</v>
      </c>
      <c r="AG119" t="n">
        <v>4.0</v>
      </c>
      <c r="AH119" t="n">
        <v>2.0</v>
      </c>
      <c r="AI119" t="n">
        <v>0.0</v>
      </c>
      <c r="AJ119" t="n">
        <v>0.0</v>
      </c>
      <c r="AK119" t="n">
        <v>10.956140350877194</v>
      </c>
      <c r="AL119" t="inlineStr">
        <is>
          <t/>
        </is>
      </c>
    </row>
    <row r="120">
      <c r="A120" t="inlineStr">
        <is>
          <t>发现人减脂根本花不了几个钱…</t>
        </is>
      </c>
      <c r="B120" t="inlineStr">
        <is>
          <t>69b9206b000000002003a746</t>
        </is>
      </c>
      <c r="C120" s="119" t="n">
        <f>HYPERLINK("https://www.xiaohongshu.com/explore/69b9206b000000002003a746?xsec_token=TBgv0wN35T_w0yZx7fmvlvfCHgH7GnnMmaHD_pNBDg0wA=&amp;xsec_source=pc_trdark","https://www.xiaohongshu.com/explore/69b9206b000000002003a746?xsec_token=TBgv0wN35T_w0yZx7fmvlvfCHgH7GnnMmaHD_pNBDg0wA=&amp;xsec_source=pc_trdark")</f>
        <v>0.0</v>
      </c>
      <c r="D120" t="inlineStr">
        <is>
          <t>鲜水湾</t>
        </is>
      </c>
      <c r="E120" t="inlineStr">
        <is>
          <t>49316638994</t>
        </is>
      </c>
      <c r="F120" t="inlineStr">
        <is>
          <t>2026-03-17 17:35:39</t>
        </is>
      </c>
      <c r="G120" t="inlineStr">
        <is>
          <t>图文</t>
        </is>
      </c>
      <c r="H120" t="inlineStr">
        <is>
          <t>手剥虾仁 无冰衣无添加 低脂餐一人食 上班带饭 顺丰包邮 5盒装</t>
        </is>
      </c>
      <c r="I120" t="inlineStr">
        <is>
          <t>694baba01d450d00013662f0</t>
        </is>
      </c>
      <c r="J120" t="inlineStr">
        <is>
          <t/>
        </is>
      </c>
      <c r="K120" t="n">
        <v>69.0</v>
      </c>
      <c r="L120" t="n">
        <v>1.0</v>
      </c>
      <c r="M120" t="n">
        <v>4.0</v>
      </c>
      <c r="N120" t="inlineStr">
        <is>
          <t>0.03508771929824561</t>
        </is>
      </c>
      <c r="O120" t="n">
        <v>4.0</v>
      </c>
      <c r="P120" t="n">
        <v>1.0</v>
      </c>
      <c r="Q120" t="n">
        <v>0.25</v>
      </c>
      <c r="R120" t="n">
        <v>0.25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1.0</v>
      </c>
      <c r="Z120" t="n">
        <v>3.0</v>
      </c>
      <c r="AA120" t="n">
        <v>0.0</v>
      </c>
      <c r="AB120" t="n">
        <v>0.0</v>
      </c>
      <c r="AC120" t="n">
        <v>0.0</v>
      </c>
      <c r="AD120" t="n">
        <v>114.0</v>
      </c>
      <c r="AE120" t="n">
        <v>1.0</v>
      </c>
      <c r="AF120" t="n">
        <v>0.0</v>
      </c>
      <c r="AG120" t="n">
        <v>0.0</v>
      </c>
      <c r="AH120" t="n">
        <v>3.0</v>
      </c>
      <c r="AI120" t="n">
        <v>0.0</v>
      </c>
      <c r="AJ120" t="n">
        <v>0.0</v>
      </c>
      <c r="AK120" t="n">
        <v>13.052631578947368</v>
      </c>
      <c r="AL120" t="inlineStr">
        <is>
          <t/>
        </is>
      </c>
    </row>
    <row r="121">
      <c r="A121" t="inlineStr">
        <is>
          <t>69五袋我微微心动，你说顺丰包邮我直接冲</t>
        </is>
      </c>
      <c r="B121" t="inlineStr">
        <is>
          <t>69b583f3000000001f00071f</t>
        </is>
      </c>
      <c r="C121" s="120" t="n">
        <f>HYPERLINK("https://www.xiaohongshu.com/explore/69b583f3000000001f00071f?xsec_token=TBYgTJ9EzKmyKny4Vfc-tHE_vjjVjJOwd0sAJ7JQwEL_U=&amp;xsec_source=pc_trdark","https://www.xiaohongshu.com/explore/69b583f3000000001f00071f?xsec_token=TBYgTJ9EzKmyKny4Vfc-tHE_vjjVjJOwd0sAJ7JQwEL_U=&amp;xsec_source=pc_trdark")</f>
        <v>0.0</v>
      </c>
      <c r="D121" t="inlineStr">
        <is>
          <t>婉婉上班吃什么</t>
        </is>
      </c>
      <c r="E121" t="inlineStr">
        <is>
          <t>11434449706</t>
        </is>
      </c>
      <c r="F121" t="inlineStr">
        <is>
          <t>2026-03-14 23:51:15</t>
        </is>
      </c>
      <c r="G121" t="inlineStr">
        <is>
          <t>图文</t>
        </is>
      </c>
      <c r="H121" t="inlineStr">
        <is>
          <t>手剥虾仁 无冰衣无添加 低脂餐一人食 上班带饭 顺丰包邮 5盒装</t>
        </is>
      </c>
      <c r="I121" t="inlineStr">
        <is>
          <t>694baba01d450d00013662f0</t>
        </is>
      </c>
      <c r="J121" t="inlineStr">
        <is>
          <t/>
        </is>
      </c>
      <c r="K121" t="n">
        <v>276.0</v>
      </c>
      <c r="L121" t="n">
        <v>4.0</v>
      </c>
      <c r="M121" t="n">
        <v>37.0</v>
      </c>
      <c r="N121" t="n">
        <v>0.3274336283185841</v>
      </c>
      <c r="O121" t="n">
        <v>33.0</v>
      </c>
      <c r="P121" t="n">
        <v>4.0</v>
      </c>
      <c r="Q121" t="inlineStr">
        <is>
          <t>0.10810810810810811</t>
        </is>
      </c>
      <c r="R121" t="inlineStr">
        <is>
          <t>0.12121212121212122</t>
        </is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6.0</v>
      </c>
      <c r="Z121" t="n">
        <v>5.0</v>
      </c>
      <c r="AA121" t="n">
        <v>0.0</v>
      </c>
      <c r="AB121" t="n">
        <v>0.0</v>
      </c>
      <c r="AC121" t="n">
        <v>0.0</v>
      </c>
      <c r="AD121" t="n">
        <v>113.0</v>
      </c>
      <c r="AE121" t="n">
        <v>2.0</v>
      </c>
      <c r="AF121" t="n">
        <v>1.0</v>
      </c>
      <c r="AG121" t="n">
        <v>0.0</v>
      </c>
      <c r="AH121" t="n">
        <v>1.0</v>
      </c>
      <c r="AI121" t="n">
        <v>0.0</v>
      </c>
      <c r="AJ121" t="n">
        <v>0.0</v>
      </c>
      <c r="AK121" t="n">
        <v>13.619469026548673</v>
      </c>
      <c r="AL121" t="inlineStr">
        <is>
          <t/>
        </is>
      </c>
    </row>
    <row r="122">
      <c r="A122" t="inlineStr">
        <is>
          <t>100来块吃不了一顿火锅，但能承包我一周</t>
        </is>
      </c>
      <c r="B122" t="inlineStr">
        <is>
          <t>69ca17c8000000001f0004f7</t>
        </is>
      </c>
      <c r="C122" s="121" t="n">
        <f>HYPERLINK("https://www.xiaohongshu.com/explore/69ca17c8000000001f0004f7?xsec_token=TBZMwIQ43aS0K0DsaEHGlBqqLcmxaG4YA08ShFTUAVGJg=&amp;xsec_source=pc_trdark","https://www.xiaohongshu.com/explore/69ca17c8000000001f0004f7?xsec_token=TBZMwIQ43aS0K0DsaEHGlBqqLcmxaG4YA08ShFTUAVGJg=&amp;xsec_source=pc_trdark")</f>
        <v>0.0</v>
      </c>
      <c r="D122" t="inlineStr">
        <is>
          <t>菲菲上班吃什么</t>
        </is>
      </c>
      <c r="E122" t="inlineStr">
        <is>
          <t>49936530607</t>
        </is>
      </c>
      <c r="F122" t="inlineStr">
        <is>
          <t>2026-03-30 14:27:20</t>
        </is>
      </c>
      <c r="G122" t="inlineStr">
        <is>
          <t>图文</t>
        </is>
      </c>
      <c r="H122" t="inlineStr">
        <is>
          <t>手剥虾仁 无冰衣无添加 低脂餐一人食 上班带饭 顺丰包邮 5盒装</t>
        </is>
      </c>
      <c r="I122" t="inlineStr">
        <is>
          <t>694baba01d450d00013662f0</t>
        </is>
      </c>
      <c r="J122" t="inlineStr">
        <is>
          <t/>
        </is>
      </c>
      <c r="K122" t="n">
        <v>0.0</v>
      </c>
      <c r="L122" t="n">
        <v>0.0</v>
      </c>
      <c r="M122" t="n">
        <v>15.0</v>
      </c>
      <c r="N122" t="inlineStr">
        <is>
          <t>0.13392857142857142</t>
        </is>
      </c>
      <c r="O122" t="n">
        <v>12.0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inlineStr">
        <is>
          <t/>
        </is>
      </c>
      <c r="X122" t="n">
        <v>0.0</v>
      </c>
      <c r="Y122" t="n">
        <v>2.0</v>
      </c>
      <c r="Z122" t="n">
        <v>5.0</v>
      </c>
      <c r="AA122" t="n">
        <v>0.0</v>
      </c>
      <c r="AB122" t="n">
        <v>0.0</v>
      </c>
      <c r="AC122" t="n">
        <v>0.0</v>
      </c>
      <c r="AD122" t="n">
        <v>112.0</v>
      </c>
      <c r="AE122" t="n">
        <v>1.0</v>
      </c>
      <c r="AF122" t="n">
        <v>0.0</v>
      </c>
      <c r="AG122" t="n">
        <v>0.0</v>
      </c>
      <c r="AH122" t="n">
        <v>1.0</v>
      </c>
      <c r="AI122" t="n">
        <v>0.0</v>
      </c>
      <c r="AJ122" t="n">
        <v>0.0</v>
      </c>
      <c r="AK122" t="n">
        <v>11.982142857142858</v>
      </c>
      <c r="AL122" t="inlineStr">
        <is>
          <t/>
        </is>
      </c>
    </row>
    <row r="123">
      <c r="A123" t="inlineStr">
        <is>
          <t>质疑 理解 成为…懒人带饭党</t>
        </is>
      </c>
      <c r="B123" t="inlineStr">
        <is>
          <t>69be6912000000001f002fb0</t>
        </is>
      </c>
      <c r="C123" s="122" t="n">
        <f>HYPERLINK("https://www.xiaohongshu.com/explore/69be6912000000001f002fb0?xsec_token=TBEV1jCaY14J6usHdX26xRKBFlHHt5vQDCEYPHobXPR-w=&amp;xsec_source=pc_trdark","https://www.xiaohongshu.com/explore/69be6912000000001f002fb0?xsec_token=TBEV1jCaY14J6usHdX26xRKBFlHHt5vQDCEYPHobXPR-w=&amp;xsec_source=pc_trdark")</f>
        <v>0.0</v>
      </c>
      <c r="D123" t="inlineStr">
        <is>
          <t>婉婉上班吃什么</t>
        </is>
      </c>
      <c r="E123" t="inlineStr">
        <is>
          <t>11434449706</t>
        </is>
      </c>
      <c r="F123" t="inlineStr">
        <is>
          <t>2026-03-21 17:46:58</t>
        </is>
      </c>
      <c r="G123" t="inlineStr">
        <is>
          <t>图文</t>
        </is>
      </c>
      <c r="H123" t="inlineStr">
        <is>
          <t>手剥虾仁 无冰衣无添加 低脂餐一人食 上班带饭 顺丰包邮 5盒装</t>
        </is>
      </c>
      <c r="I123" t="inlineStr">
        <is>
          <t>694baba01d450d00013662f0</t>
        </is>
      </c>
      <c r="J123" t="inlineStr">
        <is>
          <t/>
        </is>
      </c>
      <c r="K123" t="n">
        <v>0.0</v>
      </c>
      <c r="L123" t="n">
        <v>0.0</v>
      </c>
      <c r="M123" t="n">
        <v>6.0</v>
      </c>
      <c r="N123" t="inlineStr">
        <is>
          <t>0.05357142857142857</t>
        </is>
      </c>
      <c r="O123" t="n">
        <v>5.0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inlineStr">
        <is>
          <t/>
        </is>
      </c>
      <c r="X123" t="n">
        <v>0.0</v>
      </c>
      <c r="Y123" t="n">
        <v>0.0</v>
      </c>
      <c r="Z123" t="n">
        <v>3.0</v>
      </c>
      <c r="AA123" t="n">
        <v>0.0</v>
      </c>
      <c r="AB123" t="n">
        <v>0.0</v>
      </c>
      <c r="AC123" t="n">
        <v>0.0</v>
      </c>
      <c r="AD123" t="n">
        <v>112.0</v>
      </c>
      <c r="AE123" t="n">
        <v>0.0</v>
      </c>
      <c r="AF123" t="n">
        <v>0.0</v>
      </c>
      <c r="AG123" t="n">
        <v>0.0</v>
      </c>
      <c r="AH123" t="n">
        <v>4.0</v>
      </c>
      <c r="AI123" t="n">
        <v>0.0</v>
      </c>
      <c r="AJ123" t="n">
        <v>0.0</v>
      </c>
      <c r="AK123" t="n">
        <v>9.232142857142858</v>
      </c>
      <c r="AL123" t="inlineStr">
        <is>
          <t/>
        </is>
      </c>
    </row>
    <row r="124">
      <c r="A124" t="inlineStr">
        <is>
          <t>还有多少南方宝宝没吃过这个北极甜虾</t>
        </is>
      </c>
      <c r="B124" t="inlineStr">
        <is>
          <t>6982a4ac000000000a033c8c</t>
        </is>
      </c>
      <c r="C124" s="123" t="n">
        <f>HYPERLINK("https://www.xiaohongshu.com/explore/6982a4ac000000000a033c8c?xsec_token=TBRUGO98Ap-B8eSGcZxxfvdI_zbT9qm-KkSyV0Kdwpj5Q=&amp;xsec_source=pc_trdark","https://www.xiaohongshu.com/explore/6982a4ac000000000a033c8c?xsec_token=TBRUGO98Ap-B8eSGcZxxfvdI_zbT9qm-KkSyV0Kdwpj5Q=&amp;xsec_source=pc_trdark")</f>
        <v>0.0</v>
      </c>
      <c r="D124" t="inlineStr">
        <is>
          <t>鲜水湾甄选</t>
        </is>
      </c>
      <c r="E124" t="inlineStr">
        <is>
          <t>27401929161</t>
        </is>
      </c>
      <c r="F124" t="inlineStr">
        <is>
          <t>2026-02-04 09:45:16</t>
        </is>
      </c>
      <c r="G124" t="inlineStr">
        <is>
          <t>视频</t>
        </is>
      </c>
      <c r="H124" t="inlineStr">
        <is>
          <t>北极甜虾头籽甜虾元宝虾北极熊冰虾孕妈妈宝宝辅食顺丰</t>
        </is>
      </c>
      <c r="I124" t="inlineStr">
        <is>
          <t>6953717eb8f0bb000115158d</t>
        </is>
      </c>
      <c r="J124" t="n">
        <v>53.0</v>
      </c>
      <c r="K124" t="n">
        <v>0.0</v>
      </c>
      <c r="L124" t="n">
        <v>0.0</v>
      </c>
      <c r="M124" t="n">
        <v>3.0</v>
      </c>
      <c r="N124" t="inlineStr">
        <is>
          <t>0.026785714285714284</t>
        </is>
      </c>
      <c r="O124" t="n">
        <v>3.0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inlineStr">
        <is>
          <t/>
        </is>
      </c>
      <c r="X124" t="n">
        <v>0.0</v>
      </c>
      <c r="Y124" t="n">
        <v>0.0</v>
      </c>
      <c r="Z124" t="n">
        <v>1.0</v>
      </c>
      <c r="AA124" t="n">
        <v>0.0</v>
      </c>
      <c r="AB124" t="n">
        <v>0.0</v>
      </c>
      <c r="AC124" t="n">
        <v>0.0</v>
      </c>
      <c r="AD124" t="n">
        <v>112.0</v>
      </c>
      <c r="AE124" t="n">
        <v>3.0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4.223214285714286</v>
      </c>
      <c r="AL124" t="inlineStr">
        <is>
          <t>0.03333333333333333</t>
        </is>
      </c>
    </row>
    <row r="125">
      <c r="A125" t="inlineStr">
        <is>
          <t>真心建议姐妹们尝尝这个三倍体生蚝！</t>
        </is>
      </c>
      <c r="B125" t="inlineStr">
        <is>
          <t>6916983e00000000070142da</t>
        </is>
      </c>
      <c r="C125" s="124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125" t="inlineStr">
        <is>
          <t>婉婉上班吃什么</t>
        </is>
      </c>
      <c r="E125" t="inlineStr">
        <is>
          <t>11434449706</t>
        </is>
      </c>
      <c r="F125" t="inlineStr">
        <is>
          <t>2025-11-14 10:47:26</t>
        </is>
      </c>
      <c r="G125" t="inlineStr">
        <is>
          <t>视频</t>
        </is>
      </c>
      <c r="H125" t="inlineStr">
        <is>
          <t>生蚝乳山生蚝海蛎子顺丰包邮</t>
        </is>
      </c>
      <c r="I125" t="inlineStr">
        <is>
          <t>690c70971b787900010866cc</t>
        </is>
      </c>
      <c r="J125" t="n">
        <v>41.0</v>
      </c>
      <c r="K125" t="n">
        <v>0.0</v>
      </c>
      <c r="L125" t="n">
        <v>0.0</v>
      </c>
      <c r="M125" t="n">
        <v>7.0</v>
      </c>
      <c r="N125" t="inlineStr">
        <is>
          <t>0.06422018348623854</t>
        </is>
      </c>
      <c r="O125" t="n">
        <v>6.0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inlineStr">
        <is>
          <t/>
        </is>
      </c>
      <c r="X125" t="n">
        <v>0.0</v>
      </c>
      <c r="Y125" t="n">
        <v>1.0</v>
      </c>
      <c r="Z125" t="n">
        <v>2.0</v>
      </c>
      <c r="AA125" t="n">
        <v>0.0</v>
      </c>
      <c r="AB125" t="n">
        <v>0.0</v>
      </c>
      <c r="AC125" t="n">
        <v>0.0</v>
      </c>
      <c r="AD125" t="n">
        <v>109.0</v>
      </c>
      <c r="AE125" t="n">
        <v>1.0</v>
      </c>
      <c r="AF125" t="n">
        <v>1.0</v>
      </c>
      <c r="AG125" t="n">
        <v>0.0</v>
      </c>
      <c r="AH125" t="n">
        <v>2.0</v>
      </c>
      <c r="AI125" t="n">
        <v>0.0</v>
      </c>
      <c r="AJ125" t="n">
        <v>0.0</v>
      </c>
      <c r="AK125" t="n">
        <v>13.73394495412844</v>
      </c>
      <c r="AL125" t="inlineStr">
        <is>
          <t>0.12030075187969924</t>
        </is>
      </c>
    </row>
    <row r="126">
      <c r="A126" t="inlineStr">
        <is>
          <t>第一次对爬坡后吃快碳+蛋白起了敬意……</t>
        </is>
      </c>
      <c r="B126" t="inlineStr">
        <is>
          <t>69abf19e0000000022032f19</t>
        </is>
      </c>
      <c r="C126" s="125" t="n">
        <f>HYPERLINK("https://www.xiaohongshu.com/explore/69abf19e0000000022032f19?xsec_token=TBjk1R4L6FFMBESMYKkkhLfP4xlBSe6SOmPirq4V9Lu4M=&amp;xsec_source=pc_trdark","https://www.xiaohongshu.com/explore/69abf19e0000000022032f19?xsec_token=TBjk1R4L6FFMBESMYKkkhLfP4xlBSe6SOmPirq4V9Lu4M=&amp;xsec_source=pc_trdark")</f>
        <v>0.0</v>
      </c>
      <c r="D126" t="inlineStr">
        <is>
          <t>鲜水湾甄选</t>
        </is>
      </c>
      <c r="E126" t="inlineStr">
        <is>
          <t>27401929161</t>
        </is>
      </c>
      <c r="F126" t="inlineStr">
        <is>
          <t>2026-03-07 17:36:30</t>
        </is>
      </c>
      <c r="G126" t="inlineStr">
        <is>
          <t>图文</t>
        </is>
      </c>
      <c r="H126" t="inlineStr">
        <is>
          <t>手剥虾仁 无冰衣无添加 低脂餐一人食 上班带饭 顺丰包邮 5盒装</t>
        </is>
      </c>
      <c r="I126" t="inlineStr">
        <is>
          <t>694baba01d450d00013662f0</t>
        </is>
      </c>
      <c r="J126" t="inlineStr">
        <is>
          <t/>
        </is>
      </c>
      <c r="K126" t="n">
        <v>236.0</v>
      </c>
      <c r="L126" t="n">
        <v>2.0</v>
      </c>
      <c r="M126" t="n">
        <v>8.0</v>
      </c>
      <c r="N126" t="inlineStr">
        <is>
          <t>0.07407407407407407</t>
        </is>
      </c>
      <c r="O126" t="n">
        <v>7.0</v>
      </c>
      <c r="P126" t="n">
        <v>2.0</v>
      </c>
      <c r="Q126" t="n">
        <v>0.25</v>
      </c>
      <c r="R126" t="n">
        <v>0.2857142857142857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1.0</v>
      </c>
      <c r="Z126" t="n">
        <v>1.0</v>
      </c>
      <c r="AA126" t="n">
        <v>0.0</v>
      </c>
      <c r="AB126" t="n">
        <v>0.0</v>
      </c>
      <c r="AC126" t="n">
        <v>0.0</v>
      </c>
      <c r="AD126" t="n">
        <v>108.0</v>
      </c>
      <c r="AE126" t="n">
        <v>0.0</v>
      </c>
      <c r="AF126" t="n">
        <v>0.0</v>
      </c>
      <c r="AG126" t="n">
        <v>0.0</v>
      </c>
      <c r="AH126" t="n">
        <v>1.0</v>
      </c>
      <c r="AI126" t="n">
        <v>0.0</v>
      </c>
      <c r="AJ126" t="n">
        <v>0.0</v>
      </c>
      <c r="AK126" t="n">
        <v>11.972222222222221</v>
      </c>
      <c r="AL126" t="inlineStr">
        <is>
          <t/>
        </is>
      </c>
    </row>
    <row r="127">
      <c r="A127" t="inlineStr">
        <is>
          <t>控体谁还吃鸡胸肉啊，别2G网速了！！</t>
        </is>
      </c>
      <c r="B127" t="inlineStr">
        <is>
          <t>69abdb6b000000000e00dc9a</t>
        </is>
      </c>
      <c r="C127" s="126" t="n">
        <f>HYPERLINK("https://www.xiaohongshu.com/explore/69abdb6b000000000e00dc9a?xsec_token=TBjk1R4L6FFMBESMYKkkhLfEzUTu0e48-1yw_UQTojMe8=&amp;xsec_source=pc_trdark","https://www.xiaohongshu.com/explore/69abdb6b000000000e00dc9a?xsec_token=TBjk1R4L6FFMBESMYKkkhLfEzUTu0e48-1yw_UQTojMe8=&amp;xsec_source=pc_trdark")</f>
        <v>0.0</v>
      </c>
      <c r="D127" t="inlineStr">
        <is>
          <t>婉婉上班吃什么</t>
        </is>
      </c>
      <c r="E127" t="inlineStr">
        <is>
          <t>11434449706</t>
        </is>
      </c>
      <c r="F127" t="inlineStr">
        <is>
          <t>2026-03-07 16:01:47</t>
        </is>
      </c>
      <c r="G127" t="inlineStr">
        <is>
          <t>图文</t>
        </is>
      </c>
      <c r="H127" t="inlineStr">
        <is>
          <t>大虾基围虾王牌大虾厄瓜多尔白虾盐冻虾仁海洋大虾送礼顺丰包邮</t>
        </is>
      </c>
      <c r="I127" t="inlineStr">
        <is>
          <t>690aeb7be379430001e686ac</t>
        </is>
      </c>
      <c r="J127" t="inlineStr">
        <is>
          <t/>
        </is>
      </c>
      <c r="K127" t="n">
        <v>77.0</v>
      </c>
      <c r="L127" t="n">
        <v>1.0</v>
      </c>
      <c r="M127" t="n">
        <v>10.0</v>
      </c>
      <c r="N127" t="inlineStr">
        <is>
          <t>0.09259259259259259</t>
        </is>
      </c>
      <c r="O127" t="n">
        <v>10.0</v>
      </c>
      <c r="P127" t="n">
        <v>1.0</v>
      </c>
      <c r="Q127" t="n">
        <v>0.1</v>
      </c>
      <c r="R127" t="n">
        <v>0.1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4.0</v>
      </c>
      <c r="AA127" t="n">
        <v>0.0</v>
      </c>
      <c r="AB127" t="n">
        <v>0.0</v>
      </c>
      <c r="AC127" t="n">
        <v>0.0</v>
      </c>
      <c r="AD127" t="n">
        <v>108.0</v>
      </c>
      <c r="AE127" t="n">
        <v>3.0</v>
      </c>
      <c r="AF127" t="n">
        <v>0.0</v>
      </c>
      <c r="AG127" t="n">
        <v>0.0</v>
      </c>
      <c r="AH127" t="n">
        <v>1.0</v>
      </c>
      <c r="AI127" t="n">
        <v>0.0</v>
      </c>
      <c r="AJ127" t="n">
        <v>0.0</v>
      </c>
      <c r="AK127" t="n">
        <v>8.083333333333334</v>
      </c>
      <c r="AL127" t="inlineStr">
        <is>
          <t/>
        </is>
      </c>
    </row>
    <row r="128">
      <c r="A128" t="inlineStr">
        <is>
          <t>你以为我想吃吗？可它69承包我一周减脂餐🤩</t>
        </is>
      </c>
      <c r="B128" t="inlineStr">
        <is>
          <t>699bc609000000002801c462</t>
        </is>
      </c>
      <c r="C128" s="127" t="n">
        <f>HYPERLINK("https://www.xiaohongshu.com/explore/699bc609000000002801c462?xsec_token=TBp2xVuVUvhysslovKD4WEO3UPyoWcvfUaDp74o7V7L0A=&amp;xsec_source=pc_trdark","https://www.xiaohongshu.com/explore/699bc609000000002801c462?xsec_token=TBp2xVuVUvhysslovKD4WEO3UPyoWcvfUaDp74o7V7L0A=&amp;xsec_source=pc_trdark")</f>
        <v>0.0</v>
      </c>
      <c r="D128" t="inlineStr">
        <is>
          <t>鲜水湾</t>
        </is>
      </c>
      <c r="E128" t="inlineStr">
        <is>
          <t>49316638994</t>
        </is>
      </c>
      <c r="F128" t="inlineStr">
        <is>
          <t>2026-02-23 11:14:17</t>
        </is>
      </c>
      <c r="G128" t="inlineStr">
        <is>
          <t>图文</t>
        </is>
      </c>
      <c r="H128" t="inlineStr">
        <is>
          <t>大虾基围虾王牌大虾厄瓜多尔白虾盐冻虾仁海洋大虾送礼顺丰包邮</t>
        </is>
      </c>
      <c r="I128" t="inlineStr">
        <is>
          <t>690aeb7be379430001e686ac</t>
        </is>
      </c>
      <c r="J128" t="inlineStr">
        <is>
          <t/>
        </is>
      </c>
      <c r="K128" t="n">
        <v>0.0</v>
      </c>
      <c r="L128" t="n">
        <v>0.0</v>
      </c>
      <c r="M128" t="n">
        <v>31.0</v>
      </c>
      <c r="N128" t="inlineStr">
        <is>
          <t>0.28703703703703703</t>
        </is>
      </c>
      <c r="O128" t="n">
        <v>25.0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inlineStr">
        <is>
          <t/>
        </is>
      </c>
      <c r="X128" t="n">
        <v>0.0</v>
      </c>
      <c r="Y128" t="n">
        <v>2.0</v>
      </c>
      <c r="Z128" t="n">
        <v>5.0</v>
      </c>
      <c r="AA128" t="n">
        <v>0.0</v>
      </c>
      <c r="AB128" t="n">
        <v>0.0</v>
      </c>
      <c r="AC128" t="n">
        <v>0.0</v>
      </c>
      <c r="AD128" t="n">
        <v>108.0</v>
      </c>
      <c r="AE128" t="n">
        <v>1.0</v>
      </c>
      <c r="AF128" t="n">
        <v>0.0</v>
      </c>
      <c r="AG128" t="n">
        <v>1.0</v>
      </c>
      <c r="AH128" t="n">
        <v>1.0</v>
      </c>
      <c r="AI128" t="n">
        <v>1.0</v>
      </c>
      <c r="AJ128" t="n">
        <v>0.0</v>
      </c>
      <c r="AK128" t="n">
        <v>10.537037037037036</v>
      </c>
      <c r="AL128" t="inlineStr">
        <is>
          <t/>
        </is>
      </c>
    </row>
    <row r="129">
      <c r="A129" t="inlineStr">
        <is>
          <t>和老妈商量后，推出减脂小包装虾仁</t>
        </is>
      </c>
      <c r="B129" t="inlineStr">
        <is>
          <t>69c1f4ad000000001a035fed</t>
        </is>
      </c>
      <c r="C129" s="128" t="n">
        <f>HYPERLINK("https://www.xiaohongshu.com/explore/69c1f4ad000000001a035fed?xsec_token=TBltfkQyXS0u_Ko7SgIzuBYs8NINwajQsGf388jgtKFP4=&amp;xsec_source=pc_trdark","https://www.xiaohongshu.com/explore/69c1f4ad000000001a035fed?xsec_token=TBltfkQyXS0u_Ko7SgIzuBYs8NINwajQsGf388jgtKFP4=&amp;xsec_source=pc_trdark")</f>
        <v>0.0</v>
      </c>
      <c r="D129" t="inlineStr">
        <is>
          <t>鲜水湾</t>
        </is>
      </c>
      <c r="E129" t="inlineStr">
        <is>
          <t>49316638994</t>
        </is>
      </c>
      <c r="F129" t="inlineStr">
        <is>
          <t>2026-03-24 10:19:25</t>
        </is>
      </c>
      <c r="G129" t="inlineStr">
        <is>
          <t>图文</t>
        </is>
      </c>
      <c r="H129" t="inlineStr">
        <is>
          <t>手剥虾仁 无冰衣无添加 低脂餐一人食 上班带饭 顺丰包邮 5盒装</t>
        </is>
      </c>
      <c r="I129" t="inlineStr">
        <is>
          <t>694baba01d450d00013662f0</t>
        </is>
      </c>
      <c r="J129" t="inlineStr">
        <is>
          <t/>
        </is>
      </c>
      <c r="K129" t="n">
        <v>138.0</v>
      </c>
      <c r="L129" t="n">
        <v>2.0</v>
      </c>
      <c r="M129" t="n">
        <v>39.0</v>
      </c>
      <c r="N129" t="inlineStr">
        <is>
          <t>0.36792452830188677</t>
        </is>
      </c>
      <c r="O129" t="n">
        <v>36.0</v>
      </c>
      <c r="P129" t="n">
        <v>2.0</v>
      </c>
      <c r="Q129" t="inlineStr">
        <is>
          <t>0.05128205128205128</t>
        </is>
      </c>
      <c r="R129" t="inlineStr">
        <is>
          <t>0.05555555555555555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6.0</v>
      </c>
      <c r="Z129" t="n">
        <v>10.0</v>
      </c>
      <c r="AA129" t="n">
        <v>69.0</v>
      </c>
      <c r="AB129" t="n">
        <v>0.0</v>
      </c>
      <c r="AC129" t="n">
        <v>0.0</v>
      </c>
      <c r="AD129" t="n">
        <v>106.0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13.462264150943396</v>
      </c>
      <c r="AL129" t="inlineStr">
        <is>
          <t/>
        </is>
      </c>
    </row>
    <row r="130">
      <c r="A130" t="inlineStr">
        <is>
          <t>我家虾仁不够🔥吗，怎么还有人吃保水剂虾仁</t>
        </is>
      </c>
      <c r="B130" t="inlineStr">
        <is>
          <t>69bd0e38000000001e00f1df</t>
        </is>
      </c>
      <c r="C130" s="129" t="n">
        <f>HYPERLINK("https://www.xiaohongshu.com/explore/69bd0e38000000001e00f1df?xsec_token=TBRwbx0S6Y78qN5wWC1_PyBLDT-KQfH6MBsWulSozVQdo=&amp;xsec_source=pc_trdark","https://www.xiaohongshu.com/explore/69bd0e38000000001e00f1df?xsec_token=TBRwbx0S6Y78qN5wWC1_PyBLDT-KQfH6MBsWulSozVQdo=&amp;xsec_source=pc_trdark")</f>
        <v>0.0</v>
      </c>
      <c r="D130" t="inlineStr">
        <is>
          <t>鲜水湾</t>
        </is>
      </c>
      <c r="E130" t="inlineStr">
        <is>
          <t>49316638994</t>
        </is>
      </c>
      <c r="F130" t="inlineStr">
        <is>
          <t>2026-03-20 17:07:04</t>
        </is>
      </c>
      <c r="G130" t="inlineStr">
        <is>
          <t>图文</t>
        </is>
      </c>
      <c r="H130" t="inlineStr">
        <is>
          <t>手剥虾仁 无冰衣无添加 低脂餐一人食 上班带饭 顺丰包邮 5盒装</t>
        </is>
      </c>
      <c r="I130" t="inlineStr">
        <is>
          <t>694baba01d450d00013662f0</t>
        </is>
      </c>
      <c r="J130" t="inlineStr">
        <is>
          <t/>
        </is>
      </c>
      <c r="K130" t="n">
        <v>138.0</v>
      </c>
      <c r="L130" t="n">
        <v>2.0</v>
      </c>
      <c r="M130" t="n">
        <v>24.0</v>
      </c>
      <c r="N130" t="inlineStr">
        <is>
          <t>0.22641509433962265</t>
        </is>
      </c>
      <c r="O130" t="n">
        <v>20.0</v>
      </c>
      <c r="P130" t="n">
        <v>2.0</v>
      </c>
      <c r="Q130" t="inlineStr">
        <is>
          <t>0.08333333333333333</t>
        </is>
      </c>
      <c r="R130" t="n">
        <v>0.1</v>
      </c>
      <c r="S130" t="n">
        <v>64.0</v>
      </c>
      <c r="T130" t="n">
        <v>1.0</v>
      </c>
      <c r="U130" t="n">
        <v>1.0</v>
      </c>
      <c r="V130" t="n">
        <v>64.0</v>
      </c>
      <c r="W130" t="n">
        <v>0.463768115942029</v>
      </c>
      <c r="X130" t="n">
        <v>1.0</v>
      </c>
      <c r="Y130" t="n">
        <v>1.0</v>
      </c>
      <c r="Z130" t="n">
        <v>10.0</v>
      </c>
      <c r="AA130" t="n">
        <v>0.0</v>
      </c>
      <c r="AB130" t="n">
        <v>0.0</v>
      </c>
      <c r="AC130" t="n">
        <v>0.0</v>
      </c>
      <c r="AD130" t="n">
        <v>106.0</v>
      </c>
      <c r="AE130" t="n">
        <v>0.0</v>
      </c>
      <c r="AF130" t="n">
        <v>1.0</v>
      </c>
      <c r="AG130" t="n">
        <v>1.0</v>
      </c>
      <c r="AH130" t="n">
        <v>3.0</v>
      </c>
      <c r="AI130" t="n">
        <v>0.0</v>
      </c>
      <c r="AJ130" t="n">
        <v>0.0</v>
      </c>
      <c r="AK130" t="n">
        <v>11.235849056603774</v>
      </c>
      <c r="AL130" t="inlineStr">
        <is>
          <t/>
        </is>
      </c>
    </row>
    <row r="131">
      <c r="A131" t="inlineStr">
        <is>
          <t>和老爸商量后，推出春日减脂一人食🍤</t>
        </is>
      </c>
      <c r="B131" t="inlineStr">
        <is>
          <t>69b94607000000001a035b94</t>
        </is>
      </c>
      <c r="C131" s="130" t="n">
        <f>HYPERLINK("https://www.xiaohongshu.com/explore/69b94607000000001a035b94?xsec_token=TBgv0wN35T_w0yZx7fmvlvfJoR_pDxBMUke9Fy6OCxewU=&amp;xsec_source=pc_trdark","https://www.xiaohongshu.com/explore/69b94607000000001a035b94?xsec_token=TBgv0wN35T_w0yZx7fmvlvfJoR_pDxBMUke9Fy6OCxewU=&amp;xsec_source=pc_trdark")</f>
        <v>0.0</v>
      </c>
      <c r="D131" t="inlineStr">
        <is>
          <t>鲜水湾</t>
        </is>
      </c>
      <c r="E131" t="inlineStr">
        <is>
          <t>49316638994</t>
        </is>
      </c>
      <c r="F131" t="inlineStr">
        <is>
          <t>2026-03-17 20:16:07</t>
        </is>
      </c>
      <c r="G131" t="inlineStr">
        <is>
          <t>图文</t>
        </is>
      </c>
      <c r="H131" t="inlineStr">
        <is>
          <t>手剥虾仁 无冰衣无添加 低脂餐一人食 上班带饭 顺丰包邮 5盒装</t>
        </is>
      </c>
      <c r="I131" t="inlineStr">
        <is>
          <t>694baba01d450d00013662f0</t>
        </is>
      </c>
      <c r="J131" t="inlineStr">
        <is>
          <t/>
        </is>
      </c>
      <c r="K131" t="n">
        <v>138.0</v>
      </c>
      <c r="L131" t="n">
        <v>2.0</v>
      </c>
      <c r="M131" t="n">
        <v>17.0</v>
      </c>
      <c r="N131" t="inlineStr">
        <is>
          <t>0.16037735849056603</t>
        </is>
      </c>
      <c r="O131" t="n">
        <v>15.0</v>
      </c>
      <c r="P131" t="n">
        <v>2.0</v>
      </c>
      <c r="Q131" t="inlineStr">
        <is>
          <t>0.11764705882352941</t>
        </is>
      </c>
      <c r="R131" t="inlineStr">
        <is>
          <t>0.13333333333333333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3.0</v>
      </c>
      <c r="Z131" t="n">
        <v>0.0</v>
      </c>
      <c r="AA131" t="n">
        <v>0.0</v>
      </c>
      <c r="AB131" t="n">
        <v>0.0</v>
      </c>
      <c r="AC131" t="n">
        <v>0.0</v>
      </c>
      <c r="AD131" t="n">
        <v>106.0</v>
      </c>
      <c r="AE131" t="n">
        <v>4.0</v>
      </c>
      <c r="AF131" t="n">
        <v>0.0</v>
      </c>
      <c r="AG131" t="n">
        <v>0.0</v>
      </c>
      <c r="AH131" t="n">
        <v>2.0</v>
      </c>
      <c r="AI131" t="n">
        <v>0.0</v>
      </c>
      <c r="AJ131" t="n">
        <v>0.0</v>
      </c>
      <c r="AK131" t="n">
        <v>10.452830188679245</v>
      </c>
      <c r="AL131" t="inlineStr">
        <is>
          <t/>
        </is>
      </c>
    </row>
    <row r="132">
      <c r="A132" t="inlineStr">
        <is>
          <t>不要低估50💰的购买力，敞开吃吧……</t>
        </is>
      </c>
      <c r="B132" t="inlineStr">
        <is>
          <t>6916f37a00000000050114f9</t>
        </is>
      </c>
      <c r="C132" s="131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132" t="inlineStr">
        <is>
          <t>婉婉上班吃什么</t>
        </is>
      </c>
      <c r="E132" t="inlineStr">
        <is>
          <t>11434449706</t>
        </is>
      </c>
      <c r="F132" t="inlineStr">
        <is>
          <t>2025-11-14 18:16:26</t>
        </is>
      </c>
      <c r="G132" t="inlineStr">
        <is>
          <t>视频</t>
        </is>
      </c>
      <c r="H132" t="inlineStr">
        <is>
          <t>生蚝乳山生蚝海蛎子顺丰包邮</t>
        </is>
      </c>
      <c r="I132" t="inlineStr">
        <is>
          <t>690c70971b787900010866cc</t>
        </is>
      </c>
      <c r="J132" t="n">
        <v>23.0</v>
      </c>
      <c r="K132" t="n">
        <v>109.9</v>
      </c>
      <c r="L132" t="n">
        <v>1.0</v>
      </c>
      <c r="M132" t="n">
        <v>11.0</v>
      </c>
      <c r="N132" t="inlineStr">
        <is>
          <t>0.10377358490566038</t>
        </is>
      </c>
      <c r="O132" t="n">
        <v>7.0</v>
      </c>
      <c r="P132" t="n">
        <v>1.0</v>
      </c>
      <c r="Q132" t="inlineStr">
        <is>
          <t>0.09090909090909091</t>
        </is>
      </c>
      <c r="R132" t="inlineStr">
        <is>
          <t>0.14285714285714285</t>
        </is>
      </c>
      <c r="S132" t="n">
        <v>0.0</v>
      </c>
      <c r="T132" t="n">
        <v>0.0</v>
      </c>
      <c r="U132" t="n">
        <v>0.0</v>
      </c>
      <c r="V132" t="n">
        <v>109.9</v>
      </c>
      <c r="W132" t="n">
        <v>1.0</v>
      </c>
      <c r="X132" t="n">
        <v>1.0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106.0</v>
      </c>
      <c r="AE132" t="n">
        <v>0.0</v>
      </c>
      <c r="AF132" t="n">
        <v>0.0</v>
      </c>
      <c r="AG132" t="n">
        <v>10.0</v>
      </c>
      <c r="AH132" t="n">
        <v>0.0</v>
      </c>
      <c r="AI132" t="n">
        <v>0.0</v>
      </c>
      <c r="AJ132" t="n">
        <v>0.0</v>
      </c>
      <c r="AK132" t="n">
        <v>9.245283018867925</v>
      </c>
      <c r="AL132" t="inlineStr">
        <is>
          <t>0.15503875968992248</t>
        </is>
      </c>
    </row>
    <row r="133">
      <c r="A133" t="inlineStr">
        <is>
          <t>一个撑死人但热量很低的东西</t>
        </is>
      </c>
      <c r="B133" t="inlineStr">
        <is>
          <t>69ba6cb50000000023017bb2</t>
        </is>
      </c>
      <c r="C133" s="132" t="n">
        <f>HYPERLINK("https://www.xiaohongshu.com/explore/69ba6cb50000000023017bb2?xsec_token=TBgJVNruMKjnZKfHBYiZtZCbDEFG21wadrI4DirotV-R4=&amp;xsec_source=pc_trdark","https://www.xiaohongshu.com/explore/69ba6cb50000000023017bb2?xsec_token=TBgJVNruMKjnZKfHBYiZtZCbDEFG21wadrI4DirotV-R4=&amp;xsec_source=pc_trdark")</f>
        <v>0.0</v>
      </c>
      <c r="D133" t="inlineStr">
        <is>
          <t>鲜水湾</t>
        </is>
      </c>
      <c r="E133" t="inlineStr">
        <is>
          <t>49316638994</t>
        </is>
      </c>
      <c r="F133" t="inlineStr">
        <is>
          <t>2026-03-18 17:13:25</t>
        </is>
      </c>
      <c r="G133" t="inlineStr">
        <is>
          <t>图文</t>
        </is>
      </c>
      <c r="H133" t="inlineStr">
        <is>
          <t>手剥虾仁 无冰衣无添加 低脂餐一人食 上班带饭 顺丰包邮 5盒装</t>
        </is>
      </c>
      <c r="I133" t="inlineStr">
        <is>
          <t>694baba01d450d00013662f0</t>
        </is>
      </c>
      <c r="J133" t="inlineStr">
        <is>
          <t/>
        </is>
      </c>
      <c r="K133" t="n">
        <v>0.0</v>
      </c>
      <c r="L133" t="n">
        <v>0.0</v>
      </c>
      <c r="M133" t="n">
        <v>4.0</v>
      </c>
      <c r="N133" t="n">
        <v>0.0380952380952381</v>
      </c>
      <c r="O133" t="n">
        <v>4.0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inlineStr">
        <is>
          <t/>
        </is>
      </c>
      <c r="X133" t="n">
        <v>0.0</v>
      </c>
      <c r="Y133" t="n">
        <v>0.0</v>
      </c>
      <c r="Z133" t="n">
        <v>4.0</v>
      </c>
      <c r="AA133" t="n">
        <v>0.0</v>
      </c>
      <c r="AB133" t="n">
        <v>0.0</v>
      </c>
      <c r="AC133" t="n">
        <v>0.0</v>
      </c>
      <c r="AD133" t="n">
        <v>105.0</v>
      </c>
      <c r="AE133" t="n">
        <v>1.0</v>
      </c>
      <c r="AF133" t="n">
        <v>0.0</v>
      </c>
      <c r="AG133" t="n">
        <v>0.0</v>
      </c>
      <c r="AH133" t="n">
        <v>2.0</v>
      </c>
      <c r="AI133" t="n">
        <v>0.0</v>
      </c>
      <c r="AJ133" t="n">
        <v>0.0</v>
      </c>
      <c r="AK133" t="n">
        <v>6.019047619047619</v>
      </c>
      <c r="AL133" t="inlineStr">
        <is>
          <t/>
        </is>
      </c>
    </row>
    <row r="134">
      <c r="A134" t="inlineStr">
        <is>
          <t>泪水打湿减脂餐！这虾仁怎么能这么好吃啊！！</t>
        </is>
      </c>
      <c r="B134" t="inlineStr">
        <is>
          <t>69b912070000000020039d0b</t>
        </is>
      </c>
      <c r="C134" s="133" t="n">
        <f>HYPERLINK("https://www.xiaohongshu.com/explore/69b912070000000020039d0b?xsec_token=TBgv0wN35T_w0yZx7fmvlvfOAzXEHPbOtPNqdMKGrTUMg=&amp;xsec_source=pc_trdark","https://www.xiaohongshu.com/explore/69b912070000000020039d0b?xsec_token=TBgv0wN35T_w0yZx7fmvlvfOAzXEHPbOtPNqdMKGrTUMg=&amp;xsec_source=pc_trdark")</f>
        <v>0.0</v>
      </c>
      <c r="D134" t="inlineStr">
        <is>
          <t>婉婉上班吃什么</t>
        </is>
      </c>
      <c r="E134" t="inlineStr">
        <is>
          <t>11434449706</t>
        </is>
      </c>
      <c r="F134" t="inlineStr">
        <is>
          <t>2026-03-17 16:34:15</t>
        </is>
      </c>
      <c r="G134" t="inlineStr">
        <is>
          <t>图文</t>
        </is>
      </c>
      <c r="H134" t="inlineStr">
        <is>
          <t>手剥虾仁 无冰衣无添加 低脂餐一人食 上班带饭 顺丰包邮 5盒装</t>
        </is>
      </c>
      <c r="I134" t="inlineStr">
        <is>
          <t>694baba01d450d00013662f0</t>
        </is>
      </c>
      <c r="J134" t="inlineStr">
        <is>
          <t/>
        </is>
      </c>
      <c r="K134" t="n">
        <v>207.0</v>
      </c>
      <c r="L134" t="n">
        <v>3.0</v>
      </c>
      <c r="M134" t="n">
        <v>14.0</v>
      </c>
      <c r="N134" t="inlineStr">
        <is>
          <t>0.13333333333333333</t>
        </is>
      </c>
      <c r="O134" t="n">
        <v>11.0</v>
      </c>
      <c r="P134" t="n">
        <v>3.0</v>
      </c>
      <c r="Q134" t="inlineStr">
        <is>
          <t>0.21428571428571427</t>
        </is>
      </c>
      <c r="R134" t="n">
        <v>0.2727272727272727</v>
      </c>
      <c r="S134" t="n">
        <v>69.0</v>
      </c>
      <c r="T134" t="n">
        <v>1.0</v>
      </c>
      <c r="U134" t="n">
        <v>1.0</v>
      </c>
      <c r="V134" t="n">
        <v>69.0</v>
      </c>
      <c r="W134" t="n">
        <v>0.3333333333333333</v>
      </c>
      <c r="X134" t="n">
        <v>1.0</v>
      </c>
      <c r="Y134" t="n">
        <v>2.0</v>
      </c>
      <c r="Z134" t="n">
        <v>0.0</v>
      </c>
      <c r="AA134" t="n">
        <v>0.0</v>
      </c>
      <c r="AB134" t="n">
        <v>0.0</v>
      </c>
      <c r="AC134" t="n">
        <v>0.0</v>
      </c>
      <c r="AD134" t="n">
        <v>105.0</v>
      </c>
      <c r="AE134" t="n">
        <v>1.0</v>
      </c>
      <c r="AF134" t="n">
        <v>1.0</v>
      </c>
      <c r="AG134" t="n">
        <v>0.0</v>
      </c>
      <c r="AH134" t="n">
        <v>2.0</v>
      </c>
      <c r="AI134" t="n">
        <v>0.0</v>
      </c>
      <c r="AJ134" t="n">
        <v>0.0</v>
      </c>
      <c r="AK134" t="n">
        <v>10.571428571428571</v>
      </c>
      <c r="AL134" t="inlineStr">
        <is>
          <t/>
        </is>
      </c>
    </row>
    <row r="135">
      <c r="A135" t="inlineStr">
        <is>
          <t>减脂期姐妹听我的，都去吃这个！真的超饱腹！</t>
        </is>
      </c>
      <c r="B135" t="inlineStr">
        <is>
          <t>69c8d773000000001f0005b2</t>
        </is>
      </c>
      <c r="C135" s="134" t="n">
        <f>HYPERLINK("https://www.xiaohongshu.com/explore/69c8d773000000001f0005b2?xsec_token=TBSs0bsvi6YGXB042lLCz_JEHHYVRRl_YW01WgkIFg0U4=&amp;xsec_source=pc_trdark","https://www.xiaohongshu.com/explore/69c8d773000000001f0005b2?xsec_token=TBSs0bsvi6YGXB042lLCz_JEHHYVRRl_YW01WgkIFg0U4=&amp;xsec_source=pc_trdark")</f>
        <v>0.0</v>
      </c>
      <c r="D135" t="inlineStr">
        <is>
          <t>婉婉上班吃什么</t>
        </is>
      </c>
      <c r="E135" t="inlineStr">
        <is>
          <t>11434449706</t>
        </is>
      </c>
      <c r="F135" t="inlineStr">
        <is>
          <t>2026-03-29 15:40:35</t>
        </is>
      </c>
      <c r="G135" t="inlineStr">
        <is>
          <t>图文</t>
        </is>
      </c>
      <c r="H135" t="inlineStr">
        <is>
          <t>手剥虾仁 无冰衣无添加 低脂餐一人食 上班带饭 顺丰包邮 5盒装</t>
        </is>
      </c>
      <c r="I135" t="inlineStr">
        <is>
          <t>694baba01d450d00013662f0</t>
        </is>
      </c>
      <c r="J135" t="inlineStr">
        <is>
          <t/>
        </is>
      </c>
      <c r="K135" t="n">
        <v>0.0</v>
      </c>
      <c r="L135" t="n">
        <v>0.0</v>
      </c>
      <c r="M135" t="n">
        <v>8.0</v>
      </c>
      <c r="N135" t="inlineStr">
        <is>
          <t>0.07692307692307693</t>
        </is>
      </c>
      <c r="O135" t="n">
        <v>7.0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inlineStr">
        <is>
          <t/>
        </is>
      </c>
      <c r="X135" t="n">
        <v>0.0</v>
      </c>
      <c r="Y135" t="n">
        <v>2.0</v>
      </c>
      <c r="Z135" t="n">
        <v>3.0</v>
      </c>
      <c r="AA135" t="n">
        <v>0.0</v>
      </c>
      <c r="AB135" t="n">
        <v>0.0</v>
      </c>
      <c r="AC135" t="n">
        <v>0.0</v>
      </c>
      <c r="AD135" t="n">
        <v>104.0</v>
      </c>
      <c r="AE135" t="n">
        <v>2.0</v>
      </c>
      <c r="AF135" t="n">
        <v>0.0</v>
      </c>
      <c r="AG135" t="n">
        <v>0.0</v>
      </c>
      <c r="AH135" t="n">
        <v>3.0</v>
      </c>
      <c r="AI135" t="n">
        <v>0.0</v>
      </c>
      <c r="AJ135" t="n">
        <v>0.0</v>
      </c>
      <c r="AK135" t="n">
        <v>11.682692307692308</v>
      </c>
      <c r="AL135" t="inlineStr">
        <is>
          <t/>
        </is>
      </c>
    </row>
    <row r="136">
      <c r="A136" t="inlineStr">
        <is>
          <t>山东大生蚝肥了！49.9五斤顺丰包邮到家</t>
        </is>
      </c>
      <c r="B136" t="inlineStr">
        <is>
          <t>6940ef3c000000001e02c2f8</t>
        </is>
      </c>
      <c r="C136" s="135" t="n">
        <f>HYPERLINK("https://www.xiaohongshu.com/explore/6940ef3c000000001e02c2f8?xsec_token=TBzm36tUj4jhogPihZGtakWUx_qiRbauHFRKJ3QaYzcoQ=&amp;xsec_source=pc_trdark","https://www.xiaohongshu.com/explore/6940ef3c000000001e02c2f8?xsec_token=TBzm36tUj4jhogPihZGtakWUx_qiRbauHFRKJ3QaYzcoQ=&amp;xsec_source=pc_trdark")</f>
        <v>0.0</v>
      </c>
      <c r="D136" t="inlineStr">
        <is>
          <t>婉婉上班吃什么</t>
        </is>
      </c>
      <c r="E136" t="inlineStr">
        <is>
          <t>11434449706</t>
        </is>
      </c>
      <c r="F136" t="inlineStr">
        <is>
          <t>2025-12-16 13:33:48</t>
        </is>
      </c>
      <c r="G136" t="inlineStr">
        <is>
          <t>视频</t>
        </is>
      </c>
      <c r="H136" t="inlineStr">
        <is>
          <t>生蚝乳山生蚝海蛎子顺丰包邮</t>
        </is>
      </c>
      <c r="I136" t="inlineStr">
        <is>
          <t>690c70971b787900010866cc</t>
        </is>
      </c>
      <c r="J136" t="n">
        <v>21.0</v>
      </c>
      <c r="K136" t="n">
        <v>0.0</v>
      </c>
      <c r="L136" t="n">
        <v>0.0</v>
      </c>
      <c r="M136" t="n">
        <v>5.0</v>
      </c>
      <c r="N136" t="inlineStr">
        <is>
          <t>0.04807692307692308</t>
        </is>
      </c>
      <c r="O136" t="n">
        <v>5.0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inlineStr">
        <is>
          <t/>
        </is>
      </c>
      <c r="X136" t="n">
        <v>0.0</v>
      </c>
      <c r="Y136" t="n">
        <v>0.0</v>
      </c>
      <c r="Z136" t="n">
        <v>1.0</v>
      </c>
      <c r="AA136" t="n">
        <v>0.0</v>
      </c>
      <c r="AB136" t="n">
        <v>0.0</v>
      </c>
      <c r="AC136" t="n">
        <v>0.0</v>
      </c>
      <c r="AD136" t="n">
        <v>104.0</v>
      </c>
      <c r="AE136" t="n">
        <v>1.0</v>
      </c>
      <c r="AF136" t="n">
        <v>0.0</v>
      </c>
      <c r="AG136" t="n">
        <v>0.0</v>
      </c>
      <c r="AH136" t="n">
        <v>1.0</v>
      </c>
      <c r="AI136" t="n">
        <v>0.0</v>
      </c>
      <c r="AJ136" t="n">
        <v>0.0</v>
      </c>
      <c r="AK136" t="n">
        <v>13.01923076923077</v>
      </c>
      <c r="AL136" t="n">
        <v>0.2781456953642384</v>
      </c>
    </row>
    <row r="137">
      <c r="A137" t="inlineStr">
        <is>
          <t>这么大的生蚝你能吃几只？</t>
        </is>
      </c>
      <c r="B137" t="inlineStr">
        <is>
          <t>6925cf4b000000001e03bc4d</t>
        </is>
      </c>
      <c r="C137" s="136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137" t="inlineStr">
        <is>
          <t>婉婉上班吃什么</t>
        </is>
      </c>
      <c r="E137" t="inlineStr">
        <is>
          <t>11434449706</t>
        </is>
      </c>
      <c r="F137" t="inlineStr">
        <is>
          <t>2025-11-25 23:46:19</t>
        </is>
      </c>
      <c r="G137" t="inlineStr">
        <is>
          <t>视频</t>
        </is>
      </c>
      <c r="H137" t="inlineStr">
        <is>
          <t>生蚝乳山生蚝海蛎子顺丰包邮</t>
        </is>
      </c>
      <c r="I137" t="inlineStr">
        <is>
          <t>690c70971b787900010866cc</t>
        </is>
      </c>
      <c r="J137" t="n">
        <v>16.0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inlineStr">
        <is>
          <t/>
        </is>
      </c>
      <c r="R137" t="inlineStr">
        <is>
          <t/>
        </is>
      </c>
      <c r="S137" t="n">
        <v>0.0</v>
      </c>
      <c r="T137" t="n">
        <v>0.0</v>
      </c>
      <c r="U137" t="n">
        <v>0.0</v>
      </c>
      <c r="V137" t="n">
        <v>0.0</v>
      </c>
      <c r="W137" t="inlineStr">
        <is>
          <t/>
        </is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104.0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6.086538461538462</v>
      </c>
      <c r="AL137" t="n">
        <v>0.1951219512195122</v>
      </c>
    </row>
    <row r="138">
      <c r="A138" t="inlineStr">
        <is>
          <t>奉劝现在的年轻人不要低估了300块的购买力</t>
        </is>
      </c>
      <c r="B138" t="inlineStr">
        <is>
          <t>69cb66cb000000002301e83e</t>
        </is>
      </c>
      <c r="C138" s="137" t="n">
        <f>HYPERLINK("https://www.xiaohongshu.com/explore/69cb66cb000000002301e83e?xsec_token=TBNvk7eB588c7ey-qUUMF7OcS_34viNJs3ybS2LcMYE_U=&amp;xsec_source=pc_trdark","https://www.xiaohongshu.com/explore/69cb66cb000000002301e83e?xsec_token=TBNvk7eB588c7ey-qUUMF7OcS_34viNJs3ybS2LcMYE_U=&amp;xsec_source=pc_trdark")</f>
        <v>0.0</v>
      </c>
      <c r="D138" t="inlineStr">
        <is>
          <t>婉婉上班吃什么</t>
        </is>
      </c>
      <c r="E138" t="inlineStr">
        <is>
          <t>11434449706</t>
        </is>
      </c>
      <c r="F138" t="inlineStr">
        <is>
          <t>2026-03-31 14:16:43</t>
        </is>
      </c>
      <c r="G138" t="inlineStr">
        <is>
          <t>图文</t>
        </is>
      </c>
      <c r="H138" t="inlineStr">
        <is>
          <t>智利三文鱼切块·整条三文鱼·深海鱼一人食健康饮食</t>
        </is>
      </c>
      <c r="I138" t="inlineStr">
        <is>
          <t>691ac562a524ee0001b51d7b</t>
        </is>
      </c>
      <c r="J138" t="inlineStr">
        <is>
          <t/>
        </is>
      </c>
      <c r="K138" t="n">
        <v>396.0</v>
      </c>
      <c r="L138" t="n">
        <v>2.0</v>
      </c>
      <c r="M138" t="n">
        <v>18.0</v>
      </c>
      <c r="N138" t="inlineStr">
        <is>
          <t>0.17475728155339806</t>
        </is>
      </c>
      <c r="O138" t="n">
        <v>17.0</v>
      </c>
      <c r="P138" t="n">
        <v>2.0</v>
      </c>
      <c r="Q138" t="n">
        <v>0.1111111111111111</v>
      </c>
      <c r="R138" t="inlineStr">
        <is>
          <t>0.11764705882352941</t>
        </is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4.0</v>
      </c>
      <c r="Z138" t="n">
        <v>9.0</v>
      </c>
      <c r="AA138" t="n">
        <v>0.0</v>
      </c>
      <c r="AB138" t="n">
        <v>0.0</v>
      </c>
      <c r="AC138" t="n">
        <v>0.0</v>
      </c>
      <c r="AD138" t="n">
        <v>103.0</v>
      </c>
      <c r="AE138" t="n">
        <v>1.0</v>
      </c>
      <c r="AF138" t="n">
        <v>0.0</v>
      </c>
      <c r="AG138" t="n">
        <v>0.0</v>
      </c>
      <c r="AH138" t="n">
        <v>3.0</v>
      </c>
      <c r="AI138" t="n">
        <v>0.0</v>
      </c>
      <c r="AJ138" t="n">
        <v>0.0</v>
      </c>
      <c r="AK138" t="n">
        <v>12.844660194174757</v>
      </c>
      <c r="AL138" t="inlineStr">
        <is>
          <t/>
        </is>
      </c>
    </row>
    <row r="139">
      <c r="A139" t="inlineStr">
        <is>
          <t>教大家一个订婚前15天瘦骨感巨屌的tips</t>
        </is>
      </c>
      <c r="B139" t="inlineStr">
        <is>
          <t>69c8c5ed000000001a036ea7</t>
        </is>
      </c>
      <c r="C139" s="138" t="n">
        <f>HYPERLINK("https://www.xiaohongshu.com/explore/69c8c5ed000000001a036ea7?xsec_token=TBSs0bsvi6YGXB042lLCz_JAtAdzT2WCUkvkIxLXDLMXY=&amp;xsec_source=pc_trdark","https://www.xiaohongshu.com/explore/69c8c5ed000000001a036ea7?xsec_token=TBSs0bsvi6YGXB042lLCz_JAtAdzT2WCUkvkIxLXDLMXY=&amp;xsec_source=pc_trdark")</f>
        <v>0.0</v>
      </c>
      <c r="D139" t="inlineStr">
        <is>
          <t>菲菲上班吃什么</t>
        </is>
      </c>
      <c r="E139" t="inlineStr">
        <is>
          <t>49936530607</t>
        </is>
      </c>
      <c r="F139" t="inlineStr">
        <is>
          <t>2026-03-29 14:25:49</t>
        </is>
      </c>
      <c r="G139" t="inlineStr">
        <is>
          <t>图文</t>
        </is>
      </c>
      <c r="H139" t="inlineStr">
        <is>
          <t>手剥虾仁 无冰衣无添加 低脂餐一人食 上班带饭 顺丰包邮 5盒装</t>
        </is>
      </c>
      <c r="I139" t="inlineStr">
        <is>
          <t>694baba01d450d00013662f0</t>
        </is>
      </c>
      <c r="J139" t="inlineStr">
        <is>
          <t/>
        </is>
      </c>
      <c r="K139" t="n">
        <v>138.0</v>
      </c>
      <c r="L139" t="n">
        <v>2.0</v>
      </c>
      <c r="M139" t="n">
        <v>9.0</v>
      </c>
      <c r="N139" t="inlineStr">
        <is>
          <t>0.08737864077669903</t>
        </is>
      </c>
      <c r="O139" t="n">
        <v>9.0</v>
      </c>
      <c r="P139" t="n">
        <v>2.0</v>
      </c>
      <c r="Q139" t="n">
        <v>0.2222222222222222</v>
      </c>
      <c r="R139" t="n">
        <v>0.2222222222222222</v>
      </c>
      <c r="S139" t="n">
        <v>62.0</v>
      </c>
      <c r="T139" t="n">
        <v>1.0</v>
      </c>
      <c r="U139" t="n">
        <v>1.0</v>
      </c>
      <c r="V139" t="n">
        <v>62.0</v>
      </c>
      <c r="W139" t="n">
        <v>0.4492753623188406</v>
      </c>
      <c r="X139" t="n">
        <v>1.0</v>
      </c>
      <c r="Y139" t="n">
        <v>2.0</v>
      </c>
      <c r="Z139" t="n">
        <v>2.0</v>
      </c>
      <c r="AA139" t="n">
        <v>0.0</v>
      </c>
      <c r="AB139" t="n">
        <v>0.0</v>
      </c>
      <c r="AC139" t="n">
        <v>0.0</v>
      </c>
      <c r="AD139" t="n">
        <v>103.0</v>
      </c>
      <c r="AE139" t="n">
        <v>2.0</v>
      </c>
      <c r="AF139" t="n">
        <v>1.0</v>
      </c>
      <c r="AG139" t="n">
        <v>0.0</v>
      </c>
      <c r="AH139" t="n">
        <v>1.0</v>
      </c>
      <c r="AI139" t="n">
        <v>0.0</v>
      </c>
      <c r="AJ139" t="n">
        <v>0.0</v>
      </c>
      <c r="AK139" t="n">
        <v>11.058252427184467</v>
      </c>
      <c r="AL139" t="inlineStr">
        <is>
          <t/>
        </is>
      </c>
    </row>
    <row r="140">
      <c r="A140" t="inlineStr">
        <is>
          <t>懂货的姐妹很多，不要总想着买便宜虾仁</t>
        </is>
      </c>
      <c r="B140" t="inlineStr">
        <is>
          <t>69bcad5f000000002202a466</t>
        </is>
      </c>
      <c r="C140" s="139" t="n">
        <f>HYPERLINK("https://www.xiaohongshu.com/explore/69bcad5f000000002202a466?xsec_token=TBfIJFVzszocpn5U7ogutYTQQ7NQpU09XtAY4jyEL8T28=&amp;xsec_source=pc_trdark","https://www.xiaohongshu.com/explore/69bcad5f000000002202a466?xsec_token=TBfIJFVzszocpn5U7ogutYTQQ7NQpU09XtAY4jyEL8T28=&amp;xsec_source=pc_trdark")</f>
        <v>0.0</v>
      </c>
      <c r="D140" t="inlineStr">
        <is>
          <t>鲜水湾</t>
        </is>
      </c>
      <c r="E140" t="inlineStr">
        <is>
          <t>49316638994</t>
        </is>
      </c>
      <c r="F140" t="inlineStr">
        <is>
          <t>2026-03-20 10:13:51</t>
        </is>
      </c>
      <c r="G140" t="inlineStr">
        <is>
          <t>图文</t>
        </is>
      </c>
      <c r="H140" t="inlineStr">
        <is>
          <t>手剥虾仁 无冰衣无添加 低脂餐一人食 上班带饭 顺丰包邮 5盒装</t>
        </is>
      </c>
      <c r="I140" t="inlineStr">
        <is>
          <t>694baba01d450d00013662f0</t>
        </is>
      </c>
      <c r="J140" t="inlineStr">
        <is>
          <t/>
        </is>
      </c>
      <c r="K140" t="n">
        <v>178.0</v>
      </c>
      <c r="L140" t="n">
        <v>1.0</v>
      </c>
      <c r="M140" t="n">
        <v>23.0</v>
      </c>
      <c r="N140" t="inlineStr">
        <is>
          <t>0.22772277227722773</t>
        </is>
      </c>
      <c r="O140" t="n">
        <v>17.0</v>
      </c>
      <c r="P140" t="n">
        <v>1.0</v>
      </c>
      <c r="Q140" t="inlineStr">
        <is>
          <t>0.043478260869565216</t>
        </is>
      </c>
      <c r="R140" t="inlineStr">
        <is>
          <t>0.058823529411764705</t>
        </is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6.0</v>
      </c>
      <c r="Z140" t="n">
        <v>3.0</v>
      </c>
      <c r="AA140" t="n">
        <v>0.0</v>
      </c>
      <c r="AB140" t="n">
        <v>0.0</v>
      </c>
      <c r="AC140" t="n">
        <v>0.0</v>
      </c>
      <c r="AD140" t="n">
        <v>101.0</v>
      </c>
      <c r="AE140" t="n">
        <v>1.0</v>
      </c>
      <c r="AF140" t="n">
        <v>1.0</v>
      </c>
      <c r="AG140" t="n">
        <v>0.0</v>
      </c>
      <c r="AH140" t="n">
        <v>2.0</v>
      </c>
      <c r="AI140" t="n">
        <v>0.0</v>
      </c>
      <c r="AJ140" t="n">
        <v>0.0</v>
      </c>
      <c r="AK140" t="n">
        <v>12.128712871287128</v>
      </c>
      <c r="AL140" t="inlineStr">
        <is>
          <t/>
        </is>
      </c>
    </row>
    <row r="141">
      <c r="A141" t="inlineStr">
        <is>
          <t>某姆对不起，我移情这个一人食大虾仁了！🍤</t>
        </is>
      </c>
      <c r="B141" t="inlineStr">
        <is>
          <t>69bbe546000000001f0000ea</t>
        </is>
      </c>
      <c r="C141" s="140" t="n">
        <f>HYPERLINK("https://www.xiaohongshu.com/explore/69bbe546000000001f0000ea?xsec_token=TBbjiHoA30T3IRnkbtYIm1O-OLltaFji99JgmbCIl7rZU=&amp;xsec_source=pc_trdark","https://www.xiaohongshu.com/explore/69bbe546000000001f0000ea?xsec_token=TBbjiHoA30T3IRnkbtYIm1O-OLltaFji99JgmbCIl7rZU=&amp;xsec_source=pc_trdark")</f>
        <v>0.0</v>
      </c>
      <c r="D141" t="inlineStr">
        <is>
          <t>鲜水湾</t>
        </is>
      </c>
      <c r="E141" t="inlineStr">
        <is>
          <t>49316638994</t>
        </is>
      </c>
      <c r="F141" t="inlineStr">
        <is>
          <t>2026-03-19 20:00:06</t>
        </is>
      </c>
      <c r="G141" t="inlineStr">
        <is>
          <t>图文</t>
        </is>
      </c>
      <c r="H141" t="inlineStr">
        <is>
          <t>手剥虾仁 无冰衣无添加 低脂餐一人食 上班带饭 顺丰包邮 5盒装</t>
        </is>
      </c>
      <c r="I141" t="inlineStr">
        <is>
          <t>694baba01d450d00013662f0</t>
        </is>
      </c>
      <c r="J141" t="inlineStr">
        <is>
          <t/>
        </is>
      </c>
      <c r="K141" t="n">
        <v>69.0</v>
      </c>
      <c r="L141" t="n">
        <v>1.0</v>
      </c>
      <c r="M141" t="n">
        <v>12.0</v>
      </c>
      <c r="N141" t="n">
        <v>0.12</v>
      </c>
      <c r="O141" t="n">
        <v>11.0</v>
      </c>
      <c r="P141" t="n">
        <v>1.0</v>
      </c>
      <c r="Q141" t="inlineStr">
        <is>
          <t>0.08333333333333333</t>
        </is>
      </c>
      <c r="R141" t="inlineStr">
        <is>
          <t>0.09090909090909091</t>
        </is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4.0</v>
      </c>
      <c r="Z141" t="n">
        <v>4.0</v>
      </c>
      <c r="AA141" t="n">
        <v>0.0</v>
      </c>
      <c r="AB141" t="n">
        <v>0.0</v>
      </c>
      <c r="AC141" t="n">
        <v>0.0</v>
      </c>
      <c r="AD141" t="n">
        <v>100.0</v>
      </c>
      <c r="AE141" t="n">
        <v>2.0</v>
      </c>
      <c r="AF141" t="n">
        <v>0.0</v>
      </c>
      <c r="AG141" t="n">
        <v>0.0</v>
      </c>
      <c r="AH141" t="n">
        <v>2.0</v>
      </c>
      <c r="AI141" t="n">
        <v>0.0</v>
      </c>
      <c r="AJ141" t="n">
        <v>0.0</v>
      </c>
      <c r="AK141" t="n">
        <v>10.53</v>
      </c>
      <c r="AL141" t="inlineStr">
        <is>
          <t/>
        </is>
      </c>
    </row>
    <row r="142">
      <c r="A142" t="inlineStr">
        <is>
          <t>真的低估了100来块的购买力，够我吃一周了</t>
        </is>
      </c>
      <c r="B142" t="inlineStr">
        <is>
          <t>69b8b8120000000028008e86</t>
        </is>
      </c>
      <c r="C142" s="141" t="n">
        <f>HYPERLINK("https://www.xiaohongshu.com/explore/69b8b8120000000028008e86?xsec_token=TBfbAEHpo8FSFeopDu7XYUioMTvwdlatWBttBE2SHNgR0=&amp;xsec_source=pc_trdark","https://www.xiaohongshu.com/explore/69b8b8120000000028008e86?xsec_token=TBfbAEHpo8FSFeopDu7XYUioMTvwdlatWBttBE2SHNgR0=&amp;xsec_source=pc_trdark")</f>
        <v>0.0</v>
      </c>
      <c r="D142" t="inlineStr">
        <is>
          <t>鲜水湾</t>
        </is>
      </c>
      <c r="E142" t="inlineStr">
        <is>
          <t>49316638994</t>
        </is>
      </c>
      <c r="F142" t="inlineStr">
        <is>
          <t>2026-03-17 10:10:26</t>
        </is>
      </c>
      <c r="G142" t="inlineStr">
        <is>
          <t>图文</t>
        </is>
      </c>
      <c r="H142" t="inlineStr">
        <is>
          <t>手剥虾仁 无冰衣无添加 低脂餐一人食 上班带饭 顺丰包邮 5盒装</t>
        </is>
      </c>
      <c r="I142" t="inlineStr">
        <is>
          <t>694baba01d450d00013662f0</t>
        </is>
      </c>
      <c r="J142" t="inlineStr">
        <is>
          <t/>
        </is>
      </c>
      <c r="K142" t="n">
        <v>138.0</v>
      </c>
      <c r="L142" t="n">
        <v>2.0</v>
      </c>
      <c r="M142" t="n">
        <v>15.0</v>
      </c>
      <c r="N142" t="n">
        <v>0.15</v>
      </c>
      <c r="O142" t="n">
        <v>14.0</v>
      </c>
      <c r="P142" t="n">
        <v>2.0</v>
      </c>
      <c r="Q142" t="inlineStr">
        <is>
          <t>0.13333333333333333</t>
        </is>
      </c>
      <c r="R142" t="inlineStr">
        <is>
          <t>0.14285714285714285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2.0</v>
      </c>
      <c r="Z142" t="n">
        <v>1.0</v>
      </c>
      <c r="AA142" t="n">
        <v>0.0</v>
      </c>
      <c r="AB142" t="n">
        <v>0.0</v>
      </c>
      <c r="AC142" t="n">
        <v>0.0</v>
      </c>
      <c r="AD142" t="n">
        <v>100.0</v>
      </c>
      <c r="AE142" t="n">
        <v>0.0</v>
      </c>
      <c r="AF142" t="n">
        <v>0.0</v>
      </c>
      <c r="AG142" t="n">
        <v>0.0</v>
      </c>
      <c r="AH142" t="n">
        <v>2.0</v>
      </c>
      <c r="AI142" t="n">
        <v>0.0</v>
      </c>
      <c r="AJ142" t="n">
        <v>0.0</v>
      </c>
      <c r="AK142" t="n">
        <v>18.2</v>
      </c>
      <c r="AL142" t="inlineStr">
        <is>
          <t/>
        </is>
      </c>
    </row>
    <row r="143">
      <c r="A143" t="inlineStr">
        <is>
          <t>上班带饭，区区69元够我吃一周了</t>
        </is>
      </c>
      <c r="B143" t="inlineStr">
        <is>
          <t>69b27fef000000002800b95f</t>
        </is>
      </c>
      <c r="C143" s="142" t="n">
        <f>HYPERLINK("https://www.xiaohongshu.com/explore/69b27fef000000002800b95f?xsec_token=TB020mu_sDtHEgaPvBWpjWuZ7uADq-KqcGMXpZTXdpYS0=&amp;xsec_source=pc_trdark","https://www.xiaohongshu.com/explore/69b27fef000000002800b95f?xsec_token=TB020mu_sDtHEgaPvBWpjWuZ7uADq-KqcGMXpZTXdpYS0=&amp;xsec_source=pc_trdark")</f>
        <v>0.0</v>
      </c>
      <c r="D143" t="inlineStr">
        <is>
          <t>鲜水湾</t>
        </is>
      </c>
      <c r="E143" t="inlineStr">
        <is>
          <t>49316638994</t>
        </is>
      </c>
      <c r="F143" t="inlineStr">
        <is>
          <t>2026-03-12 16:57:19</t>
        </is>
      </c>
      <c r="G143" t="inlineStr">
        <is>
          <t>图文</t>
        </is>
      </c>
      <c r="H143" t="inlineStr">
        <is>
          <t>大虾基围虾王牌大虾厄瓜多尔白虾盐冻虾仁海洋大虾送礼顺丰包邮</t>
        </is>
      </c>
      <c r="I143" t="inlineStr">
        <is>
          <t>690aeb7be379430001e686ac</t>
        </is>
      </c>
      <c r="J143" t="inlineStr">
        <is>
          <t/>
        </is>
      </c>
      <c r="K143" t="n">
        <v>0.0</v>
      </c>
      <c r="L143" t="n">
        <v>0.0</v>
      </c>
      <c r="M143" t="n">
        <v>9.0</v>
      </c>
      <c r="N143" t="n">
        <v>0.09</v>
      </c>
      <c r="O143" t="n">
        <v>8.0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inlineStr">
        <is>
          <t/>
        </is>
      </c>
      <c r="X143" t="n">
        <v>0.0</v>
      </c>
      <c r="Y143" t="n">
        <v>1.0</v>
      </c>
      <c r="Z143" t="n">
        <v>0.0</v>
      </c>
      <c r="AA143" t="n">
        <v>0.0</v>
      </c>
      <c r="AB143" t="n">
        <v>0.0</v>
      </c>
      <c r="AC143" t="n">
        <v>0.0</v>
      </c>
      <c r="AD143" t="n">
        <v>100.0</v>
      </c>
      <c r="AE143" t="n">
        <v>2.0</v>
      </c>
      <c r="AF143" t="n">
        <v>0.0</v>
      </c>
      <c r="AG143" t="n">
        <v>0.0</v>
      </c>
      <c r="AH143" t="n">
        <v>1.0</v>
      </c>
      <c r="AI143" t="n">
        <v>0.0</v>
      </c>
      <c r="AJ143" t="n">
        <v>0.0</v>
      </c>
      <c r="AK143" t="n">
        <v>11.59</v>
      </c>
      <c r="AL143" t="inlineStr">
        <is>
          <t/>
        </is>
      </c>
    </row>
    <row r="144">
      <c r="A144" t="inlineStr">
        <is>
          <t>算了不劝了……69一盒已是底线</t>
        </is>
      </c>
      <c r="B144" t="inlineStr">
        <is>
          <t>69a798ad000000000e03ca72</t>
        </is>
      </c>
      <c r="C144" s="143" t="n">
        <f>HYPERLINK("https://www.xiaohongshu.com/explore/69a798ad000000000e03ca72?xsec_token=TBfaHJOfbObHzNAqAc3bkGMxh-awWnzDU9S2sjWcB9UGQ=&amp;xsec_source=pc_trdark","https://www.xiaohongshu.com/explore/69a798ad000000000e03ca72?xsec_token=TBfaHJOfbObHzNAqAc3bkGMxh-awWnzDU9S2sjWcB9UGQ=&amp;xsec_source=pc_trdark")</f>
        <v>0.0</v>
      </c>
      <c r="D144" t="inlineStr">
        <is>
          <t>鲜水湾</t>
        </is>
      </c>
      <c r="E144" t="inlineStr">
        <is>
          <t>49316638994</t>
        </is>
      </c>
      <c r="F144" t="inlineStr">
        <is>
          <t>2026-03-04 10:27:57</t>
        </is>
      </c>
      <c r="G144" t="inlineStr">
        <is>
          <t>图文</t>
        </is>
      </c>
      <c r="H144" t="inlineStr">
        <is>
          <t>大虾基围虾王牌大虾厄瓜多尔白虾盐冻虾仁海洋大虾送礼顺丰包邮</t>
        </is>
      </c>
      <c r="I144" t="inlineStr">
        <is>
          <t>690aeb7be379430001e686ac</t>
        </is>
      </c>
      <c r="J144" t="inlineStr">
        <is>
          <t/>
        </is>
      </c>
      <c r="K144" t="n">
        <v>158.0</v>
      </c>
      <c r="L144" t="n">
        <v>1.0</v>
      </c>
      <c r="M144" t="n">
        <v>25.0</v>
      </c>
      <c r="N144" t="n">
        <v>0.25</v>
      </c>
      <c r="O144" t="n">
        <v>22.0</v>
      </c>
      <c r="P144" t="n">
        <v>1.0</v>
      </c>
      <c r="Q144" t="n">
        <v>0.04</v>
      </c>
      <c r="R144" t="inlineStr">
        <is>
          <t>0.045454545454545456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6.0</v>
      </c>
      <c r="Z144" t="n">
        <v>0.0</v>
      </c>
      <c r="AA144" t="n">
        <v>0.0</v>
      </c>
      <c r="AB144" t="n">
        <v>0.0</v>
      </c>
      <c r="AC144" t="n">
        <v>0.0</v>
      </c>
      <c r="AD144" t="n">
        <v>100.0</v>
      </c>
      <c r="AE144" t="n">
        <v>1.0</v>
      </c>
      <c r="AF144" t="n">
        <v>0.0</v>
      </c>
      <c r="AG144" t="n">
        <v>0.0</v>
      </c>
      <c r="AH144" t="n">
        <v>2.0</v>
      </c>
      <c r="AI144" t="n">
        <v>0.0</v>
      </c>
      <c r="AJ144" t="n">
        <v>0.0</v>
      </c>
      <c r="AK144" t="n">
        <v>8.88</v>
      </c>
      <c r="AL144" t="inlineStr">
        <is>
          <t/>
        </is>
      </c>
    </row>
    <row r="145">
      <c r="A145" t="inlineStr">
        <is>
          <t>控体后才知道，干净饮食可以这么省钱</t>
        </is>
      </c>
      <c r="B145" t="inlineStr">
        <is>
          <t>69aee3fb000000000e03cf07</t>
        </is>
      </c>
      <c r="C145" s="144" t="n">
        <f>HYPERLINK("https://www.xiaohongshu.com/explore/69aee3fb000000000e03cf07?xsec_token=TBy3i3TfmyKE7XGojG_cT9hcnfyMavqkpT5hxDZZeV_yY=&amp;xsec_source=pc_trdark","https://www.xiaohongshu.com/explore/69aee3fb000000000e03cf07?xsec_token=TBy3i3TfmyKE7XGojG_cT9hcnfyMavqkpT5hxDZZeV_yY=&amp;xsec_source=pc_trdark")</f>
        <v>0.0</v>
      </c>
      <c r="D145" t="inlineStr">
        <is>
          <t>鲜水湾</t>
        </is>
      </c>
      <c r="E145" t="inlineStr">
        <is>
          <t>49316638994</t>
        </is>
      </c>
      <c r="F145" t="inlineStr">
        <is>
          <t>2026-03-09 23:15:07</t>
        </is>
      </c>
      <c r="G145" t="inlineStr">
        <is>
          <t>图文</t>
        </is>
      </c>
      <c r="H145" t="inlineStr">
        <is>
          <t>大虾基围虾王牌大虾厄瓜多尔白虾盐冻虾仁海洋大虾送礼顺丰包邮</t>
        </is>
      </c>
      <c r="I145" t="inlineStr">
        <is>
          <t>690aeb7be379430001e686ac</t>
        </is>
      </c>
      <c r="J145" t="inlineStr">
        <is>
          <t/>
        </is>
      </c>
      <c r="K145" t="n">
        <v>0.0</v>
      </c>
      <c r="L145" t="n">
        <v>0.0</v>
      </c>
      <c r="M145" t="n">
        <v>9.0</v>
      </c>
      <c r="N145" t="inlineStr">
        <is>
          <t>0.09090909090909091</t>
        </is>
      </c>
      <c r="O145" t="n">
        <v>9.0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inlineStr">
        <is>
          <t/>
        </is>
      </c>
      <c r="X145" t="n">
        <v>0.0</v>
      </c>
      <c r="Y145" t="n">
        <v>2.0</v>
      </c>
      <c r="Z145" t="n">
        <v>2.0</v>
      </c>
      <c r="AA145" t="n">
        <v>0.0</v>
      </c>
      <c r="AB145" t="n">
        <v>0.0</v>
      </c>
      <c r="AC145" t="n">
        <v>0.0</v>
      </c>
      <c r="AD145" t="n">
        <v>99.0</v>
      </c>
      <c r="AE145" t="n">
        <v>2.0</v>
      </c>
      <c r="AF145" t="n">
        <v>0.0</v>
      </c>
      <c r="AG145" t="n">
        <v>0.0</v>
      </c>
      <c r="AH145" t="n">
        <v>3.0</v>
      </c>
      <c r="AI145" t="n">
        <v>0.0</v>
      </c>
      <c r="AJ145" t="n">
        <v>0.0</v>
      </c>
      <c r="AK145" t="n">
        <v>9.404040404040405</v>
      </c>
      <c r="AL145" t="inlineStr">
        <is>
          <t/>
        </is>
      </c>
    </row>
    <row r="146">
      <c r="A146" t="inlineStr">
        <is>
          <t>区区58元，承包了我一周减脂的快乐</t>
        </is>
      </c>
      <c r="B146" t="inlineStr">
        <is>
          <t>69abf821000000001a033c09</t>
        </is>
      </c>
      <c r="C146" s="145" t="n">
        <f>HYPERLINK("https://www.xiaohongshu.com/explore/69abf821000000001a033c09?xsec_token=TBjk1R4L6FFMBESMYKkkhLfKNmP8OVYuf9hxq2Fn_wVNE=&amp;xsec_source=pc_trdark","https://www.xiaohongshu.com/explore/69abf821000000001a033c09?xsec_token=TBjk1R4L6FFMBESMYKkkhLfKNmP8OVYuf9hxq2Fn_wVNE=&amp;xsec_source=pc_trdark")</f>
        <v>0.0</v>
      </c>
      <c r="D146" t="inlineStr">
        <is>
          <t>鲜水湾</t>
        </is>
      </c>
      <c r="E146" t="inlineStr">
        <is>
          <t>49316638994</t>
        </is>
      </c>
      <c r="F146" t="inlineStr">
        <is>
          <t>2026-03-07 18:04:17</t>
        </is>
      </c>
      <c r="G146" t="inlineStr">
        <is>
          <t>图文</t>
        </is>
      </c>
      <c r="H146" t="inlineStr">
        <is>
          <t>手剥虾仁 无冰衣无添加 低脂餐一人食 上班带饭 顺丰包邮 5盒装</t>
        </is>
      </c>
      <c r="I146" t="inlineStr">
        <is>
          <t>694baba01d450d00013662f0</t>
        </is>
      </c>
      <c r="J146" t="inlineStr">
        <is>
          <t/>
        </is>
      </c>
      <c r="K146" t="n">
        <v>154.0</v>
      </c>
      <c r="L146" t="n">
        <v>2.0</v>
      </c>
      <c r="M146" t="n">
        <v>44.0</v>
      </c>
      <c r="N146" t="n">
        <v>0.4489795918367347</v>
      </c>
      <c r="O146" t="n">
        <v>35.0</v>
      </c>
      <c r="P146" t="n">
        <v>2.0</v>
      </c>
      <c r="Q146" t="inlineStr">
        <is>
          <t>0.045454545454545456</t>
        </is>
      </c>
      <c r="R146" t="inlineStr">
        <is>
          <t>0.05714285714285714</t>
        </is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8.0</v>
      </c>
      <c r="Z146" t="n">
        <v>1.0</v>
      </c>
      <c r="AA146" t="n">
        <v>0.0</v>
      </c>
      <c r="AB146" t="n">
        <v>0.0</v>
      </c>
      <c r="AC146" t="n">
        <v>0.0</v>
      </c>
      <c r="AD146" t="n">
        <v>98.0</v>
      </c>
      <c r="AE146" t="n">
        <v>2.0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12.193877551020408</v>
      </c>
      <c r="AL146" t="inlineStr">
        <is>
          <t/>
        </is>
      </c>
    </row>
    <row r="147">
      <c r="A147" t="inlineStr">
        <is>
          <t>老爸：你就49.9五斤总会出单的</t>
        </is>
      </c>
      <c r="B147" t="inlineStr">
        <is>
          <t>69699d9a000000001a01c003</t>
        </is>
      </c>
      <c r="C147" s="146" t="n">
        <f>HYPERLINK("https://www.xiaohongshu.com/explore/69699d9a000000001a01c003?xsec_token=TBrfrRU4wM2w5bDKUviah5T2PhBAVzaWRQTOplttkH1Jk=&amp;xsec_source=pc_trdark","https://www.xiaohongshu.com/explore/69699d9a000000001a01c003?xsec_token=TBrfrRU4wM2w5bDKUviah5T2PhBAVzaWRQTOplttkH1Jk=&amp;xsec_source=pc_trdark")</f>
        <v>0.0</v>
      </c>
      <c r="D147" t="inlineStr">
        <is>
          <t>婉婉上班吃什么</t>
        </is>
      </c>
      <c r="E147" t="inlineStr">
        <is>
          <t>11434449706</t>
        </is>
      </c>
      <c r="F147" t="inlineStr">
        <is>
          <t>2026-01-16 10:08:26</t>
        </is>
      </c>
      <c r="G147" t="inlineStr">
        <is>
          <t>视频</t>
        </is>
      </c>
      <c r="H147" t="inlineStr">
        <is>
          <t>生蚝乳山生蚝海蛎子顺丰包邮</t>
        </is>
      </c>
      <c r="I147" t="inlineStr">
        <is>
          <t>690c70971b787900010866cc</t>
        </is>
      </c>
      <c r="J147" t="n">
        <v>22.0</v>
      </c>
      <c r="K147" t="n">
        <v>0.0</v>
      </c>
      <c r="L147" t="n">
        <v>0.0</v>
      </c>
      <c r="M147" t="n">
        <v>2.0</v>
      </c>
      <c r="N147" t="inlineStr">
        <is>
          <t>0.02040816326530612</t>
        </is>
      </c>
      <c r="O147" t="n">
        <v>2.0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inlineStr">
        <is>
          <t/>
        </is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98.0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4.551020408163265</v>
      </c>
      <c r="AL147" t="n">
        <v>0.09</v>
      </c>
    </row>
    <row r="148">
      <c r="A148" t="inlineStr">
        <is>
          <t>节后不挨饿也能稳稳⬇️！小基数亲测巨管用</t>
        </is>
      </c>
      <c r="B148" t="inlineStr">
        <is>
          <t>69be578f0000000020039b18</t>
        </is>
      </c>
      <c r="C148" s="147" t="n">
        <f>HYPERLINK("https://www.xiaohongshu.com/explore/69be578f0000000020039b18?xsec_token=TBEV1jCaY14J6usHdX26xRKNaj7MyCTqa6lHpu4sDS8zc=&amp;xsec_source=pc_trdark","https://www.xiaohongshu.com/explore/69be578f0000000020039b18?xsec_token=TBEV1jCaY14J6usHdX26xRKNaj7MyCTqa6lHpu4sDS8zc=&amp;xsec_source=pc_trdark")</f>
        <v>0.0</v>
      </c>
      <c r="D148" t="inlineStr">
        <is>
          <t>婉婉上班吃什么</t>
        </is>
      </c>
      <c r="E148" t="inlineStr">
        <is>
          <t>11434449706</t>
        </is>
      </c>
      <c r="F148" t="inlineStr">
        <is>
          <t>2026-03-21 16:32:15</t>
        </is>
      </c>
      <c r="G148" t="inlineStr">
        <is>
          <t>图文</t>
        </is>
      </c>
      <c r="H148" t="inlineStr">
        <is>
          <t>手剥虾仁 无冰衣无添加 低脂餐一人食 上班带饭 顺丰包邮 5盒装</t>
        </is>
      </c>
      <c r="I148" t="inlineStr">
        <is>
          <t>694baba01d450d00013662f0</t>
        </is>
      </c>
      <c r="J148" t="inlineStr">
        <is>
          <t/>
        </is>
      </c>
      <c r="K148" t="n">
        <v>0.0</v>
      </c>
      <c r="L148" t="n">
        <v>0.0</v>
      </c>
      <c r="M148" t="n">
        <v>15.0</v>
      </c>
      <c r="N148" t="inlineStr">
        <is>
          <t>0.15463917525773196</t>
        </is>
      </c>
      <c r="O148" t="n">
        <v>13.0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inlineStr">
        <is>
          <t/>
        </is>
      </c>
      <c r="X148" t="n">
        <v>0.0</v>
      </c>
      <c r="Y148" t="n">
        <v>5.0</v>
      </c>
      <c r="Z148" t="n">
        <v>3.0</v>
      </c>
      <c r="AA148" t="n">
        <v>0.0</v>
      </c>
      <c r="AB148" t="n">
        <v>0.0</v>
      </c>
      <c r="AC148" t="n">
        <v>0.0</v>
      </c>
      <c r="AD148" t="n">
        <v>97.0</v>
      </c>
      <c r="AE148" t="n">
        <v>2.0</v>
      </c>
      <c r="AF148" t="n">
        <v>0.0</v>
      </c>
      <c r="AG148" t="n">
        <v>0.0</v>
      </c>
      <c r="AH148" t="n">
        <v>2.0</v>
      </c>
      <c r="AI148" t="n">
        <v>0.0</v>
      </c>
      <c r="AJ148" t="n">
        <v>0.0</v>
      </c>
      <c r="AK148" t="n">
        <v>13.804123711340207</v>
      </c>
      <c r="AL148" t="inlineStr">
        <is>
          <t/>
        </is>
      </c>
    </row>
    <row r="149">
      <c r="A149" t="inlineStr">
        <is>
          <t>区区69块钱，竟解决了我一周上班带饭</t>
        </is>
      </c>
      <c r="B149" t="inlineStr">
        <is>
          <t>69c7c42a000000002202a5e9</t>
        </is>
      </c>
      <c r="C149" s="148" t="n">
        <f>HYPERLINK("https://www.xiaohongshu.com/explore/69c7c42a000000002202a5e9?xsec_token=TBjgiIXsiAVvD6hXoSGvhcA7sv8RavFdpIw4gV6dwo5OM=&amp;xsec_source=pc_trdark","https://www.xiaohongshu.com/explore/69c7c42a000000002202a5e9?xsec_token=TBjgiIXsiAVvD6hXoSGvhcA7sv8RavFdpIw4gV6dwo5OM=&amp;xsec_source=pc_trdark")</f>
        <v>0.0</v>
      </c>
      <c r="D149" t="inlineStr">
        <is>
          <t>婉婉上班吃什么</t>
        </is>
      </c>
      <c r="E149" t="inlineStr">
        <is>
          <t>11434449706</t>
        </is>
      </c>
      <c r="F149" t="inlineStr">
        <is>
          <t>2026-03-28 20:06:02</t>
        </is>
      </c>
      <c r="G149" t="inlineStr">
        <is>
          <t>图文</t>
        </is>
      </c>
      <c r="H149" t="inlineStr">
        <is>
          <t>手剥虾仁 无冰衣无添加 低脂餐一人食 上班带饭 顺丰包邮 5盒装</t>
        </is>
      </c>
      <c r="I149" t="inlineStr">
        <is>
          <t>694baba01d450d00013662f0</t>
        </is>
      </c>
      <c r="J149" t="inlineStr">
        <is>
          <t/>
        </is>
      </c>
      <c r="K149" t="n">
        <v>0.0</v>
      </c>
      <c r="L149" t="n">
        <v>0.0</v>
      </c>
      <c r="M149" t="n">
        <v>12.0</v>
      </c>
      <c r="N149" t="n">
        <v>0.125</v>
      </c>
      <c r="O149" t="n">
        <v>9.0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inlineStr">
        <is>
          <t/>
        </is>
      </c>
      <c r="X149" t="n">
        <v>0.0</v>
      </c>
      <c r="Y149" t="n">
        <v>3.0</v>
      </c>
      <c r="Z149" t="n">
        <v>1.0</v>
      </c>
      <c r="AA149" t="n">
        <v>0.0</v>
      </c>
      <c r="AB149" t="n">
        <v>0.0</v>
      </c>
      <c r="AC149" t="n">
        <v>0.0</v>
      </c>
      <c r="AD149" t="n">
        <v>96.0</v>
      </c>
      <c r="AE149" t="n">
        <v>0.0</v>
      </c>
      <c r="AF149" t="n">
        <v>0.0</v>
      </c>
      <c r="AG149" t="n">
        <v>0.0</v>
      </c>
      <c r="AH149" t="n">
        <v>1.0</v>
      </c>
      <c r="AI149" t="n">
        <v>0.0</v>
      </c>
      <c r="AJ149" t="n">
        <v>0.0</v>
      </c>
      <c r="AK149" t="n">
        <v>17.739583333333332</v>
      </c>
      <c r="AL149" t="inlineStr">
        <is>
          <t/>
        </is>
      </c>
    </row>
    <row r="150">
      <c r="A150" t="inlineStr">
        <is>
          <t>爸妈对我于我每天吃一碗虾仁表示很奢侈…</t>
        </is>
      </c>
      <c r="B150" t="inlineStr">
        <is>
          <t>69bd624d000000002003b666</t>
        </is>
      </c>
      <c r="C150" s="149" t="n">
        <f>HYPERLINK("https://www.xiaohongshu.com/explore/69bd624d000000002003b666?xsec_token=TBRwbx0S6Y78qN5wWC1_PyBE4Oj0S4yC8EPQWHC1dRHn8=&amp;xsec_source=pc_trdark","https://www.xiaohongshu.com/explore/69bd624d000000002003b666?xsec_token=TBRwbx0S6Y78qN5wWC1_PyBE4Oj0S4yC8EPQWHC1dRHn8=&amp;xsec_source=pc_trdark")</f>
        <v>0.0</v>
      </c>
      <c r="D150" t="inlineStr">
        <is>
          <t>菲菲上班吃什么</t>
        </is>
      </c>
      <c r="E150" t="inlineStr">
        <is>
          <t>49936530607</t>
        </is>
      </c>
      <c r="F150" t="inlineStr">
        <is>
          <t>2026-03-20 23:05:49</t>
        </is>
      </c>
      <c r="G150" t="inlineStr">
        <is>
          <t>图文</t>
        </is>
      </c>
      <c r="H150" t="inlineStr">
        <is>
          <t>手剥虾仁 无冰衣无添加 低脂餐一人食 上班带饭 顺丰包邮 5盒装</t>
        </is>
      </c>
      <c r="I150" t="inlineStr">
        <is>
          <t>694baba01d450d00013662f0</t>
        </is>
      </c>
      <c r="J150" t="inlineStr">
        <is>
          <t/>
        </is>
      </c>
      <c r="K150" t="n">
        <v>0.0</v>
      </c>
      <c r="L150" t="n">
        <v>0.0</v>
      </c>
      <c r="M150" t="n">
        <v>17.0</v>
      </c>
      <c r="N150" t="inlineStr">
        <is>
          <t>0.17708333333333334</t>
        </is>
      </c>
      <c r="O150" t="n">
        <v>13.0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inlineStr">
        <is>
          <t/>
        </is>
      </c>
      <c r="X150" t="n">
        <v>0.0</v>
      </c>
      <c r="Y150" t="n">
        <v>0.0</v>
      </c>
      <c r="Z150" t="n">
        <v>2.0</v>
      </c>
      <c r="AA150" t="n">
        <v>0.0</v>
      </c>
      <c r="AB150" t="n">
        <v>0.0</v>
      </c>
      <c r="AC150" t="n">
        <v>0.0</v>
      </c>
      <c r="AD150" t="n">
        <v>96.0</v>
      </c>
      <c r="AE150" t="n">
        <v>3.0</v>
      </c>
      <c r="AF150" t="n">
        <v>1.0</v>
      </c>
      <c r="AG150" t="n">
        <v>2.0</v>
      </c>
      <c r="AH150" t="n">
        <v>1.0</v>
      </c>
      <c r="AI150" t="n">
        <v>0.0</v>
      </c>
      <c r="AJ150" t="n">
        <v>0.0</v>
      </c>
      <c r="AK150" t="n">
        <v>11.041666666666666</v>
      </c>
      <c r="AL150" t="inlineStr">
        <is>
          <t/>
        </is>
      </c>
    </row>
    <row r="151">
      <c r="A151" t="inlineStr">
        <is>
          <t>2030大虾到底什么意思？不懂就先不要买</t>
        </is>
      </c>
      <c r="B151" t="inlineStr">
        <is>
          <t>69ac2c3c000000001a01e13f</t>
        </is>
      </c>
      <c r="C151" s="150" t="n">
        <f>HYPERLINK("https://www.xiaohongshu.com/explore/69ac2c3c000000001a01e13f?xsec_token=TBJgc9C9Zxv_xTZMGIz7T6c_9DdzPAH_ZyB93aHuSH6hA=&amp;xsec_source=pc_trdark","https://www.xiaohongshu.com/explore/69ac2c3c000000001a01e13f?xsec_token=TBJgc9C9Zxv_xTZMGIz7T6c_9DdzPAH_ZyB93aHuSH6hA=&amp;xsec_source=pc_trdark")</f>
        <v>0.0</v>
      </c>
      <c r="D151" t="inlineStr">
        <is>
          <t>鲜水湾</t>
        </is>
      </c>
      <c r="E151" t="inlineStr">
        <is>
          <t>49316638994</t>
        </is>
      </c>
      <c r="F151" t="inlineStr">
        <is>
          <t>2026-03-07 21:46:36</t>
        </is>
      </c>
      <c r="G151" t="inlineStr">
        <is>
          <t>图文</t>
        </is>
      </c>
      <c r="H151" t="inlineStr">
        <is>
          <t>大虾基围虾王牌大虾厄瓜多尔白虾盐冻虾仁海洋大虾送礼顺丰包邮</t>
        </is>
      </c>
      <c r="I151" t="inlineStr">
        <is>
          <t>690aeb7be379430001e686ac</t>
        </is>
      </c>
      <c r="J151" t="inlineStr">
        <is>
          <t/>
        </is>
      </c>
      <c r="K151" t="n">
        <v>77.0</v>
      </c>
      <c r="L151" t="n">
        <v>1.0</v>
      </c>
      <c r="M151" t="n">
        <v>20.0</v>
      </c>
      <c r="N151" t="inlineStr">
        <is>
          <t>0.20833333333333334</t>
        </is>
      </c>
      <c r="O151" t="n">
        <v>18.0</v>
      </c>
      <c r="P151" t="n">
        <v>1.0</v>
      </c>
      <c r="Q151" t="n">
        <v>0.05</v>
      </c>
      <c r="R151" t="inlineStr">
        <is>
          <t>0.05555555555555555</t>
        </is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1.0</v>
      </c>
      <c r="Z151" t="n">
        <v>4.0</v>
      </c>
      <c r="AA151" t="n">
        <v>0.0</v>
      </c>
      <c r="AB151" t="n">
        <v>0.0</v>
      </c>
      <c r="AC151" t="n">
        <v>0.0</v>
      </c>
      <c r="AD151" t="n">
        <v>96.0</v>
      </c>
      <c r="AE151" t="n">
        <v>1.0</v>
      </c>
      <c r="AF151" t="n">
        <v>0.0</v>
      </c>
      <c r="AG151" t="n">
        <v>0.0</v>
      </c>
      <c r="AH151" t="n">
        <v>2.0</v>
      </c>
      <c r="AI151" t="n">
        <v>0.0</v>
      </c>
      <c r="AJ151" t="n">
        <v>0.0</v>
      </c>
      <c r="AK151" t="n">
        <v>10.010416666666666</v>
      </c>
      <c r="AL151" t="inlineStr">
        <is>
          <t/>
        </is>
      </c>
    </row>
    <row r="152">
      <c r="A152" t="inlineStr">
        <is>
          <t>59.9r到手5斤，大小一个价，喜欢的来尝尝</t>
        </is>
      </c>
      <c r="B152" t="inlineStr">
        <is>
          <t>691a7ea200000000050388b4</t>
        </is>
      </c>
      <c r="C152" s="151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152" t="inlineStr">
        <is>
          <t>婉婉上班吃什么</t>
        </is>
      </c>
      <c r="E152" t="inlineStr">
        <is>
          <t>11434449706</t>
        </is>
      </c>
      <c r="F152" t="inlineStr">
        <is>
          <t>2025-11-17 11:47:00</t>
        </is>
      </c>
      <c r="G152" t="inlineStr">
        <is>
          <t>视频</t>
        </is>
      </c>
      <c r="H152" t="inlineStr">
        <is>
          <t>生蚝乳山生蚝海蛎子顺丰包邮</t>
        </is>
      </c>
      <c r="I152" t="inlineStr">
        <is>
          <t>690c70971b787900010866cc</t>
        </is>
      </c>
      <c r="J152" t="n">
        <v>28.0</v>
      </c>
      <c r="K152" t="n">
        <v>0.0</v>
      </c>
      <c r="L152" t="n">
        <v>0.0</v>
      </c>
      <c r="M152" t="n">
        <v>3.0</v>
      </c>
      <c r="N152" t="n">
        <v>0.03125</v>
      </c>
      <c r="O152" t="n">
        <v>3.0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inlineStr">
        <is>
          <t/>
        </is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96.0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7.802083333333333</v>
      </c>
      <c r="AL152" t="n">
        <v>0.0784313725490196</v>
      </c>
    </row>
    <row r="153">
      <c r="A153" t="inlineStr">
        <is>
          <t>年后减脂真不多，区区69块够我吃一周的了</t>
        </is>
      </c>
      <c r="B153" t="inlineStr">
        <is>
          <t>69b2539b000000000b034e10</t>
        </is>
      </c>
      <c r="C153" s="152" t="n">
        <f>HYPERLINK("https://www.xiaohongshu.com/explore/69b2539b000000000b034e10?xsec_token=TB020mu_sDtHEgaPvBWpjWuRWl5BVIXyVQdSK6eV9PNeU=&amp;xsec_source=pc_trdark","https://www.xiaohongshu.com/explore/69b2539b000000000b034e10?xsec_token=TB020mu_sDtHEgaPvBWpjWuRWl5BVIXyVQdSK6eV9PNeU=&amp;xsec_source=pc_trdark")</f>
        <v>0.0</v>
      </c>
      <c r="D153" t="inlineStr">
        <is>
          <t>婉婉上班吃什么</t>
        </is>
      </c>
      <c r="E153" t="inlineStr">
        <is>
          <t>11434449706</t>
        </is>
      </c>
      <c r="F153" t="inlineStr">
        <is>
          <t>2026-03-12 13:48:11</t>
        </is>
      </c>
      <c r="G153" t="inlineStr">
        <is>
          <t>图文</t>
        </is>
      </c>
      <c r="H153" t="inlineStr">
        <is>
          <t>大虾基围虾王牌大虾厄瓜多尔白虾盐冻虾仁海洋大虾送礼顺丰包邮</t>
        </is>
      </c>
      <c r="I153" t="inlineStr">
        <is>
          <t>690aeb7be379430001e686ac</t>
        </is>
      </c>
      <c r="J153" t="inlineStr">
        <is>
          <t/>
        </is>
      </c>
      <c r="K153" t="n">
        <v>0.0</v>
      </c>
      <c r="L153" t="n">
        <v>0.0</v>
      </c>
      <c r="M153" t="n">
        <v>17.0</v>
      </c>
      <c r="N153" t="inlineStr">
        <is>
          <t>0.17894736842105263</t>
        </is>
      </c>
      <c r="O153" t="n">
        <v>16.0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inlineStr">
        <is>
          <t/>
        </is>
      </c>
      <c r="X153" t="n">
        <v>0.0</v>
      </c>
      <c r="Y153" t="n">
        <v>1.0</v>
      </c>
      <c r="Z153" t="n">
        <v>0.0</v>
      </c>
      <c r="AA153" t="n">
        <v>0.0</v>
      </c>
      <c r="AB153" t="n">
        <v>0.0</v>
      </c>
      <c r="AC153" t="n">
        <v>0.0</v>
      </c>
      <c r="AD153" t="n">
        <v>95.0</v>
      </c>
      <c r="AE153" t="n">
        <v>0.0</v>
      </c>
      <c r="AF153" t="n">
        <v>0.0</v>
      </c>
      <c r="AG153" t="n">
        <v>0.0</v>
      </c>
      <c r="AH153" t="n">
        <v>1.0</v>
      </c>
      <c r="AI153" t="n">
        <v>0.0</v>
      </c>
      <c r="AJ153" t="n">
        <v>0.0</v>
      </c>
      <c r="AK153" t="n">
        <v>8.063157894736841</v>
      </c>
      <c r="AL153" t="inlineStr">
        <is>
          <t/>
        </is>
      </c>
    </row>
    <row r="154">
      <c r="A154" t="inlineStr">
        <is>
          <t>试过了！确实比鸡胸肉牛</t>
        </is>
      </c>
      <c r="B154" t="inlineStr">
        <is>
          <t>69c926e20000000022025f2d</t>
        </is>
      </c>
      <c r="C154" s="153" t="n">
        <f>HYPERLINK("https://www.xiaohongshu.com/explore/69c926e20000000022025f2d?xsec_token=TBbpP5CiN94LtvLtPXlqbAxTQ-5U8FWS7GT2acXQVc1ng=&amp;xsec_source=pc_trdark","https://www.xiaohongshu.com/explore/69c926e20000000022025f2d?xsec_token=TBbpP5CiN94LtvLtPXlqbAxTQ-5U8FWS7GT2acXQVc1ng=&amp;xsec_source=pc_trdark")</f>
        <v>0.0</v>
      </c>
      <c r="D154" t="inlineStr">
        <is>
          <t>菲菲上班吃什么</t>
        </is>
      </c>
      <c r="E154" t="inlineStr">
        <is>
          <t>49936530607</t>
        </is>
      </c>
      <c r="F154" t="inlineStr">
        <is>
          <t>2026-03-29 21:19:30</t>
        </is>
      </c>
      <c r="G154" t="inlineStr">
        <is>
          <t>图文</t>
        </is>
      </c>
      <c r="H154" t="inlineStr">
        <is>
          <t>智利三文鱼切块·整条三文鱼·深海鱼一人食健康饮食</t>
        </is>
      </c>
      <c r="I154" t="inlineStr">
        <is>
          <t>691ac562a524ee0001b51d7b</t>
        </is>
      </c>
      <c r="J154" t="inlineStr">
        <is>
          <t/>
        </is>
      </c>
      <c r="K154" t="n">
        <v>0.0</v>
      </c>
      <c r="L154" t="n">
        <v>0.0</v>
      </c>
      <c r="M154" t="n">
        <v>9.0</v>
      </c>
      <c r="N154" t="inlineStr">
        <is>
          <t>0.09574468085106383</t>
        </is>
      </c>
      <c r="O154" t="n">
        <v>9.0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inlineStr">
        <is>
          <t/>
        </is>
      </c>
      <c r="X154" t="n">
        <v>0.0</v>
      </c>
      <c r="Y154" t="n">
        <v>1.0</v>
      </c>
      <c r="Z154" t="n">
        <v>2.0</v>
      </c>
      <c r="AA154" t="n">
        <v>0.0</v>
      </c>
      <c r="AB154" t="n">
        <v>0.0</v>
      </c>
      <c r="AC154" t="n">
        <v>0.0</v>
      </c>
      <c r="AD154" t="n">
        <v>94.0</v>
      </c>
      <c r="AE154" t="n">
        <v>4.0</v>
      </c>
      <c r="AF154" t="n">
        <v>0.0</v>
      </c>
      <c r="AG154" t="n">
        <v>0.0</v>
      </c>
      <c r="AH154" t="n">
        <v>1.0</v>
      </c>
      <c r="AI154" t="n">
        <v>0.0</v>
      </c>
      <c r="AJ154" t="n">
        <v>0.0</v>
      </c>
      <c r="AK154" t="n">
        <v>13.22340425531915</v>
      </c>
      <c r="AL154" t="inlineStr">
        <is>
          <t/>
        </is>
      </c>
    </row>
    <row r="155">
      <c r="A155" t="inlineStr">
        <is>
          <t>还有比虾仁更方便的控体餐吗</t>
        </is>
      </c>
      <c r="B155" t="inlineStr">
        <is>
          <t>69bd1e3100000000230070c8</t>
        </is>
      </c>
      <c r="C155" s="154" t="n">
        <f>HYPERLINK("https://www.xiaohongshu.com/explore/69bd1e3100000000230070c8?xsec_token=TBRwbx0S6Y78qN5wWC1_PyBAZV8Dj-mNhqLW3xnLouRlw=&amp;xsec_source=pc_trdark","https://www.xiaohongshu.com/explore/69bd1e3100000000230070c8?xsec_token=TBRwbx0S6Y78qN5wWC1_PyBAZV8Dj-mNhqLW3xnLouRlw=&amp;xsec_source=pc_trdark")</f>
        <v>0.0</v>
      </c>
      <c r="D155" t="inlineStr">
        <is>
          <t>鲜水湾</t>
        </is>
      </c>
      <c r="E155" t="inlineStr">
        <is>
          <t>49316638994</t>
        </is>
      </c>
      <c r="F155" t="inlineStr">
        <is>
          <t>2026-03-20 18:15:13</t>
        </is>
      </c>
      <c r="G155" t="inlineStr">
        <is>
          <t>图文</t>
        </is>
      </c>
      <c r="H155" t="inlineStr">
        <is>
          <t>手剥虾仁 无冰衣无添加 低脂餐一人食 上班带饭 顺丰包邮 5盒装</t>
        </is>
      </c>
      <c r="I155" t="inlineStr">
        <is>
          <t>694baba01d450d00013662f0</t>
        </is>
      </c>
      <c r="J155" t="inlineStr">
        <is>
          <t/>
        </is>
      </c>
      <c r="K155" t="n">
        <v>0.0</v>
      </c>
      <c r="L155" t="n">
        <v>0.0</v>
      </c>
      <c r="M155" t="n">
        <v>15.0</v>
      </c>
      <c r="N155" t="n">
        <v>0.1595744680851064</v>
      </c>
      <c r="O155" t="n">
        <v>13.0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inlineStr">
        <is>
          <t/>
        </is>
      </c>
      <c r="X155" t="n">
        <v>0.0</v>
      </c>
      <c r="Y155" t="n">
        <v>2.0</v>
      </c>
      <c r="Z155" t="n">
        <v>1.0</v>
      </c>
      <c r="AA155" t="n">
        <v>0.0</v>
      </c>
      <c r="AB155" t="n">
        <v>0.0</v>
      </c>
      <c r="AC155" t="n">
        <v>0.0</v>
      </c>
      <c r="AD155" t="n">
        <v>94.0</v>
      </c>
      <c r="AE155" t="n">
        <v>3.0</v>
      </c>
      <c r="AF155" t="n">
        <v>0.0</v>
      </c>
      <c r="AG155" t="n">
        <v>0.0</v>
      </c>
      <c r="AH155" t="n">
        <v>2.0</v>
      </c>
      <c r="AI155" t="n">
        <v>0.0</v>
      </c>
      <c r="AJ155" t="n">
        <v>0.0</v>
      </c>
      <c r="AK155" t="n">
        <v>9.48936170212766</v>
      </c>
      <c r="AL155" t="inlineStr">
        <is>
          <t/>
        </is>
      </c>
    </row>
    <row r="156">
      <c r="A156" t="inlineStr">
        <is>
          <t>以为300块没多少，结果吃了半个月</t>
        </is>
      </c>
      <c r="B156" t="inlineStr">
        <is>
          <t>69b132b60000000006008aed</t>
        </is>
      </c>
      <c r="C156" s="155" t="n">
        <f>HYPERLINK("https://www.xiaohongshu.com/explore/69b132b60000000006008aed?xsec_token=TBPThwaY7kqe53qUk5J0OyzgfG1Iy5wqzAvKp5GDYhs4Y=&amp;xsec_source=pc_trdark","https://www.xiaohongshu.com/explore/69b132b60000000006008aed?xsec_token=TBPThwaY7kqe53qUk5J0OyzgfG1Iy5wqzAvKp5GDYhs4Y=&amp;xsec_source=pc_trdark")</f>
        <v>0.0</v>
      </c>
      <c r="D156" t="inlineStr">
        <is>
          <t>婉婉上班吃什么</t>
        </is>
      </c>
      <c r="E156" t="inlineStr">
        <is>
          <t>11434449706</t>
        </is>
      </c>
      <c r="F156" t="inlineStr">
        <is>
          <t>2026-03-11 17:15:34</t>
        </is>
      </c>
      <c r="G156" t="inlineStr">
        <is>
          <t>图文</t>
        </is>
      </c>
      <c r="H156" t="inlineStr">
        <is>
          <t>智利三文鱼切块·整条三文鱼·深海鱼一人食健康饮食</t>
        </is>
      </c>
      <c r="I156" t="inlineStr">
        <is>
          <t>691ac562a524ee0001b51d7b</t>
        </is>
      </c>
      <c r="J156" t="inlineStr">
        <is>
          <t/>
        </is>
      </c>
      <c r="K156" t="n">
        <v>363.0</v>
      </c>
      <c r="L156" t="n">
        <v>1.0</v>
      </c>
      <c r="M156" t="n">
        <v>18.0</v>
      </c>
      <c r="N156" t="inlineStr">
        <is>
          <t>0.19148936170212766</t>
        </is>
      </c>
      <c r="O156" t="n">
        <v>16.0</v>
      </c>
      <c r="P156" t="n">
        <v>1.0</v>
      </c>
      <c r="Q156" t="inlineStr">
        <is>
          <t>0.05555555555555555</t>
        </is>
      </c>
      <c r="R156" t="n">
        <v>0.0625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3.0</v>
      </c>
      <c r="Z156" t="n">
        <v>7.0</v>
      </c>
      <c r="AA156" t="n">
        <v>0.0</v>
      </c>
      <c r="AB156" t="n">
        <v>0.0</v>
      </c>
      <c r="AC156" t="n">
        <v>0.0</v>
      </c>
      <c r="AD156" t="n">
        <v>94.0</v>
      </c>
      <c r="AE156" t="n">
        <v>0.0</v>
      </c>
      <c r="AF156" t="n">
        <v>1.0</v>
      </c>
      <c r="AG156" t="n">
        <v>0.0</v>
      </c>
      <c r="AH156" t="n">
        <v>3.0</v>
      </c>
      <c r="AI156" t="n">
        <v>0.0</v>
      </c>
      <c r="AJ156" t="n">
        <v>0.0</v>
      </c>
      <c r="AK156" t="n">
        <v>17.319148936170212</v>
      </c>
      <c r="AL156" t="inlineStr">
        <is>
          <t/>
        </is>
      </c>
    </row>
    <row r="157">
      <c r="A157" t="inlineStr">
        <is>
          <t>区区69直接承包我一周的控体餐</t>
        </is>
      </c>
      <c r="B157" t="inlineStr">
        <is>
          <t>69ad6262000000001a01d058</t>
        </is>
      </c>
      <c r="C157" s="156" t="n">
        <f>HYPERLINK("https://www.xiaohongshu.com/explore/69ad6262000000001a01d058?xsec_token=TBsauhpT2AwjD8NBV7WI8gZLyQoplzODaQAmvUx3_clJU=&amp;xsec_source=pc_trdark","https://www.xiaohongshu.com/explore/69ad6262000000001a01d058?xsec_token=TBsauhpT2AwjD8NBV7WI8gZLyQoplzODaQAmvUx3_clJU=&amp;xsec_source=pc_trdark")</f>
        <v>0.0</v>
      </c>
      <c r="D157" t="inlineStr">
        <is>
          <t>鲜水湾</t>
        </is>
      </c>
      <c r="E157" t="inlineStr">
        <is>
          <t>49316638994</t>
        </is>
      </c>
      <c r="F157" t="inlineStr">
        <is>
          <t>2026-03-08 19:49:54</t>
        </is>
      </c>
      <c r="G157" t="inlineStr">
        <is>
          <t>图文</t>
        </is>
      </c>
      <c r="H157" t="inlineStr">
        <is>
          <t>大虾基围虾王牌大虾厄瓜多尔白虾盐冻虾仁海洋大虾送礼顺丰包邮</t>
        </is>
      </c>
      <c r="I157" t="inlineStr">
        <is>
          <t>690aeb7be379430001e686ac</t>
        </is>
      </c>
      <c r="J157" t="inlineStr">
        <is>
          <t/>
        </is>
      </c>
      <c r="K157" t="n">
        <v>67.0</v>
      </c>
      <c r="L157" t="n">
        <v>1.0</v>
      </c>
      <c r="M157" t="n">
        <v>22.0</v>
      </c>
      <c r="N157" t="inlineStr">
        <is>
          <t>0.23404255319148937</t>
        </is>
      </c>
      <c r="O157" t="n">
        <v>21.0</v>
      </c>
      <c r="P157" t="n">
        <v>1.0</v>
      </c>
      <c r="Q157" t="inlineStr">
        <is>
          <t>0.045454545454545456</t>
        </is>
      </c>
      <c r="R157" t="inlineStr">
        <is>
          <t>0.047619047619047616</t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3.0</v>
      </c>
      <c r="Z157" t="n">
        <v>6.0</v>
      </c>
      <c r="AA157" t="n">
        <v>0.0</v>
      </c>
      <c r="AB157" t="n">
        <v>0.0</v>
      </c>
      <c r="AC157" t="n">
        <v>0.0</v>
      </c>
      <c r="AD157" t="n">
        <v>94.0</v>
      </c>
      <c r="AE157" t="n">
        <v>0.0</v>
      </c>
      <c r="AF157" t="n">
        <v>0.0</v>
      </c>
      <c r="AG157" t="n">
        <v>0.0</v>
      </c>
      <c r="AH157" t="n">
        <v>1.0</v>
      </c>
      <c r="AI157" t="n">
        <v>0.0</v>
      </c>
      <c r="AJ157" t="n">
        <v>0.0</v>
      </c>
      <c r="AK157" t="n">
        <v>15.117021276595745</v>
      </c>
      <c r="AL157" t="inlineStr">
        <is>
          <t/>
        </is>
      </c>
    </row>
    <row r="158">
      <c r="A158" t="inlineStr">
        <is>
          <t>买不到好的生蚝就来找我！包肥的</t>
        </is>
      </c>
      <c r="B158" t="inlineStr">
        <is>
          <t>697b140a000000002801f272</t>
        </is>
      </c>
      <c r="C158" s="157" t="n">
        <f>HYPERLINK("https://www.xiaohongshu.com/explore/697b140a000000002801f272?xsec_token=TBx0gf9xFBuo-Uf0_oTJMkRAe5zNebA4cCCzNoT7itunA=&amp;xsec_source=pc_trdark","https://www.xiaohongshu.com/explore/697b140a000000002801f272?xsec_token=TBx0gf9xFBuo-Uf0_oTJMkRAe5zNebA4cCCzNoT7itunA=&amp;xsec_source=pc_trdark")</f>
        <v>0.0</v>
      </c>
      <c r="D158" t="inlineStr">
        <is>
          <t>鲜水湾</t>
        </is>
      </c>
      <c r="E158" t="inlineStr">
        <is>
          <t>49316638994</t>
        </is>
      </c>
      <c r="F158" t="inlineStr">
        <is>
          <t>2026-01-29 16:02:18</t>
        </is>
      </c>
      <c r="G158" t="inlineStr">
        <is>
          <t>图文</t>
        </is>
      </c>
      <c r="H158" t="inlineStr">
        <is>
          <t>生蚝乳山生蚝海蛎子顺丰包邮</t>
        </is>
      </c>
      <c r="I158" t="inlineStr">
        <is>
          <t>690c70971b787900010866cc</t>
        </is>
      </c>
      <c r="J158" t="inlineStr">
        <is>
          <t/>
        </is>
      </c>
      <c r="K158" t="n">
        <v>59.9</v>
      </c>
      <c r="L158" t="n">
        <v>1.0</v>
      </c>
      <c r="M158" t="n">
        <v>12.0</v>
      </c>
      <c r="N158" t="n">
        <v>0.1276595744680851</v>
      </c>
      <c r="O158" t="n">
        <v>10.0</v>
      </c>
      <c r="P158" t="n">
        <v>1.0</v>
      </c>
      <c r="Q158" t="inlineStr">
        <is>
          <t>0.08333333333333333</t>
        </is>
      </c>
      <c r="R158" t="n">
        <v>0.1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3.0</v>
      </c>
      <c r="Z158" t="n">
        <v>4.0</v>
      </c>
      <c r="AA158" t="n">
        <v>59.9</v>
      </c>
      <c r="AB158" t="n">
        <v>0.0</v>
      </c>
      <c r="AC158" t="n">
        <v>0.0</v>
      </c>
      <c r="AD158" t="n">
        <v>94.0</v>
      </c>
      <c r="AE158" t="n">
        <v>1.0</v>
      </c>
      <c r="AF158" t="n">
        <v>0.0</v>
      </c>
      <c r="AG158" t="n">
        <v>0.0</v>
      </c>
      <c r="AH158" t="n">
        <v>1.0</v>
      </c>
      <c r="AI158" t="n">
        <v>1.0</v>
      </c>
      <c r="AJ158" t="n">
        <v>0.0</v>
      </c>
      <c r="AK158" t="n">
        <v>11.393617021276595</v>
      </c>
      <c r="AL158" t="inlineStr">
        <is>
          <t/>
        </is>
      </c>
    </row>
    <row r="159">
      <c r="A159" t="inlineStr">
        <is>
          <t>说一个撑死人但热量很低的东西</t>
        </is>
      </c>
      <c r="B159" t="inlineStr">
        <is>
          <t>69bd64bf000000002300553e</t>
        </is>
      </c>
      <c r="C159" s="158" t="n">
        <f>HYPERLINK("https://www.xiaohongshu.com/explore/69bd64bf000000002300553e?xsec_token=TBRwbx0S6Y78qN5wWC1_PyBGhoiRMj1TAICo4pUZmkzu0=&amp;xsec_source=pc_trdark","https://www.xiaohongshu.com/explore/69bd64bf000000002300553e?xsec_token=TBRwbx0S6Y78qN5wWC1_PyBGhoiRMj1TAICo4pUZmkzu0=&amp;xsec_source=pc_trdark")</f>
        <v>0.0</v>
      </c>
      <c r="D159" t="inlineStr">
        <is>
          <t>菲菲上班吃什么</t>
        </is>
      </c>
      <c r="E159" t="inlineStr">
        <is>
          <t>49936530607</t>
        </is>
      </c>
      <c r="F159" t="inlineStr">
        <is>
          <t>2026-03-20 23:16:15</t>
        </is>
      </c>
      <c r="G159" t="inlineStr">
        <is>
          <t>图文</t>
        </is>
      </c>
      <c r="H159" t="inlineStr">
        <is>
          <t>手剥虾仁 无冰衣无添加 低脂餐一人食 上班带饭 顺丰包邮 5盒装</t>
        </is>
      </c>
      <c r="I159" t="inlineStr">
        <is>
          <t>694baba01d450d00013662f0</t>
        </is>
      </c>
      <c r="J159" t="inlineStr">
        <is>
          <t/>
        </is>
      </c>
      <c r="K159" t="n">
        <v>69.0</v>
      </c>
      <c r="L159" t="n">
        <v>1.0</v>
      </c>
      <c r="M159" t="n">
        <v>10.0</v>
      </c>
      <c r="N159" t="inlineStr">
        <is>
          <t>0.10752688172043011</t>
        </is>
      </c>
      <c r="O159" t="n">
        <v>7.0</v>
      </c>
      <c r="P159" t="n">
        <v>1.0</v>
      </c>
      <c r="Q159" t="n">
        <v>0.1</v>
      </c>
      <c r="R159" t="inlineStr">
        <is>
          <t>0.14285714285714285</t>
        </is>
      </c>
      <c r="S159" t="n">
        <v>69.0</v>
      </c>
      <c r="T159" t="n">
        <v>1.0</v>
      </c>
      <c r="U159" t="n">
        <v>1.0</v>
      </c>
      <c r="V159" t="n">
        <v>69.0</v>
      </c>
      <c r="W159" t="n">
        <v>1.0</v>
      </c>
      <c r="X159" t="n">
        <v>1.0</v>
      </c>
      <c r="Y159" t="n">
        <v>2.0</v>
      </c>
      <c r="Z159" t="n">
        <v>2.0</v>
      </c>
      <c r="AA159" t="n">
        <v>0.0</v>
      </c>
      <c r="AB159" t="n">
        <v>0.0</v>
      </c>
      <c r="AC159" t="n">
        <v>0.0</v>
      </c>
      <c r="AD159" t="n">
        <v>93.0</v>
      </c>
      <c r="AE159" t="n">
        <v>2.0</v>
      </c>
      <c r="AF159" t="n">
        <v>0.0</v>
      </c>
      <c r="AG159" t="n">
        <v>1.0</v>
      </c>
      <c r="AH159" t="n">
        <v>1.0</v>
      </c>
      <c r="AI159" t="n">
        <v>0.0</v>
      </c>
      <c r="AJ159" t="n">
        <v>0.0</v>
      </c>
      <c r="AK159" t="n">
        <v>14.0</v>
      </c>
      <c r="AL159" t="inlineStr">
        <is>
          <t/>
        </is>
      </c>
    </row>
    <row r="160">
      <c r="A160" t="inlineStr">
        <is>
          <t>这么大的生蚝你能吃几个？</t>
        </is>
      </c>
      <c r="B160" t="inlineStr">
        <is>
          <t>6925754f000000001e02c06b</t>
        </is>
      </c>
      <c r="C160" s="159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160" t="inlineStr">
        <is>
          <t>婉婉上班吃什么</t>
        </is>
      </c>
      <c r="E160" t="inlineStr">
        <is>
          <t>11434449706</t>
        </is>
      </c>
      <c r="F160" t="inlineStr">
        <is>
          <t>2025-11-25 17:22:23</t>
        </is>
      </c>
      <c r="G160" t="inlineStr">
        <is>
          <t>视频</t>
        </is>
      </c>
      <c r="H160" t="inlineStr">
        <is>
          <t>生蚝乳山生蚝海蛎子顺丰包邮</t>
        </is>
      </c>
      <c r="I160" t="inlineStr">
        <is>
          <t>690c70971b787900010866cc</t>
        </is>
      </c>
      <c r="J160" t="n">
        <v>15.0</v>
      </c>
      <c r="K160" t="n">
        <v>0.0</v>
      </c>
      <c r="L160" t="n">
        <v>0.0</v>
      </c>
      <c r="M160" t="n">
        <v>1.0</v>
      </c>
      <c r="N160" t="inlineStr">
        <is>
          <t>0.010752688172043012</t>
        </is>
      </c>
      <c r="O160" t="n">
        <v>1.0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inlineStr">
        <is>
          <t/>
        </is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93.0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9.86021505376344</v>
      </c>
      <c r="AL160" t="inlineStr">
        <is>
          <t>0.29770992366412213</t>
        </is>
      </c>
    </row>
    <row r="161">
      <c r="A161" t="inlineStr">
        <is>
          <t/>
        </is>
      </c>
      <c r="B161" t="inlineStr">
        <is>
          <t>69ba9686000000001e00c419</t>
        </is>
      </c>
      <c r="C161" s="160" t="n">
        <f>HYPERLINK("https://www.xiaohongshu.com/explore/69ba9686000000001e00c419?xsec_token=TBgJVNruMKjnZKfHBYiZtZCWoTTdCB9k62G9vVOx2-c04=&amp;xsec_source=pc_trdark","https://www.xiaohongshu.com/explore/69ba9686000000001e00c419?xsec_token=TBgJVNruMKjnZKfHBYiZtZCWoTTdCB9k62G9vVOx2-c04=&amp;xsec_source=pc_trdark")</f>
        <v>0.0</v>
      </c>
      <c r="D161" t="inlineStr">
        <is>
          <t>婉婉上班吃什么</t>
        </is>
      </c>
      <c r="E161" t="inlineStr">
        <is>
          <t>11434449706</t>
        </is>
      </c>
      <c r="F161" t="inlineStr">
        <is>
          <t>2026-03-18 20:11:50</t>
        </is>
      </c>
      <c r="G161" t="inlineStr">
        <is>
          <t>图文</t>
        </is>
      </c>
      <c r="H161" t="inlineStr">
        <is>
          <t>手剥虾仁 无冰衣无添加 低脂餐一人食 上班带饭 顺丰包邮 5盒装</t>
        </is>
      </c>
      <c r="I161" t="inlineStr">
        <is>
          <t>694baba01d450d00013662f0</t>
        </is>
      </c>
      <c r="J161" t="inlineStr">
        <is>
          <t/>
        </is>
      </c>
      <c r="K161" t="n">
        <v>128.0</v>
      </c>
      <c r="L161" t="n">
        <v>1.0</v>
      </c>
      <c r="M161" t="n">
        <v>10.0</v>
      </c>
      <c r="N161" t="inlineStr">
        <is>
          <t>0.10869565217391304</t>
        </is>
      </c>
      <c r="O161" t="n">
        <v>8.0</v>
      </c>
      <c r="P161" t="n">
        <v>1.0</v>
      </c>
      <c r="Q161" t="n">
        <v>0.1</v>
      </c>
      <c r="R161" t="n">
        <v>0.125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3.0</v>
      </c>
      <c r="Z161" t="n">
        <v>3.0</v>
      </c>
      <c r="AA161" t="n">
        <v>0.0</v>
      </c>
      <c r="AB161" t="n">
        <v>0.0</v>
      </c>
      <c r="AC161" t="n">
        <v>0.0</v>
      </c>
      <c r="AD161" t="n">
        <v>92.0</v>
      </c>
      <c r="AE161" t="n">
        <v>0.0</v>
      </c>
      <c r="AF161" t="n">
        <v>1.0</v>
      </c>
      <c r="AG161" t="n">
        <v>0.0</v>
      </c>
      <c r="AH161" t="n">
        <v>1.0</v>
      </c>
      <c r="AI161" t="n">
        <v>0.0</v>
      </c>
      <c r="AJ161" t="n">
        <v>0.0</v>
      </c>
      <c r="AK161" t="n">
        <v>9.608695652173912</v>
      </c>
      <c r="AL161" t="inlineStr">
        <is>
          <t/>
        </is>
      </c>
    </row>
    <row r="162">
      <c r="A162" t="inlineStr">
        <is>
          <t>试过了，确实比鸡胸肉快！</t>
        </is>
      </c>
      <c r="B162" t="inlineStr">
        <is>
          <t>69afae19000000000b034aa4</t>
        </is>
      </c>
      <c r="C162" s="161" t="n">
        <f>HYPERLINK("https://www.xiaohongshu.com/explore/69afae19000000000b034aa4?xsec_token=TBvA7Hz6ko-xGwfQy35gan6Ujze8RSyc6keKJb4ycYP14=&amp;xsec_source=pc_trdark","https://www.xiaohongshu.com/explore/69afae19000000000b034aa4?xsec_token=TBvA7Hz6ko-xGwfQy35gan6Ujze8RSyc6keKJb4ycYP14=&amp;xsec_source=pc_trdark")</f>
        <v>0.0</v>
      </c>
      <c r="D162" t="inlineStr">
        <is>
          <t>鲜水湾</t>
        </is>
      </c>
      <c r="E162" t="inlineStr">
        <is>
          <t>49316638994</t>
        </is>
      </c>
      <c r="F162" t="inlineStr">
        <is>
          <t>2026-03-10 13:37:29</t>
        </is>
      </c>
      <c r="G162" t="inlineStr">
        <is>
          <t>图文</t>
        </is>
      </c>
      <c r="H162" t="inlineStr">
        <is>
          <t>手剥虾仁 无冰衣无添加 低脂餐一人食 上班带饭 顺丰包邮 5盒装</t>
        </is>
      </c>
      <c r="I162" t="inlineStr">
        <is>
          <t>694baba01d450d00013662f0</t>
        </is>
      </c>
      <c r="J162" t="inlineStr">
        <is>
          <t/>
        </is>
      </c>
      <c r="K162" t="n">
        <v>96.0</v>
      </c>
      <c r="L162" t="n">
        <v>1.0</v>
      </c>
      <c r="M162" t="n">
        <v>14.0</v>
      </c>
      <c r="N162" t="inlineStr">
        <is>
          <t>0.15217391304347827</t>
        </is>
      </c>
      <c r="O162" t="n">
        <v>12.0</v>
      </c>
      <c r="P162" t="n">
        <v>1.0</v>
      </c>
      <c r="Q162" t="inlineStr">
        <is>
          <t>0.07142857142857142</t>
        </is>
      </c>
      <c r="R162" t="inlineStr">
        <is>
          <t>0.08333333333333333</t>
        </is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1.0</v>
      </c>
      <c r="Z162" t="n">
        <v>1.0</v>
      </c>
      <c r="AA162" t="n">
        <v>0.0</v>
      </c>
      <c r="AB162" t="n">
        <v>0.0</v>
      </c>
      <c r="AC162" t="n">
        <v>0.0</v>
      </c>
      <c r="AD162" t="n">
        <v>92.0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10.108695652173912</v>
      </c>
      <c r="AL162" t="inlineStr">
        <is>
          <t/>
        </is>
      </c>
    </row>
    <row r="163">
      <c r="A163" t="inlineStr">
        <is>
          <t>315过后，大家都买这种无保水剂的虾仁了</t>
        </is>
      </c>
      <c r="B163" t="inlineStr">
        <is>
          <t>69c94348000000001e00e321</t>
        </is>
      </c>
      <c r="C163" s="162" t="n">
        <f>HYPERLINK("https://www.xiaohongshu.com/explore/69c94348000000001e00e321?xsec_token=TBbpP5CiN94LtvLtPXlqbAxcA1xLNWjVfTml-izYYRin0=&amp;xsec_source=pc_trdark","https://www.xiaohongshu.com/explore/69c94348000000001e00e321?xsec_token=TBbpP5CiN94LtvLtPXlqbAxcA1xLNWjVfTml-izYYRin0=&amp;xsec_source=pc_trdark")</f>
        <v>0.0</v>
      </c>
      <c r="D163" t="inlineStr">
        <is>
          <t>鲜水湾</t>
        </is>
      </c>
      <c r="E163" t="inlineStr">
        <is>
          <t>49316638994</t>
        </is>
      </c>
      <c r="F163" t="inlineStr">
        <is>
          <t>2026-03-29 23:20:40</t>
        </is>
      </c>
      <c r="G163" t="inlineStr">
        <is>
          <t>图文</t>
        </is>
      </c>
      <c r="H163" t="inlineStr">
        <is>
          <t>手剥虾仁 无冰衣无添加 低脂餐一人食 上班带饭 顺丰包邮 5盒装</t>
        </is>
      </c>
      <c r="I163" t="inlineStr">
        <is>
          <t>694baba01d450d00013662f0</t>
        </is>
      </c>
      <c r="J163" t="inlineStr">
        <is>
          <t/>
        </is>
      </c>
      <c r="K163" t="n">
        <v>69.0</v>
      </c>
      <c r="L163" t="n">
        <v>1.0</v>
      </c>
      <c r="M163" t="n">
        <v>22.0</v>
      </c>
      <c r="N163" t="inlineStr">
        <is>
          <t>0.24444444444444444</t>
        </is>
      </c>
      <c r="O163" t="n">
        <v>18.0</v>
      </c>
      <c r="P163" t="n">
        <v>1.0</v>
      </c>
      <c r="Q163" t="inlineStr">
        <is>
          <t>0.045454545454545456</t>
        </is>
      </c>
      <c r="R163" t="inlineStr">
        <is>
          <t>0.05555555555555555</t>
        </is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4.0</v>
      </c>
      <c r="Z163" t="n">
        <v>5.0</v>
      </c>
      <c r="AA163" t="n">
        <v>0.0</v>
      </c>
      <c r="AB163" t="n">
        <v>0.0</v>
      </c>
      <c r="AC163" t="n">
        <v>0.0</v>
      </c>
      <c r="AD163" t="n">
        <v>90.0</v>
      </c>
      <c r="AE163" t="n">
        <v>2.0</v>
      </c>
      <c r="AF163" t="n">
        <v>0.0</v>
      </c>
      <c r="AG163" t="n">
        <v>0.0</v>
      </c>
      <c r="AH163" t="n">
        <v>2.0</v>
      </c>
      <c r="AI163" t="n">
        <v>0.0</v>
      </c>
      <c r="AJ163" t="n">
        <v>0.0</v>
      </c>
      <c r="AK163" t="n">
        <v>12.38888888888889</v>
      </c>
      <c r="AL163" t="inlineStr">
        <is>
          <t/>
        </is>
      </c>
    </row>
    <row r="164">
      <c r="A164" t="inlineStr">
        <is>
          <t>315过后，都来买我家这种无添加虾仁了</t>
        </is>
      </c>
      <c r="B164" t="inlineStr">
        <is>
          <t>69c20451000000001f0022e1</t>
        </is>
      </c>
      <c r="C164" s="163" t="n">
        <f>HYPERLINK("https://www.xiaohongshu.com/explore/69c20451000000001f0022e1?xsec_token=TBUqBR5MVQnv6JPS0VJV95uCdHDvWBu9Hdzbft5gngKNU=&amp;xsec_source=pc_trdark","https://www.xiaohongshu.com/explore/69c20451000000001f0022e1?xsec_token=TBUqBR5MVQnv6JPS0VJV95uCdHDvWBu9Hdzbft5gngKNU=&amp;xsec_source=pc_trdark")</f>
        <v>0.0</v>
      </c>
      <c r="D164" t="inlineStr">
        <is>
          <t>鲜水湾</t>
        </is>
      </c>
      <c r="E164" t="inlineStr">
        <is>
          <t>49316638994</t>
        </is>
      </c>
      <c r="F164" t="inlineStr">
        <is>
          <t>2026-03-24 11:26:09</t>
        </is>
      </c>
      <c r="G164" t="inlineStr">
        <is>
          <t>图文</t>
        </is>
      </c>
      <c r="H164" t="inlineStr">
        <is>
          <t>手剥虾仁 无冰衣无添加 低脂餐一人食 上班带饭 顺丰包邮 5盒装</t>
        </is>
      </c>
      <c r="I164" t="inlineStr">
        <is>
          <t>694baba01d450d00013662f0</t>
        </is>
      </c>
      <c r="J164" t="inlineStr">
        <is>
          <t/>
        </is>
      </c>
      <c r="K164" t="n">
        <v>69.0</v>
      </c>
      <c r="L164" t="n">
        <v>1.0</v>
      </c>
      <c r="M164" t="n">
        <v>23.0</v>
      </c>
      <c r="N164" t="inlineStr">
        <is>
          <t>0.25555555555555554</t>
        </is>
      </c>
      <c r="O164" t="n">
        <v>22.0</v>
      </c>
      <c r="P164" t="n">
        <v>1.0</v>
      </c>
      <c r="Q164" t="inlineStr">
        <is>
          <t>0.043478260869565216</t>
        </is>
      </c>
      <c r="R164" t="inlineStr">
        <is>
          <t>0.045454545454545456</t>
        </is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2.0</v>
      </c>
      <c r="Z164" t="n">
        <v>8.0</v>
      </c>
      <c r="AA164" t="n">
        <v>0.0</v>
      </c>
      <c r="AB164" t="n">
        <v>0.0</v>
      </c>
      <c r="AC164" t="n">
        <v>0.0</v>
      </c>
      <c r="AD164" t="n">
        <v>90.0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11.844444444444445</v>
      </c>
      <c r="AL164" t="inlineStr">
        <is>
          <t/>
        </is>
      </c>
    </row>
    <row r="165">
      <c r="A165" t="inlineStr">
        <is>
          <t>69r承包一周轻食！我是真没想到🍤</t>
        </is>
      </c>
      <c r="B165" t="inlineStr">
        <is>
          <t>69b6cc6a000000001b021e96</t>
        </is>
      </c>
      <c r="C165" s="164" t="n">
        <f>HYPERLINK("https://www.xiaohongshu.com/explore/69b6cc6a000000001b021e96?xsec_token=TBwpaEqA4ODk9qkUKPtwfpqWKEK3kE9r0oxxvG5sZ7zWo=&amp;xsec_source=pc_trdark","https://www.xiaohongshu.com/explore/69b6cc6a000000001b021e96?xsec_token=TBwpaEqA4ODk9qkUKPtwfpqWKEK3kE9r0oxxvG5sZ7zWo=&amp;xsec_source=pc_trdark")</f>
        <v>0.0</v>
      </c>
      <c r="D165" t="inlineStr">
        <is>
          <t>婉婉上班吃什么</t>
        </is>
      </c>
      <c r="E165" t="inlineStr">
        <is>
          <t>11434449706</t>
        </is>
      </c>
      <c r="F165" t="inlineStr">
        <is>
          <t>2026-03-15 23:12:42</t>
        </is>
      </c>
      <c r="G165" t="inlineStr">
        <is>
          <t>图文</t>
        </is>
      </c>
      <c r="H165" t="inlineStr">
        <is>
          <t>手剥虾仁 无冰衣无添加 低脂餐一人食 上班带饭 顺丰包邮 5盒装</t>
        </is>
      </c>
      <c r="I165" t="inlineStr">
        <is>
          <t>694baba01d450d00013662f0</t>
        </is>
      </c>
      <c r="J165" t="inlineStr">
        <is>
          <t/>
        </is>
      </c>
      <c r="K165" t="n">
        <v>69.0</v>
      </c>
      <c r="L165" t="n">
        <v>1.0</v>
      </c>
      <c r="M165" t="n">
        <v>9.0</v>
      </c>
      <c r="N165" t="n">
        <v>0.1</v>
      </c>
      <c r="O165" t="n">
        <v>6.0</v>
      </c>
      <c r="P165" t="n">
        <v>1.0</v>
      </c>
      <c r="Q165" t="n">
        <v>0.1111111111111111</v>
      </c>
      <c r="R165" t="inlineStr">
        <is>
          <t>0.16666666666666666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1.0</v>
      </c>
      <c r="Z165" t="n">
        <v>0.0</v>
      </c>
      <c r="AA165" t="n">
        <v>0.0</v>
      </c>
      <c r="AB165" t="n">
        <v>0.0</v>
      </c>
      <c r="AC165" t="n">
        <v>0.0</v>
      </c>
      <c r="AD165" t="n">
        <v>90.0</v>
      </c>
      <c r="AE165" t="n">
        <v>1.0</v>
      </c>
      <c r="AF165" t="n">
        <v>1.0</v>
      </c>
      <c r="AG165" t="n">
        <v>0.0</v>
      </c>
      <c r="AH165" t="n">
        <v>0.0</v>
      </c>
      <c r="AI165" t="n">
        <v>0.0</v>
      </c>
      <c r="AJ165" t="n">
        <v>0.0</v>
      </c>
      <c r="AK165" t="n">
        <v>15.255555555555556</v>
      </c>
      <c r="AL165" t="inlineStr">
        <is>
          <t/>
        </is>
      </c>
    </row>
    <row r="166">
      <c r="A166" t="inlineStr">
        <is>
          <t>算了不劝了……这价卖保水剂虾仁，那真没良心</t>
        </is>
      </c>
      <c r="B166" t="inlineStr">
        <is>
          <t>69bcdae4000000001a02d392</t>
        </is>
      </c>
      <c r="C166" s="165" t="n">
        <f>HYPERLINK("https://www.xiaohongshu.com/explore/69bcdae4000000001a02d392?xsec_token=TBfIJFVzszocpn5U7ogutYTYV7gvs086Vg6V5meGtLkyc=&amp;xsec_source=pc_trdark","https://www.xiaohongshu.com/explore/69bcdae4000000001a02d392?xsec_token=TBfIJFVzszocpn5U7ogutYTYV7gvs086Vg6V5meGtLkyc=&amp;xsec_source=pc_trdark")</f>
        <v>0.0</v>
      </c>
      <c r="D166" t="inlineStr">
        <is>
          <t>鲜水湾</t>
        </is>
      </c>
      <c r="E166" t="inlineStr">
        <is>
          <t>49316638994</t>
        </is>
      </c>
      <c r="F166" t="inlineStr">
        <is>
          <t>2026-03-20 13:28:04</t>
        </is>
      </c>
      <c r="G166" t="inlineStr">
        <is>
          <t>图文</t>
        </is>
      </c>
      <c r="H166" t="inlineStr">
        <is>
          <t>手剥虾仁 无冰衣无添加 低脂餐一人食 上班带饭 顺丰包邮 5盒装</t>
        </is>
      </c>
      <c r="I166" t="inlineStr">
        <is>
          <t>694baba01d450d00013662f0</t>
        </is>
      </c>
      <c r="J166" t="inlineStr">
        <is>
          <t/>
        </is>
      </c>
      <c r="K166" t="n">
        <v>69.0</v>
      </c>
      <c r="L166" t="n">
        <v>1.0</v>
      </c>
      <c r="M166" t="n">
        <v>14.0</v>
      </c>
      <c r="N166" t="inlineStr">
        <is>
          <t>0.15730337078651685</t>
        </is>
      </c>
      <c r="O166" t="n">
        <v>11.0</v>
      </c>
      <c r="P166" t="n">
        <v>1.0</v>
      </c>
      <c r="Q166" t="inlineStr">
        <is>
          <t>0.07142857142857142</t>
        </is>
      </c>
      <c r="R166" t="inlineStr">
        <is>
          <t>0.09090909090909091</t>
        </is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5.0</v>
      </c>
      <c r="Z166" t="n">
        <v>3.0</v>
      </c>
      <c r="AA166" t="n">
        <v>0.0</v>
      </c>
      <c r="AB166" t="n">
        <v>0.0</v>
      </c>
      <c r="AC166" t="n">
        <v>0.0</v>
      </c>
      <c r="AD166" t="n">
        <v>89.0</v>
      </c>
      <c r="AE166" t="n">
        <v>1.0</v>
      </c>
      <c r="AF166" t="n">
        <v>0.0</v>
      </c>
      <c r="AG166" t="n">
        <v>0.0</v>
      </c>
      <c r="AH166" t="n">
        <v>1.0</v>
      </c>
      <c r="AI166" t="n">
        <v>0.0</v>
      </c>
      <c r="AJ166" t="n">
        <v>0.0</v>
      </c>
      <c r="AK166" t="n">
        <v>10.910112359550562</v>
      </c>
      <c r="AL166" t="inlineStr">
        <is>
          <t/>
        </is>
      </c>
    </row>
    <row r="167">
      <c r="A167" t="inlineStr">
        <is>
          <t>控体后才知道，干净饮食可以这么省钱🤣</t>
        </is>
      </c>
      <c r="B167" t="inlineStr">
        <is>
          <t>69aed383000000001a0367ca</t>
        </is>
      </c>
      <c r="C167" s="166" t="n">
        <f>HYPERLINK("https://www.xiaohongshu.com/explore/69aed383000000001a0367ca?xsec_token=TBy3i3TfmyKE7XGojG_cT9hd8jBQML7F38gjDJq9TaLWk=&amp;xsec_source=pc_trdark","https://www.xiaohongshu.com/explore/69aed383000000001a0367ca?xsec_token=TBy3i3TfmyKE7XGojG_cT9hd8jBQML7F38gjDJq9TaLWk=&amp;xsec_source=pc_trdark")</f>
        <v>0.0</v>
      </c>
      <c r="D167" t="inlineStr">
        <is>
          <t>婉婉上班吃什么</t>
        </is>
      </c>
      <c r="E167" t="inlineStr">
        <is>
          <t>11434449706</t>
        </is>
      </c>
      <c r="F167" t="inlineStr">
        <is>
          <t>2026-03-09 22:04:51</t>
        </is>
      </c>
      <c r="G167" t="inlineStr">
        <is>
          <t>图文</t>
        </is>
      </c>
      <c r="H167" t="inlineStr">
        <is>
          <t>大虾基围虾王牌大虾厄瓜多尔白虾盐冻虾仁海洋大虾送礼顺丰包邮</t>
        </is>
      </c>
      <c r="I167" t="inlineStr">
        <is>
          <t>690aeb7be379430001e686ac</t>
        </is>
      </c>
      <c r="J167" t="inlineStr">
        <is>
          <t/>
        </is>
      </c>
      <c r="K167" t="n">
        <v>0.0</v>
      </c>
      <c r="L167" t="n">
        <v>0.0</v>
      </c>
      <c r="M167" t="n">
        <v>4.0</v>
      </c>
      <c r="N167" t="inlineStr">
        <is>
          <t>0.045454545454545456</t>
        </is>
      </c>
      <c r="O167" t="n">
        <v>4.0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inlineStr">
        <is>
          <t/>
        </is>
      </c>
      <c r="X167" t="n">
        <v>0.0</v>
      </c>
      <c r="Y167" t="n">
        <v>1.0</v>
      </c>
      <c r="Z167" t="n">
        <v>3.0</v>
      </c>
      <c r="AA167" t="n">
        <v>0.0</v>
      </c>
      <c r="AB167" t="n">
        <v>0.0</v>
      </c>
      <c r="AC167" t="n">
        <v>0.0</v>
      </c>
      <c r="AD167" t="n">
        <v>88.0</v>
      </c>
      <c r="AE167" t="n">
        <v>1.0</v>
      </c>
      <c r="AF167" t="n">
        <v>0.0</v>
      </c>
      <c r="AG167" t="n">
        <v>0.0</v>
      </c>
      <c r="AH167" t="n">
        <v>2.0</v>
      </c>
      <c r="AI167" t="n">
        <v>0.0</v>
      </c>
      <c r="AJ167" t="n">
        <v>0.0</v>
      </c>
      <c r="AK167" t="n">
        <v>9.5</v>
      </c>
      <c r="AL167" t="inlineStr">
        <is>
          <t/>
        </is>
      </c>
    </row>
    <row r="168">
      <c r="A168" t="inlineStr">
        <is>
          <t>节后控体，真花不了几个钱，69够吃一周了</t>
        </is>
      </c>
      <c r="B168" t="inlineStr">
        <is>
          <t>69ac3564000000001a035d5d</t>
        </is>
      </c>
      <c r="C168" s="167" t="n">
        <f>HYPERLINK("https://www.xiaohongshu.com/explore/69ac3564000000001a035d5d?xsec_token=TBJgc9C9Zxv_xTZMGIz7T6c26kwi-S1W6qt4bC5QibvVY=&amp;xsec_source=pc_trdark","https://www.xiaohongshu.com/explore/69ac3564000000001a035d5d?xsec_token=TBJgc9C9Zxv_xTZMGIz7T6c26kwi-S1W6qt4bC5QibvVY=&amp;xsec_source=pc_trdark")</f>
        <v>0.0</v>
      </c>
      <c r="D168" t="inlineStr">
        <is>
          <t>鲜水湾</t>
        </is>
      </c>
      <c r="E168" t="inlineStr">
        <is>
          <t>49316638994</t>
        </is>
      </c>
      <c r="F168" t="inlineStr">
        <is>
          <t>2026-03-07 22:25:40</t>
        </is>
      </c>
      <c r="G168" t="inlineStr">
        <is>
          <t>图文</t>
        </is>
      </c>
      <c r="H168" t="inlineStr">
        <is>
          <t>大虾基围虾王牌大虾厄瓜多尔白虾盐冻虾仁海洋大虾送礼顺丰包邮</t>
        </is>
      </c>
      <c r="I168" t="inlineStr">
        <is>
          <t>690aeb7be379430001e686ac</t>
        </is>
      </c>
      <c r="J168" t="inlineStr">
        <is>
          <t/>
        </is>
      </c>
      <c r="K168" t="n">
        <v>0.0</v>
      </c>
      <c r="L168" t="n">
        <v>0.0</v>
      </c>
      <c r="M168" t="n">
        <v>45.0</v>
      </c>
      <c r="N168" t="n">
        <v>0.5113636363636364</v>
      </c>
      <c r="O168" t="n">
        <v>42.0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inlineStr">
        <is>
          <t/>
        </is>
      </c>
      <c r="X168" t="n">
        <v>0.0</v>
      </c>
      <c r="Y168" t="n">
        <v>8.0</v>
      </c>
      <c r="Z168" t="n">
        <v>1.0</v>
      </c>
      <c r="AA168" t="n">
        <v>0.0</v>
      </c>
      <c r="AB168" t="n">
        <v>0.0</v>
      </c>
      <c r="AC168" t="n">
        <v>0.0</v>
      </c>
      <c r="AD168" t="n">
        <v>88.0</v>
      </c>
      <c r="AE168" t="n">
        <v>0.0</v>
      </c>
      <c r="AF168" t="n">
        <v>0.0</v>
      </c>
      <c r="AG168" t="n">
        <v>0.0</v>
      </c>
      <c r="AH168" t="n">
        <v>0.0</v>
      </c>
      <c r="AI168" t="n">
        <v>1.0</v>
      </c>
      <c r="AJ168" t="n">
        <v>0.0</v>
      </c>
      <c r="AK168" t="n">
        <v>8.715909090909092</v>
      </c>
      <c r="AL168" t="inlineStr">
        <is>
          <t/>
        </is>
      </c>
    </row>
    <row r="169">
      <c r="A169" t="inlineStr">
        <is>
          <t>自己赚钱后报复性吃虾吃到撑</t>
        </is>
      </c>
      <c r="B169" t="inlineStr">
        <is>
          <t>69a7da05000000001a02810a</t>
        </is>
      </c>
      <c r="C169" s="168" t="n">
        <f>HYPERLINK("https://www.xiaohongshu.com/explore/69a7da05000000001a02810a?xsec_token=TBfaHJOfbObHzNAqAc3bkGM4fKzf5VrkQIuOL4ZVI0_oE=&amp;xsec_source=pc_trdark","https://www.xiaohongshu.com/explore/69a7da05000000001a02810a?xsec_token=TBfaHJOfbObHzNAqAc3bkGM4fKzf5VrkQIuOL4ZVI0_oE=&amp;xsec_source=pc_trdark")</f>
        <v>0.0</v>
      </c>
      <c r="D169" t="inlineStr">
        <is>
          <t>鲜水湾</t>
        </is>
      </c>
      <c r="E169" t="inlineStr">
        <is>
          <t>49316638994</t>
        </is>
      </c>
      <c r="F169" t="inlineStr">
        <is>
          <t>2026-03-04 15:06:45</t>
        </is>
      </c>
      <c r="G169" t="inlineStr">
        <is>
          <t>图文</t>
        </is>
      </c>
      <c r="H169" t="inlineStr">
        <is>
          <t>大虾基围虾王牌大虾厄瓜多尔白虾盐冻虾仁海洋大虾送礼顺丰包邮</t>
        </is>
      </c>
      <c r="I169" t="inlineStr">
        <is>
          <t>690aeb7be379430001e686ac</t>
        </is>
      </c>
      <c r="J169" t="inlineStr">
        <is>
          <t/>
        </is>
      </c>
      <c r="K169" t="n">
        <v>0.0</v>
      </c>
      <c r="L169" t="n">
        <v>0.0</v>
      </c>
      <c r="M169" t="n">
        <v>14.0</v>
      </c>
      <c r="N169" t="n">
        <v>0.1590909090909091</v>
      </c>
      <c r="O169" t="n">
        <v>11.0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inlineStr">
        <is>
          <t/>
        </is>
      </c>
      <c r="X169" t="n">
        <v>0.0</v>
      </c>
      <c r="Y169" t="n">
        <v>1.0</v>
      </c>
      <c r="Z169" t="n">
        <v>2.0</v>
      </c>
      <c r="AA169" t="n">
        <v>0.0</v>
      </c>
      <c r="AB169" t="n">
        <v>0.0</v>
      </c>
      <c r="AC169" t="n">
        <v>0.0</v>
      </c>
      <c r="AD169" t="n">
        <v>88.0</v>
      </c>
      <c r="AE169" t="n">
        <v>0.0</v>
      </c>
      <c r="AF169" t="n">
        <v>0.0</v>
      </c>
      <c r="AG169" t="n">
        <v>2.0</v>
      </c>
      <c r="AH169" t="n">
        <v>3.0</v>
      </c>
      <c r="AI169" t="n">
        <v>0.0</v>
      </c>
      <c r="AJ169" t="n">
        <v>0.0</v>
      </c>
      <c r="AK169" t="n">
        <v>10.375</v>
      </c>
      <c r="AL169" t="inlineStr">
        <is>
          <t/>
        </is>
      </c>
    </row>
    <row r="170">
      <c r="A170" t="inlineStr">
        <is>
          <t>孕妈妈放心炫的虾！鲜到跳脚还补钙</t>
        </is>
      </c>
      <c r="B170" t="inlineStr">
        <is>
          <t>694aad5f000000001f0085bc</t>
        </is>
      </c>
      <c r="C170" s="169" t="n">
        <f>HYPERLINK("https://www.xiaohongshu.com/explore/694aad5f000000001f0085bc?xsec_token=TBdeZ0Rm1wYmDrNYnjdb_05teoGDji6c5OUtoJGvaOS34=&amp;xsec_source=pc_trdark","https://www.xiaohongshu.com/explore/694aad5f000000001f0085bc?xsec_token=TBdeZ0Rm1wYmDrNYnjdb_05teoGDji6c5OUtoJGvaOS34=&amp;xsec_source=pc_trdark")</f>
        <v>0.0</v>
      </c>
      <c r="D170" t="inlineStr">
        <is>
          <t>鲜水湾</t>
        </is>
      </c>
      <c r="E170" t="inlineStr">
        <is>
          <t>49316638994</t>
        </is>
      </c>
      <c r="F170" t="inlineStr">
        <is>
          <t>2025-12-23 22:55:27</t>
        </is>
      </c>
      <c r="G170" t="inlineStr">
        <is>
          <t>图文</t>
        </is>
      </c>
      <c r="H170" t="inlineStr">
        <is>
          <t>大虾基围虾王牌大虾厄瓜多尔白虾盐冻虾仁海洋大虾送礼顺丰包邮</t>
        </is>
      </c>
      <c r="I170" t="inlineStr">
        <is>
          <t>690aeb7be379430001e686ac</t>
        </is>
      </c>
      <c r="J170" t="inlineStr">
        <is>
          <t/>
        </is>
      </c>
      <c r="K170" t="n">
        <v>0.0</v>
      </c>
      <c r="L170" t="n">
        <v>0.0</v>
      </c>
      <c r="M170" t="n">
        <v>2.0</v>
      </c>
      <c r="N170" t="inlineStr">
        <is>
          <t>0.022727272727272728</t>
        </is>
      </c>
      <c r="O170" t="n">
        <v>2.0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inlineStr">
        <is>
          <t/>
        </is>
      </c>
      <c r="X170" t="n">
        <v>0.0</v>
      </c>
      <c r="Y170" t="n">
        <v>0.0</v>
      </c>
      <c r="Z170" t="n">
        <v>1.0</v>
      </c>
      <c r="AA170" t="n">
        <v>0.0</v>
      </c>
      <c r="AB170" t="n">
        <v>0.0</v>
      </c>
      <c r="AC170" t="n">
        <v>0.0</v>
      </c>
      <c r="AD170" t="n">
        <v>88.0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7.0</v>
      </c>
      <c r="AL170" t="inlineStr">
        <is>
          <t/>
        </is>
      </c>
    </row>
    <row r="171">
      <c r="A171" t="inlineStr">
        <is>
          <t>区区100块，承包我半个月减脂餐</t>
        </is>
      </c>
      <c r="B171" t="inlineStr">
        <is>
          <t>69c3774a0000000022027070</t>
        </is>
      </c>
      <c r="C171" s="170" t="n">
        <f>HYPERLINK("https://www.xiaohongshu.com/explore/69c3774a0000000022027070?xsec_token=TBedSEQ7qtT06AlsylOAiUw_EJw__iw4hZSDvR7f-uEyc=&amp;xsec_source=pc_trdark","https://www.xiaohongshu.com/explore/69c3774a0000000022027070?xsec_token=TBedSEQ7qtT06AlsylOAiUw_EJw__iw4hZSDvR7f-uEyc=&amp;xsec_source=pc_trdark")</f>
        <v>0.0</v>
      </c>
      <c r="D171" t="inlineStr">
        <is>
          <t>鲜水湾</t>
        </is>
      </c>
      <c r="E171" t="inlineStr">
        <is>
          <t>49316638994</t>
        </is>
      </c>
      <c r="F171" t="inlineStr">
        <is>
          <t>2026-03-25 13:48:58</t>
        </is>
      </c>
      <c r="G171" t="inlineStr">
        <is>
          <t>图文</t>
        </is>
      </c>
      <c r="H171" t="inlineStr">
        <is>
          <t>手剥虾仁 无冰衣无添加 低脂餐一人食 上班带饭 顺丰包邮 5盒装</t>
        </is>
      </c>
      <c r="I171" t="inlineStr">
        <is>
          <t>694baba01d450d00013662f0</t>
        </is>
      </c>
      <c r="J171" t="inlineStr">
        <is>
          <t/>
        </is>
      </c>
      <c r="K171" t="n">
        <v>0.0</v>
      </c>
      <c r="L171" t="n">
        <v>0.0</v>
      </c>
      <c r="M171" t="n">
        <v>12.0</v>
      </c>
      <c r="N171" t="inlineStr">
        <is>
          <t>0.13793103448275862</t>
        </is>
      </c>
      <c r="O171" t="n">
        <v>11.0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inlineStr">
        <is>
          <t/>
        </is>
      </c>
      <c r="X171" t="n">
        <v>0.0</v>
      </c>
      <c r="Y171" t="n">
        <v>3.0</v>
      </c>
      <c r="Z171" t="n">
        <v>11.0</v>
      </c>
      <c r="AA171" t="n">
        <v>0.0</v>
      </c>
      <c r="AB171" t="n">
        <v>0.0</v>
      </c>
      <c r="AC171" t="n">
        <v>0.0</v>
      </c>
      <c r="AD171" t="n">
        <v>87.0</v>
      </c>
      <c r="AE171" t="n">
        <v>1.0</v>
      </c>
      <c r="AF171" t="n">
        <v>0.0</v>
      </c>
      <c r="AG171" t="n">
        <v>0.0</v>
      </c>
      <c r="AH171" t="n">
        <v>2.0</v>
      </c>
      <c r="AI171" t="n">
        <v>0.0</v>
      </c>
      <c r="AJ171" t="n">
        <v>0.0</v>
      </c>
      <c r="AK171" t="n">
        <v>12.977011494252874</v>
      </c>
      <c r="AL171" t="inlineStr">
        <is>
          <t/>
        </is>
      </c>
    </row>
    <row r="172">
      <c r="A172" t="inlineStr">
        <is>
          <t>节后控体真花不了多少钱，69 够吃一周了</t>
        </is>
      </c>
      <c r="B172" t="inlineStr">
        <is>
          <t>69a6f10a000000002801ec20</t>
        </is>
      </c>
      <c r="C172" s="171" t="n">
        <f>HYPERLINK("https://www.xiaohongshu.com/explore/69a6f10a000000002801ec20?xsec_token=TBDC5ayGxbZoC8jUhTnn-Nf-WkL7n6O-dpivLEfOXhMsA=&amp;xsec_source=pc_trdark","https://www.xiaohongshu.com/explore/69a6f10a000000002801ec20?xsec_token=TBDC5ayGxbZoC8jUhTnn-Nf-WkL7n6O-dpivLEfOXhMsA=&amp;xsec_source=pc_trdark")</f>
        <v>0.0</v>
      </c>
      <c r="D172" t="inlineStr">
        <is>
          <t>鲜水湾</t>
        </is>
      </c>
      <c r="E172" t="inlineStr">
        <is>
          <t>49316638994</t>
        </is>
      </c>
      <c r="F172" t="inlineStr">
        <is>
          <t>2026-03-03 22:32:42</t>
        </is>
      </c>
      <c r="G172" t="inlineStr">
        <is>
          <t>图文</t>
        </is>
      </c>
      <c r="H172" t="inlineStr">
        <is>
          <t>大虾基围虾王牌大虾厄瓜多尔白虾盐冻虾仁海洋大虾送礼顺丰包邮</t>
        </is>
      </c>
      <c r="I172" t="inlineStr">
        <is>
          <t>690aeb7be379430001e686ac</t>
        </is>
      </c>
      <c r="J172" t="inlineStr">
        <is>
          <t/>
        </is>
      </c>
      <c r="K172" t="n">
        <v>0.0</v>
      </c>
      <c r="L172" t="n">
        <v>0.0</v>
      </c>
      <c r="M172" t="n">
        <v>14.0</v>
      </c>
      <c r="N172" t="inlineStr">
        <is>
          <t>0.16091954022988506</t>
        </is>
      </c>
      <c r="O172" t="n">
        <v>14.0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inlineStr">
        <is>
          <t/>
        </is>
      </c>
      <c r="X172" t="n">
        <v>0.0</v>
      </c>
      <c r="Y172" t="n">
        <v>2.0</v>
      </c>
      <c r="Z172" t="n">
        <v>6.0</v>
      </c>
      <c r="AA172" t="n">
        <v>0.0</v>
      </c>
      <c r="AB172" t="n">
        <v>0.0</v>
      </c>
      <c r="AC172" t="n">
        <v>0.0</v>
      </c>
      <c r="AD172" t="n">
        <v>87.0</v>
      </c>
      <c r="AE172" t="n">
        <v>0.0</v>
      </c>
      <c r="AF172" t="n">
        <v>0.0</v>
      </c>
      <c r="AG172" t="n">
        <v>0.0</v>
      </c>
      <c r="AH172" t="n">
        <v>2.0</v>
      </c>
      <c r="AI172" t="n">
        <v>0.0</v>
      </c>
      <c r="AJ172" t="n">
        <v>0.0</v>
      </c>
      <c r="AK172" t="n">
        <v>9.574712643678161</v>
      </c>
      <c r="AL172" t="inlineStr">
        <is>
          <t/>
        </is>
      </c>
    </row>
    <row r="173">
      <c r="A173" t="inlineStr">
        <is>
          <t>别拿⛰️姆来跟我碰，真的真的不够打</t>
        </is>
      </c>
      <c r="B173" t="inlineStr">
        <is>
          <t>69c8b448000000001f0057df</t>
        </is>
      </c>
      <c r="C173" s="172" t="n">
        <f>HYPERLINK("https://www.xiaohongshu.com/explore/69c8b448000000001f0057df?xsec_token=TBSs0bsvi6YGXB042lLCz_JLLmfHyE2pLwBuMYJYH22X0=&amp;xsec_source=pc_trdark","https://www.xiaohongshu.com/explore/69c8b448000000001f0057df?xsec_token=TBSs0bsvi6YGXB042lLCz_JLLmfHyE2pLwBuMYJYH22X0=&amp;xsec_source=pc_trdark")</f>
        <v>0.0</v>
      </c>
      <c r="D173" t="inlineStr">
        <is>
          <t>鲜水湾</t>
        </is>
      </c>
      <c r="E173" t="inlineStr">
        <is>
          <t>49316638994</t>
        </is>
      </c>
      <c r="F173" t="inlineStr">
        <is>
          <t>2026-03-29 13:10:33</t>
        </is>
      </c>
      <c r="G173" t="inlineStr">
        <is>
          <t>图文</t>
        </is>
      </c>
      <c r="H173" t="inlineStr">
        <is>
          <t>手剥虾仁 无冰衣无添加 低脂餐一人食 上班带饭 顺丰包邮 5盒装</t>
        </is>
      </c>
      <c r="I173" t="inlineStr">
        <is>
          <t>694baba01d450d00013662f0</t>
        </is>
      </c>
      <c r="J173" t="inlineStr">
        <is>
          <t/>
        </is>
      </c>
      <c r="K173" t="n">
        <v>69.0</v>
      </c>
      <c r="L173" t="n">
        <v>1.0</v>
      </c>
      <c r="M173" t="n">
        <v>11.0</v>
      </c>
      <c r="N173" t="inlineStr">
        <is>
          <t>0.12941176470588237</t>
        </is>
      </c>
      <c r="O173" t="n">
        <v>9.0</v>
      </c>
      <c r="P173" t="n">
        <v>1.0</v>
      </c>
      <c r="Q173" t="inlineStr">
        <is>
          <t>0.09090909090909091</t>
        </is>
      </c>
      <c r="R173" t="n">
        <v>0.1111111111111111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3.0</v>
      </c>
      <c r="Z173" t="n">
        <v>0.0</v>
      </c>
      <c r="AA173" t="n">
        <v>0.0</v>
      </c>
      <c r="AB173" t="n">
        <v>0.0</v>
      </c>
      <c r="AC173" t="n">
        <v>0.0</v>
      </c>
      <c r="AD173" t="n">
        <v>85.0</v>
      </c>
      <c r="AE173" t="n">
        <v>2.0</v>
      </c>
      <c r="AF173" t="n">
        <v>0.0</v>
      </c>
      <c r="AG173" t="n">
        <v>0.0</v>
      </c>
      <c r="AH173" t="n">
        <v>2.0</v>
      </c>
      <c r="AI173" t="n">
        <v>0.0</v>
      </c>
      <c r="AJ173" t="n">
        <v>0.0</v>
      </c>
      <c r="AK173" t="n">
        <v>11.870588235294118</v>
      </c>
      <c r="AL173" t="inlineStr">
        <is>
          <t/>
        </is>
      </c>
    </row>
    <row r="174">
      <c r="A174" t="inlineStr">
        <is>
          <t>69元搞定一周蛋白质！无添加宝藏虾仁🍤</t>
        </is>
      </c>
      <c r="B174" t="inlineStr">
        <is>
          <t>69b8b0f9000000002301c5b5</t>
        </is>
      </c>
      <c r="C174" s="173" t="n">
        <f>HYPERLINK("https://www.xiaohongshu.com/explore/69b8b0f9000000002301c5b5?xsec_token=TBfbAEHpo8FSFeopDu7XYUiijSbwDMTO4igQ0S5Mgizao=&amp;xsec_source=pc_trdark","https://www.xiaohongshu.com/explore/69b8b0f9000000002301c5b5?xsec_token=TBfbAEHpo8FSFeopDu7XYUiijSbwDMTO4igQ0S5Mgizao=&amp;xsec_source=pc_trdark")</f>
        <v>0.0</v>
      </c>
      <c r="D174" t="inlineStr">
        <is>
          <t>鲜水湾</t>
        </is>
      </c>
      <c r="E174" t="inlineStr">
        <is>
          <t>49316638994</t>
        </is>
      </c>
      <c r="F174" t="inlineStr">
        <is>
          <t>2026-03-17 09:40:09</t>
        </is>
      </c>
      <c r="G174" t="inlineStr">
        <is>
          <t>图文</t>
        </is>
      </c>
      <c r="H174" t="inlineStr">
        <is>
          <t>手剥虾仁 无冰衣无添加 低脂餐一人食 上班带饭 顺丰包邮 5盒装</t>
        </is>
      </c>
      <c r="I174" t="inlineStr">
        <is>
          <t>694baba01d450d00013662f0</t>
        </is>
      </c>
      <c r="J174" t="inlineStr">
        <is>
          <t/>
        </is>
      </c>
      <c r="K174" t="n">
        <v>0.0</v>
      </c>
      <c r="L174" t="n">
        <v>0.0</v>
      </c>
      <c r="M174" t="n">
        <v>16.0</v>
      </c>
      <c r="N174" t="inlineStr">
        <is>
          <t>0.18823529411764706</t>
        </is>
      </c>
      <c r="O174" t="n">
        <v>13.0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inlineStr">
        <is>
          <t/>
        </is>
      </c>
      <c r="X174" t="n">
        <v>0.0</v>
      </c>
      <c r="Y174" t="n">
        <v>5.0</v>
      </c>
      <c r="Z174" t="n">
        <v>2.0</v>
      </c>
      <c r="AA174" t="n">
        <v>0.0</v>
      </c>
      <c r="AB174" t="n">
        <v>0.0</v>
      </c>
      <c r="AC174" t="n">
        <v>0.0</v>
      </c>
      <c r="AD174" t="n">
        <v>85.0</v>
      </c>
      <c r="AE174" t="n">
        <v>3.0</v>
      </c>
      <c r="AF174" t="n">
        <v>0.0</v>
      </c>
      <c r="AG174" t="n">
        <v>0.0</v>
      </c>
      <c r="AH174" t="n">
        <v>2.0</v>
      </c>
      <c r="AI174" t="n">
        <v>0.0</v>
      </c>
      <c r="AJ174" t="n">
        <v>0.0</v>
      </c>
      <c r="AK174" t="n">
        <v>9.741176470588234</v>
      </c>
      <c r="AL174" t="inlineStr">
        <is>
          <t/>
        </is>
      </c>
    </row>
    <row r="175">
      <c r="A175" t="inlineStr">
        <is>
          <t>说一个撑死人，但热量低到离谱的东西</t>
        </is>
      </c>
      <c r="B175" t="inlineStr">
        <is>
          <t>69b024e9000000000c0156a8</t>
        </is>
      </c>
      <c r="C175" s="174" t="n">
        <f>HYPERLINK("https://www.xiaohongshu.com/explore/69b024e9000000000c0156a8?xsec_token=TB1fCSoBGZhUEvn2zrb_Bw2unwzOfKrOSgUXBOpY3AFHU=&amp;xsec_source=pc_trdark","https://www.xiaohongshu.com/explore/69b024e9000000000c0156a8?xsec_token=TB1fCSoBGZhUEvn2zrb_Bw2unwzOfKrOSgUXBOpY3AFHU=&amp;xsec_source=pc_trdark")</f>
        <v>0.0</v>
      </c>
      <c r="D175" t="inlineStr">
        <is>
          <t>鲜水湾</t>
        </is>
      </c>
      <c r="E175" t="inlineStr">
        <is>
          <t>49316638994</t>
        </is>
      </c>
      <c r="F175" t="inlineStr">
        <is>
          <t>2026-03-10 22:04:25</t>
        </is>
      </c>
      <c r="G175" t="inlineStr">
        <is>
          <t>图文</t>
        </is>
      </c>
      <c r="H175" t="inlineStr">
        <is>
          <t>大虾基围虾王牌大虾厄瓜多尔白虾盐冻虾仁海洋大虾送礼顺丰包邮</t>
        </is>
      </c>
      <c r="I175" t="inlineStr">
        <is>
          <t>690aeb7be379430001e686ac</t>
        </is>
      </c>
      <c r="J175" t="inlineStr">
        <is>
          <t/>
        </is>
      </c>
      <c r="K175" t="n">
        <v>0.0</v>
      </c>
      <c r="L175" t="n">
        <v>0.0</v>
      </c>
      <c r="M175" t="n">
        <v>11.0</v>
      </c>
      <c r="N175" t="inlineStr">
        <is>
          <t>0.12941176470588237</t>
        </is>
      </c>
      <c r="O175" t="n">
        <v>9.0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inlineStr">
        <is>
          <t/>
        </is>
      </c>
      <c r="X175" t="n">
        <v>0.0</v>
      </c>
      <c r="Y175" t="n">
        <v>1.0</v>
      </c>
      <c r="Z175" t="n">
        <v>1.0</v>
      </c>
      <c r="AA175" t="n">
        <v>0.0</v>
      </c>
      <c r="AB175" t="n">
        <v>0.0</v>
      </c>
      <c r="AC175" t="n">
        <v>0.0</v>
      </c>
      <c r="AD175" t="n">
        <v>85.0</v>
      </c>
      <c r="AE175" t="n">
        <v>2.0</v>
      </c>
      <c r="AF175" t="n">
        <v>0.0</v>
      </c>
      <c r="AG175" t="n">
        <v>0.0</v>
      </c>
      <c r="AH175" t="n">
        <v>2.0</v>
      </c>
      <c r="AI175" t="n">
        <v>0.0</v>
      </c>
      <c r="AJ175" t="n">
        <v>0.0</v>
      </c>
      <c r="AK175" t="n">
        <v>7.976470588235294</v>
      </c>
      <c r="AL175" t="inlineStr">
        <is>
          <t/>
        </is>
      </c>
    </row>
    <row r="176">
      <c r="A176" t="inlineStr">
        <is>
          <t>100块搞定半个月轻食！</t>
        </is>
      </c>
      <c r="B176" t="inlineStr">
        <is>
          <t>69c160d200000000220286e8</t>
        </is>
      </c>
      <c r="C176" s="175" t="n">
        <f>HYPERLINK("https://www.xiaohongshu.com/explore/69c160d200000000220286e8?xsec_token=TBltfkQyXS0u_Ko7SgIzuBYswyYeIA_ICVuzn23_suCO8=&amp;xsec_source=pc_trdark","https://www.xiaohongshu.com/explore/69c160d200000000220286e8?xsec_token=TBltfkQyXS0u_Ko7SgIzuBYswyYeIA_ICVuzn23_suCO8=&amp;xsec_source=pc_trdark")</f>
        <v>0.0</v>
      </c>
      <c r="D176" t="inlineStr">
        <is>
          <t>婉婉上班吃什么</t>
        </is>
      </c>
      <c r="E176" t="inlineStr">
        <is>
          <t>11434449706</t>
        </is>
      </c>
      <c r="F176" t="inlineStr">
        <is>
          <t>2026-03-23 23:48:34</t>
        </is>
      </c>
      <c r="G176" t="inlineStr">
        <is>
          <t>图文</t>
        </is>
      </c>
      <c r="H176" t="inlineStr">
        <is>
          <t>手剥虾仁 无冰衣无添加 低脂餐一人食 上班带饭 顺丰包邮 5盒装</t>
        </is>
      </c>
      <c r="I176" t="inlineStr">
        <is>
          <t>694baba01d450d00013662f0</t>
        </is>
      </c>
      <c r="J176" t="inlineStr">
        <is>
          <t/>
        </is>
      </c>
      <c r="K176" t="n">
        <v>197.0</v>
      </c>
      <c r="L176" t="n">
        <v>2.0</v>
      </c>
      <c r="M176" t="n">
        <v>26.0</v>
      </c>
      <c r="N176" t="inlineStr">
        <is>
          <t>0.30952380952380953</t>
        </is>
      </c>
      <c r="O176" t="n">
        <v>19.0</v>
      </c>
      <c r="P176" t="n">
        <v>2.0</v>
      </c>
      <c r="Q176" t="inlineStr">
        <is>
          <t>0.07692307692307693</t>
        </is>
      </c>
      <c r="R176" t="inlineStr">
        <is>
          <t>0.10526315789473684</t>
        </is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5.0</v>
      </c>
      <c r="Z176" t="n">
        <v>2.0</v>
      </c>
      <c r="AA176" t="n">
        <v>0.0</v>
      </c>
      <c r="AB176" t="n">
        <v>0.0</v>
      </c>
      <c r="AC176" t="n">
        <v>0.0</v>
      </c>
      <c r="AD176" t="n">
        <v>84.0</v>
      </c>
      <c r="AE176" t="n">
        <v>0.0</v>
      </c>
      <c r="AF176" t="n">
        <v>0.0</v>
      </c>
      <c r="AG176" t="n">
        <v>1.0</v>
      </c>
      <c r="AH176" t="n">
        <v>1.0</v>
      </c>
      <c r="AI176" t="n">
        <v>0.0</v>
      </c>
      <c r="AJ176" t="n">
        <v>0.0</v>
      </c>
      <c r="AK176" t="n">
        <v>17.05952380952381</v>
      </c>
      <c r="AL176" t="inlineStr">
        <is>
          <t/>
        </is>
      </c>
    </row>
    <row r="177">
      <c r="A177" t="inlineStr">
        <is>
          <t>我家虾仁不够火？还有人吃保水剂虾仁？</t>
        </is>
      </c>
      <c r="B177" t="inlineStr">
        <is>
          <t>69b923f9000000001f007572</t>
        </is>
      </c>
      <c r="C177" s="176" t="n">
        <f>HYPERLINK("https://www.xiaohongshu.com/explore/69b923f9000000001f007572?xsec_token=TBgv0wN35T_w0yZx7fmvlvfJBb-xHI4KTACbiqhuGAzVU=&amp;xsec_source=pc_trdark","https://www.xiaohongshu.com/explore/69b923f9000000001f007572?xsec_token=TBgv0wN35T_w0yZx7fmvlvfJBb-xHI4KTACbiqhuGAzVU=&amp;xsec_source=pc_trdark")</f>
        <v>0.0</v>
      </c>
      <c r="D177" t="inlineStr">
        <is>
          <t>鲜水湾</t>
        </is>
      </c>
      <c r="E177" t="inlineStr">
        <is>
          <t>49316638994</t>
        </is>
      </c>
      <c r="F177" t="inlineStr">
        <is>
          <t>2026-03-17 17:50:49</t>
        </is>
      </c>
      <c r="G177" t="inlineStr">
        <is>
          <t>图文</t>
        </is>
      </c>
      <c r="H177" t="inlineStr">
        <is>
          <t>手剥虾仁 无冰衣无添加 低脂餐一人食 上班带饭 顺丰包邮 5盒装</t>
        </is>
      </c>
      <c r="I177" t="inlineStr">
        <is>
          <t>694baba01d450d00013662f0</t>
        </is>
      </c>
      <c r="J177" t="inlineStr">
        <is>
          <t/>
        </is>
      </c>
      <c r="K177" t="n">
        <v>0.0</v>
      </c>
      <c r="L177" t="n">
        <v>0.0</v>
      </c>
      <c r="M177" t="n">
        <v>14.0</v>
      </c>
      <c r="N177" t="inlineStr">
        <is>
          <t>0.16666666666666666</t>
        </is>
      </c>
      <c r="O177" t="n">
        <v>12.0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inlineStr">
        <is>
          <t/>
        </is>
      </c>
      <c r="X177" t="n">
        <v>0.0</v>
      </c>
      <c r="Y177" t="n">
        <v>1.0</v>
      </c>
      <c r="Z177" t="n">
        <v>0.0</v>
      </c>
      <c r="AA177" t="n">
        <v>0.0</v>
      </c>
      <c r="AB177" t="n">
        <v>0.0</v>
      </c>
      <c r="AC177" t="n">
        <v>0.0</v>
      </c>
      <c r="AD177" t="n">
        <v>84.0</v>
      </c>
      <c r="AE177" t="n">
        <v>2.0</v>
      </c>
      <c r="AF177" t="n">
        <v>0.0</v>
      </c>
      <c r="AG177" t="n">
        <v>0.0</v>
      </c>
      <c r="AH177" t="n">
        <v>2.0</v>
      </c>
      <c r="AI177" t="n">
        <v>0.0</v>
      </c>
      <c r="AJ177" t="n">
        <v>0.0</v>
      </c>
      <c r="AK177" t="n">
        <v>6.988095238095238</v>
      </c>
      <c r="AL177" t="inlineStr">
        <is>
          <t/>
        </is>
      </c>
    </row>
    <row r="178">
      <c r="A178" t="inlineStr">
        <is>
          <t>爸妈对于我每天吃一盒虾仁，表示很奢侈！</t>
        </is>
      </c>
      <c r="B178" t="inlineStr">
        <is>
          <t>69b75d96000000001f00385e</t>
        </is>
      </c>
      <c r="C178" s="177" t="n">
        <f>HYPERLINK("https://www.xiaohongshu.com/explore/69b75d96000000001f00385e?xsec_token=TBioiHaRPpzHnl86RCtCFk9iuT34eQlrApC3cuLbTpDao=&amp;xsec_source=pc_trdark","https://www.xiaohongshu.com/explore/69b75d96000000001f00385e?xsec_token=TBioiHaRPpzHnl86RCtCFk9iuT34eQlrApC3cuLbTpDao=&amp;xsec_source=pc_trdark")</f>
        <v>0.0</v>
      </c>
      <c r="D178" t="inlineStr">
        <is>
          <t>婉婉上班吃什么</t>
        </is>
      </c>
      <c r="E178" t="inlineStr">
        <is>
          <t>11434449706</t>
        </is>
      </c>
      <c r="F178" t="inlineStr">
        <is>
          <t>2026-03-16 09:32:06</t>
        </is>
      </c>
      <c r="G178" t="inlineStr">
        <is>
          <t>图文</t>
        </is>
      </c>
      <c r="H178" t="inlineStr">
        <is>
          <t>手剥虾仁 无冰衣无添加 低脂餐一人食 上班带饭 顺丰包邮 5盒装</t>
        </is>
      </c>
      <c r="I178" t="inlineStr">
        <is>
          <t>694baba01d450d00013662f0</t>
        </is>
      </c>
      <c r="J178" t="inlineStr">
        <is>
          <t/>
        </is>
      </c>
      <c r="K178" t="n">
        <v>0.0</v>
      </c>
      <c r="L178" t="n">
        <v>0.0</v>
      </c>
      <c r="M178" t="n">
        <v>10.0</v>
      </c>
      <c r="N178" t="inlineStr">
        <is>
          <t>0.11904761904761904</t>
        </is>
      </c>
      <c r="O178" t="n">
        <v>9.0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inlineStr">
        <is>
          <t/>
        </is>
      </c>
      <c r="X178" t="n">
        <v>0.0</v>
      </c>
      <c r="Y178" t="n">
        <v>1.0</v>
      </c>
      <c r="Z178" t="n">
        <v>2.0</v>
      </c>
      <c r="AA178" t="n">
        <v>0.0</v>
      </c>
      <c r="AB178" t="n">
        <v>0.0</v>
      </c>
      <c r="AC178" t="n">
        <v>0.0</v>
      </c>
      <c r="AD178" t="n">
        <v>84.0</v>
      </c>
      <c r="AE178" t="n">
        <v>2.0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10.464285714285714</v>
      </c>
      <c r="AL178" t="inlineStr">
        <is>
          <t/>
        </is>
      </c>
    </row>
    <row r="179">
      <c r="A179" t="inlineStr">
        <is>
          <t>泪水打湿控体餐！坚持so到100斤！</t>
        </is>
      </c>
      <c r="B179" t="inlineStr">
        <is>
          <t>69c92c4b000000001a037418</t>
        </is>
      </c>
      <c r="C179" s="178" t="n">
        <f>HYPERLINK("https://www.xiaohongshu.com/explore/69c92c4b000000001a037418?xsec_token=TBbpP5CiN94LtvLtPXlqbAxWUlSJdSlXbGwEKV-nC_i4Y=&amp;xsec_source=pc_trdark","https://www.xiaohongshu.com/explore/69c92c4b000000001a037418?xsec_token=TBbpP5CiN94LtvLtPXlqbAxWUlSJdSlXbGwEKV-nC_i4Y=&amp;xsec_source=pc_trdark")</f>
        <v>0.0</v>
      </c>
      <c r="D179" t="inlineStr">
        <is>
          <t>婉婉上班吃什么</t>
        </is>
      </c>
      <c r="E179" t="inlineStr">
        <is>
          <t>11434449706</t>
        </is>
      </c>
      <c r="F179" t="inlineStr">
        <is>
          <t>2026-03-29 21:42:35</t>
        </is>
      </c>
      <c r="G179" t="inlineStr">
        <is>
          <t>图文</t>
        </is>
      </c>
      <c r="H179" t="inlineStr">
        <is>
          <t>智利三文鱼切块·整条三文鱼·深海鱼一人食健康饮食</t>
        </is>
      </c>
      <c r="I179" t="inlineStr">
        <is>
          <t>691ac562a524ee0001b51d7b</t>
        </is>
      </c>
      <c r="J179" t="inlineStr">
        <is>
          <t/>
        </is>
      </c>
      <c r="K179" t="n">
        <v>0.0</v>
      </c>
      <c r="L179" t="n">
        <v>0.0</v>
      </c>
      <c r="M179" t="n">
        <v>7.0</v>
      </c>
      <c r="N179" t="inlineStr">
        <is>
          <t>0.08433734939759036</t>
        </is>
      </c>
      <c r="O179" t="n">
        <v>7.0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inlineStr">
        <is>
          <t/>
        </is>
      </c>
      <c r="X179" t="n">
        <v>0.0</v>
      </c>
      <c r="Y179" t="n">
        <v>0.0</v>
      </c>
      <c r="Z179" t="n">
        <v>1.0</v>
      </c>
      <c r="AA179" t="n">
        <v>0.0</v>
      </c>
      <c r="AB179" t="n">
        <v>0.0</v>
      </c>
      <c r="AC179" t="n">
        <v>0.0</v>
      </c>
      <c r="AD179" t="n">
        <v>83.0</v>
      </c>
      <c r="AE179" t="n">
        <v>1.0</v>
      </c>
      <c r="AF179" t="n">
        <v>0.0</v>
      </c>
      <c r="AG179" t="n">
        <v>0.0</v>
      </c>
      <c r="AH179" t="n">
        <v>1.0</v>
      </c>
      <c r="AI179" t="n">
        <v>0.0</v>
      </c>
      <c r="AJ179" t="n">
        <v>0.0</v>
      </c>
      <c r="AK179" t="n">
        <v>8.74698795180723</v>
      </c>
      <c r="AL179" t="inlineStr">
        <is>
          <t/>
        </is>
      </c>
    </row>
    <row r="180">
      <c r="A180" t="inlineStr">
        <is>
          <t>健身后花的最值的一笔钱…</t>
        </is>
      </c>
      <c r="B180" t="inlineStr">
        <is>
          <t>69ba70750000000023026413</t>
        </is>
      </c>
      <c r="C180" s="179" t="n">
        <f>HYPERLINK("https://www.xiaohongshu.com/explore/69ba70750000000023026413?xsec_token=TBgJVNruMKjnZKfHBYiZtZCc460pgFnQOv6G-lVE1hT1U=&amp;xsec_source=pc_trdark","https://www.xiaohongshu.com/explore/69ba70750000000023026413?xsec_token=TBgJVNruMKjnZKfHBYiZtZCc460pgFnQOv6G-lVE1hT1U=&amp;xsec_source=pc_trdark")</f>
        <v>0.0</v>
      </c>
      <c r="D180" t="inlineStr">
        <is>
          <t>鲜水湾甄选</t>
        </is>
      </c>
      <c r="E180" t="inlineStr">
        <is>
          <t>27401929161</t>
        </is>
      </c>
      <c r="F180" t="inlineStr">
        <is>
          <t>2026-03-18 17:29:25</t>
        </is>
      </c>
      <c r="G180" t="inlineStr">
        <is>
          <t>图文</t>
        </is>
      </c>
      <c r="H180" t="inlineStr">
        <is>
          <t>智利三文鱼切块·整条三文鱼·深海鱼一人食健康饮食</t>
        </is>
      </c>
      <c r="I180" t="inlineStr">
        <is>
          <t>691ac562a524ee0001b51d7b</t>
        </is>
      </c>
      <c r="J180" t="inlineStr">
        <is>
          <t/>
        </is>
      </c>
      <c r="K180" t="n">
        <v>63.0</v>
      </c>
      <c r="L180" t="n">
        <v>1.0</v>
      </c>
      <c r="M180" t="n">
        <v>9.0</v>
      </c>
      <c r="N180" t="inlineStr">
        <is>
          <t>0.10843373493975904</t>
        </is>
      </c>
      <c r="O180" t="n">
        <v>7.0</v>
      </c>
      <c r="P180" t="n">
        <v>1.0</v>
      </c>
      <c r="Q180" t="n">
        <v>0.1111111111111111</v>
      </c>
      <c r="R180" t="inlineStr">
        <is>
          <t>0.14285714285714285</t>
        </is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1.0</v>
      </c>
      <c r="AA180" t="n">
        <v>0.0</v>
      </c>
      <c r="AB180" t="n">
        <v>0.0</v>
      </c>
      <c r="AC180" t="n">
        <v>0.0</v>
      </c>
      <c r="AD180" t="n">
        <v>83.0</v>
      </c>
      <c r="AE180" t="n">
        <v>3.0</v>
      </c>
      <c r="AF180" t="n">
        <v>0.0</v>
      </c>
      <c r="AG180" t="n">
        <v>0.0</v>
      </c>
      <c r="AH180" t="n">
        <v>2.0</v>
      </c>
      <c r="AI180" t="n">
        <v>0.0</v>
      </c>
      <c r="AJ180" t="n">
        <v>0.0</v>
      </c>
      <c r="AK180" t="n">
        <v>11.831325301204819</v>
      </c>
      <c r="AL180" t="inlineStr">
        <is>
          <t/>
        </is>
      </c>
    </row>
    <row r="181">
      <c r="A181" t="inlineStr">
        <is>
          <t>说了春日控体真不贵，100来块够我吃半个月了</t>
        </is>
      </c>
      <c r="B181" t="inlineStr">
        <is>
          <t>69c38e9400000000230075f9</t>
        </is>
      </c>
      <c r="C181" s="180" t="n">
        <f>HYPERLINK("https://www.xiaohongshu.com/explore/69c38e9400000000230075f9?xsec_token=TBedSEQ7qtT06AlsylOAiUwwK12Ui_VomDWcsXGv1S-h0=&amp;xsec_source=pc_trdark","https://www.xiaohongshu.com/explore/69c38e9400000000230075f9?xsec_token=TBedSEQ7qtT06AlsylOAiUwwK12Ui_VomDWcsXGv1S-h0=&amp;xsec_source=pc_trdark")</f>
        <v>0.0</v>
      </c>
      <c r="D181" t="inlineStr">
        <is>
          <t>菲菲上班吃什么</t>
        </is>
      </c>
      <c r="E181" t="inlineStr">
        <is>
          <t>49936530607</t>
        </is>
      </c>
      <c r="F181" t="inlineStr">
        <is>
          <t>2026-03-25 15:28:20</t>
        </is>
      </c>
      <c r="G181" t="inlineStr">
        <is>
          <t>图文</t>
        </is>
      </c>
      <c r="H181" t="inlineStr">
        <is>
          <t>手剥虾仁 无冰衣无添加 低脂餐一人食 上班带饭 顺丰包邮 5盒装</t>
        </is>
      </c>
      <c r="I181" t="inlineStr">
        <is>
          <t>694baba01d450d00013662f0</t>
        </is>
      </c>
      <c r="J181" t="inlineStr">
        <is>
          <t/>
        </is>
      </c>
      <c r="K181" t="n">
        <v>0.0</v>
      </c>
      <c r="L181" t="n">
        <v>0.0</v>
      </c>
      <c r="M181" t="n">
        <v>6.0</v>
      </c>
      <c r="N181" t="inlineStr">
        <is>
          <t>0.07317073170731707</t>
        </is>
      </c>
      <c r="O181" t="n">
        <v>5.0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inlineStr">
        <is>
          <t/>
        </is>
      </c>
      <c r="X181" t="n">
        <v>0.0</v>
      </c>
      <c r="Y181" t="n">
        <v>1.0</v>
      </c>
      <c r="Z181" t="n">
        <v>2.0</v>
      </c>
      <c r="AA181" t="n">
        <v>0.0</v>
      </c>
      <c r="AB181" t="n">
        <v>0.0</v>
      </c>
      <c r="AC181" t="n">
        <v>0.0</v>
      </c>
      <c r="AD181" t="n">
        <v>82.0</v>
      </c>
      <c r="AE181" t="n">
        <v>3.0</v>
      </c>
      <c r="AF181" t="n">
        <v>1.0</v>
      </c>
      <c r="AG181" t="n">
        <v>0.0</v>
      </c>
      <c r="AH181" t="n">
        <v>1.0</v>
      </c>
      <c r="AI181" t="n">
        <v>0.0</v>
      </c>
      <c r="AJ181" t="n">
        <v>0.0</v>
      </c>
      <c r="AK181" t="n">
        <v>10.353658536585366</v>
      </c>
      <c r="AL181" t="inlineStr">
        <is>
          <t/>
        </is>
      </c>
    </row>
    <row r="182">
      <c r="A182" t="inlineStr">
        <is>
          <t>第一次直观感受到100来块的威力！</t>
        </is>
      </c>
      <c r="B182" t="inlineStr">
        <is>
          <t>69c14c73000000001b022934</t>
        </is>
      </c>
      <c r="C182" s="181" t="n">
        <f>HYPERLINK("https://www.xiaohongshu.com/explore/69c14c73000000001b022934?xsec_token=TBltfkQyXS0u_Ko7SgIzuBYlyucDfee2r2kJ6TThxT5mA=&amp;xsec_source=pc_trdark","https://www.xiaohongshu.com/explore/69c14c73000000001b022934?xsec_token=TBltfkQyXS0u_Ko7SgIzuBYlyucDfee2r2kJ6TThxT5mA=&amp;xsec_source=pc_trdark")</f>
        <v>0.0</v>
      </c>
      <c r="D182" t="inlineStr">
        <is>
          <t>婉婉上班吃什么</t>
        </is>
      </c>
      <c r="E182" t="inlineStr">
        <is>
          <t>11434449706</t>
        </is>
      </c>
      <c r="F182" t="inlineStr">
        <is>
          <t>2026-03-23 22:21:39</t>
        </is>
      </c>
      <c r="G182" t="inlineStr">
        <is>
          <t>图文</t>
        </is>
      </c>
      <c r="H182" t="inlineStr">
        <is>
          <t>手剥虾仁 无冰衣无添加 低脂餐一人食 上班带饭 顺丰包邮 5盒装</t>
        </is>
      </c>
      <c r="I182" t="inlineStr">
        <is>
          <t>694baba01d450d00013662f0</t>
        </is>
      </c>
      <c r="J182" t="inlineStr">
        <is>
          <t/>
        </is>
      </c>
      <c r="K182" t="n">
        <v>69.0</v>
      </c>
      <c r="L182" t="n">
        <v>1.0</v>
      </c>
      <c r="M182" t="n">
        <v>17.0</v>
      </c>
      <c r="N182" t="n">
        <v>0.2073170731707317</v>
      </c>
      <c r="O182" t="n">
        <v>15.0</v>
      </c>
      <c r="P182" t="n">
        <v>1.0</v>
      </c>
      <c r="Q182" t="inlineStr">
        <is>
          <t>0.058823529411764705</t>
        </is>
      </c>
      <c r="R182" t="inlineStr">
        <is>
          <t>0.06666666666666667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4.0</v>
      </c>
      <c r="Z182" t="n">
        <v>2.0</v>
      </c>
      <c r="AA182" t="n">
        <v>0.0</v>
      </c>
      <c r="AB182" t="n">
        <v>0.0</v>
      </c>
      <c r="AC182" t="n">
        <v>0.0</v>
      </c>
      <c r="AD182" t="n">
        <v>82.0</v>
      </c>
      <c r="AE182" t="n">
        <v>0.0</v>
      </c>
      <c r="AF182" t="n">
        <v>0.0</v>
      </c>
      <c r="AG182" t="n">
        <v>0.0</v>
      </c>
      <c r="AH182" t="n">
        <v>1.0</v>
      </c>
      <c r="AI182" t="n">
        <v>0.0</v>
      </c>
      <c r="AJ182" t="n">
        <v>0.0</v>
      </c>
      <c r="AK182" t="n">
        <v>20.048780487804876</v>
      </c>
      <c r="AL182" t="inlineStr">
        <is>
          <t/>
        </is>
      </c>
    </row>
    <row r="183">
      <c r="A183" t="inlineStr">
        <is>
          <t>破防了…😭减脂期的姐妹一定要试试这个！！</t>
        </is>
      </c>
      <c r="B183" t="inlineStr">
        <is>
          <t>69aabe5e000000000e00cd88</t>
        </is>
      </c>
      <c r="C183" s="182" t="n">
        <f>HYPERLINK("https://www.xiaohongshu.com/explore/69aabe5e000000000e00cd88?xsec_token=TB8xU8BGf5cxJmpLtWj3tacYoruRCmF_sTMahc9Et_Psw=&amp;xsec_source=pc_trdark","https://www.xiaohongshu.com/explore/69aabe5e000000000e00cd88?xsec_token=TB8xU8BGf5cxJmpLtWj3tacYoruRCmF_sTMahc9Et_Psw=&amp;xsec_source=pc_trdark")</f>
        <v>0.0</v>
      </c>
      <c r="D183" t="inlineStr">
        <is>
          <t>鲜水湾</t>
        </is>
      </c>
      <c r="E183" t="inlineStr">
        <is>
          <t>49316638994</t>
        </is>
      </c>
      <c r="F183" t="inlineStr">
        <is>
          <t>2026-03-06 19:45:34</t>
        </is>
      </c>
      <c r="G183" t="inlineStr">
        <is>
          <t>图文</t>
        </is>
      </c>
      <c r="H183" t="inlineStr">
        <is>
          <t>大虾基围虾王牌大虾厄瓜多尔白虾盐冻虾仁海洋大虾送礼顺丰包邮</t>
        </is>
      </c>
      <c r="I183" t="inlineStr">
        <is>
          <t>690aeb7be379430001e686ac</t>
        </is>
      </c>
      <c r="J183" t="inlineStr">
        <is>
          <t/>
        </is>
      </c>
      <c r="K183" t="n">
        <v>67.0</v>
      </c>
      <c r="L183" t="n">
        <v>1.0</v>
      </c>
      <c r="M183" t="n">
        <v>10.0</v>
      </c>
      <c r="N183" t="inlineStr">
        <is>
          <t>0.12195121951219512</t>
        </is>
      </c>
      <c r="O183" t="n">
        <v>10.0</v>
      </c>
      <c r="P183" t="n">
        <v>1.0</v>
      </c>
      <c r="Q183" t="n">
        <v>0.1</v>
      </c>
      <c r="R183" t="n">
        <v>0.1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1.0</v>
      </c>
      <c r="Z183" t="n">
        <v>2.0</v>
      </c>
      <c r="AA183" t="n">
        <v>0.0</v>
      </c>
      <c r="AB183" t="n">
        <v>0.0</v>
      </c>
      <c r="AC183" t="n">
        <v>0.0</v>
      </c>
      <c r="AD183" t="n">
        <v>82.0</v>
      </c>
      <c r="AE183" t="n">
        <v>4.0</v>
      </c>
      <c r="AF183" t="n">
        <v>0.0</v>
      </c>
      <c r="AG183" t="n">
        <v>0.0</v>
      </c>
      <c r="AH183" t="n">
        <v>2.0</v>
      </c>
      <c r="AI183" t="n">
        <v>0.0</v>
      </c>
      <c r="AJ183" t="n">
        <v>0.0</v>
      </c>
      <c r="AK183" t="n">
        <v>13.524390243902438</v>
      </c>
      <c r="AL183" t="inlineStr">
        <is>
          <t/>
        </is>
      </c>
    </row>
    <row r="184">
      <c r="A184" t="inlineStr">
        <is>
          <t>一盒25r🔥日料店半成品爽吃</t>
        </is>
      </c>
      <c r="B184" t="inlineStr">
        <is>
          <t>69a78f0f00000000220334a8</t>
        </is>
      </c>
      <c r="C184" s="183" t="n">
        <f>HYPERLINK("https://www.xiaohongshu.com/explore/69a78f0f00000000220334a8?xsec_token=TBfaHJOfbObHzNAqAc3bkGMxRuuc5M21heVwl3DOClwEY=&amp;xsec_source=pc_trdark","https://www.xiaohongshu.com/explore/69a78f0f00000000220334a8?xsec_token=TBfaHJOfbObHzNAqAc3bkGMxRuuc5M21heVwl3DOClwEY=&amp;xsec_source=pc_trdark")</f>
        <v>0.0</v>
      </c>
      <c r="D184" t="inlineStr">
        <is>
          <t>鲜水湾甄选</t>
        </is>
      </c>
      <c r="E184" t="inlineStr">
        <is>
          <t>27401929161</t>
        </is>
      </c>
      <c r="F184" t="inlineStr">
        <is>
          <t>2026-03-04 09:46:55</t>
        </is>
      </c>
      <c r="G184" t="inlineStr">
        <is>
          <t>图文</t>
        </is>
      </c>
      <c r="H184" t="inlineStr">
        <is>
          <t>北极甜虾头籽甜虾元宝虾北极熊冰虾孕妈妈宝宝辅食顺丰</t>
        </is>
      </c>
      <c r="I184" t="inlineStr">
        <is>
          <t>6953717eb8f0bb000115158d</t>
        </is>
      </c>
      <c r="J184" t="inlineStr">
        <is>
          <t/>
        </is>
      </c>
      <c r="K184" t="n">
        <v>59.9</v>
      </c>
      <c r="L184" t="n">
        <v>1.0</v>
      </c>
      <c r="M184" t="n">
        <v>26.0</v>
      </c>
      <c r="N184" t="n">
        <v>0.3170731707317073</v>
      </c>
      <c r="O184" t="n">
        <v>23.0</v>
      </c>
      <c r="P184" t="n">
        <v>1.0</v>
      </c>
      <c r="Q184" t="inlineStr">
        <is>
          <t>0.038461538461538464</t>
        </is>
      </c>
      <c r="R184" t="inlineStr">
        <is>
          <t>0.043478260869565216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3.0</v>
      </c>
      <c r="Z184" t="n">
        <v>4.0</v>
      </c>
      <c r="AA184" t="n">
        <v>0.0</v>
      </c>
      <c r="AB184" t="n">
        <v>0.0</v>
      </c>
      <c r="AC184" t="n">
        <v>0.0</v>
      </c>
      <c r="AD184" t="n">
        <v>82.0</v>
      </c>
      <c r="AE184" t="n">
        <v>1.0</v>
      </c>
      <c r="AF184" t="n">
        <v>0.0</v>
      </c>
      <c r="AG184" t="n">
        <v>0.0</v>
      </c>
      <c r="AH184" t="n">
        <v>1.0</v>
      </c>
      <c r="AI184" t="n">
        <v>0.0</v>
      </c>
      <c r="AJ184" t="n">
        <v>0.0</v>
      </c>
      <c r="AK184" t="n">
        <v>12.78048780487805</v>
      </c>
      <c r="AL184" t="inlineStr">
        <is>
          <t/>
        </is>
      </c>
    </row>
    <row r="185">
      <c r="A185" t="inlineStr">
        <is>
          <t>从此西餐厅别想赚我一分钱！</t>
        </is>
      </c>
      <c r="B185" t="inlineStr">
        <is>
          <t>69a1b573000000001a0340c8</t>
        </is>
      </c>
      <c r="C185" s="184" t="n">
        <f>HYPERLINK("https://www.xiaohongshu.com/explore/69a1b573000000001a0340c8?xsec_token=TBk7Tu9foWGIsieMmGc2tlwncyOwrgcJ6OMGqntCl6zgg=&amp;xsec_source=pc_trdark","https://www.xiaohongshu.com/explore/69a1b573000000001a0340c8?xsec_token=TBk7Tu9foWGIsieMmGc2tlwncyOwrgcJ6OMGqntCl6zgg=&amp;xsec_source=pc_trdark")</f>
        <v>0.0</v>
      </c>
      <c r="D185" t="inlineStr">
        <is>
          <t>鲜水湾</t>
        </is>
      </c>
      <c r="E185" t="inlineStr">
        <is>
          <t>49316638994</t>
        </is>
      </c>
      <c r="F185" t="inlineStr">
        <is>
          <t>2026-02-27 23:17:07</t>
        </is>
      </c>
      <c r="G185" t="inlineStr">
        <is>
          <t>图文</t>
        </is>
      </c>
      <c r="H185" t="inlineStr">
        <is>
          <t>智利三文鱼切块·整条三文鱼·深海鱼一人食健康饮食</t>
        </is>
      </c>
      <c r="I185" t="inlineStr">
        <is>
          <t>691ac562a524ee0001b51d7b</t>
        </is>
      </c>
      <c r="J185" t="inlineStr">
        <is>
          <t/>
        </is>
      </c>
      <c r="K185" t="n">
        <v>0.0</v>
      </c>
      <c r="L185" t="n">
        <v>0.0</v>
      </c>
      <c r="M185" t="n">
        <v>5.0</v>
      </c>
      <c r="N185" t="inlineStr">
        <is>
          <t>0.06097560975609756</t>
        </is>
      </c>
      <c r="O185" t="n">
        <v>5.0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inlineStr">
        <is>
          <t/>
        </is>
      </c>
      <c r="X185" t="n">
        <v>0.0</v>
      </c>
      <c r="Y185" t="n">
        <v>0.0</v>
      </c>
      <c r="Z185" t="n">
        <v>2.0</v>
      </c>
      <c r="AA185" t="n">
        <v>0.0</v>
      </c>
      <c r="AB185" t="n">
        <v>0.0</v>
      </c>
      <c r="AC185" t="n">
        <v>0.0</v>
      </c>
      <c r="AD185" t="n">
        <v>82.0</v>
      </c>
      <c r="AE185" t="n">
        <v>1.0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12.024390243902438</v>
      </c>
      <c r="AL185" t="inlineStr">
        <is>
          <t/>
        </is>
      </c>
    </row>
    <row r="186">
      <c r="A186" t="inlineStr">
        <is>
          <t>孕妈妈可以放心吃的野生深海虾🦐</t>
        </is>
      </c>
      <c r="B186" t="inlineStr">
        <is>
          <t>696d8f8c000000000b008465</t>
        </is>
      </c>
      <c r="C186" s="185" t="n">
        <f>HYPERLINK("https://www.xiaohongshu.com/explore/696d8f8c000000000b008465?xsec_token=TBhBdCGGh1NnVPomuS6-J4Hz1XU76oCrEKAxts5lHzLJg=&amp;xsec_source=pc_trdark","https://www.xiaohongshu.com/explore/696d8f8c000000000b008465?xsec_token=TBhBdCGGh1NnVPomuS6-J4Hz1XU76oCrEKAxts5lHzLJg=&amp;xsec_source=pc_trdark")</f>
        <v>0.0</v>
      </c>
      <c r="D186" t="inlineStr">
        <is>
          <t>鲜水湾甄选</t>
        </is>
      </c>
      <c r="E186" t="inlineStr">
        <is>
          <t>27401929161</t>
        </is>
      </c>
      <c r="F186" t="inlineStr">
        <is>
          <t>2026-01-19 09:57:32</t>
        </is>
      </c>
      <c r="G186" t="inlineStr">
        <is>
          <t>视频</t>
        </is>
      </c>
      <c r="H186" t="inlineStr">
        <is>
          <t>北极甜虾头籽甜虾元宝虾北极熊冰虾孕妈妈宝宝辅食顺丰</t>
        </is>
      </c>
      <c r="I186" t="inlineStr">
        <is>
          <t>6953717eb8f0bb000115158d</t>
        </is>
      </c>
      <c r="J186" t="n">
        <v>38.0</v>
      </c>
      <c r="K186" t="n">
        <v>0.0</v>
      </c>
      <c r="L186" t="n">
        <v>0.0</v>
      </c>
      <c r="M186" t="n">
        <v>6.0</v>
      </c>
      <c r="N186" t="inlineStr">
        <is>
          <t>0.07317073170731707</t>
        </is>
      </c>
      <c r="O186" t="n">
        <v>5.0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inlineStr">
        <is>
          <t/>
        </is>
      </c>
      <c r="X186" t="n">
        <v>0.0</v>
      </c>
      <c r="Y186" t="n">
        <v>2.0</v>
      </c>
      <c r="Z186" t="n">
        <v>0.0</v>
      </c>
      <c r="AA186" t="n">
        <v>0.0</v>
      </c>
      <c r="AB186" t="n">
        <v>0.0</v>
      </c>
      <c r="AC186" t="n">
        <v>0.0</v>
      </c>
      <c r="AD186" t="n">
        <v>82.0</v>
      </c>
      <c r="AE186" t="n">
        <v>0.0</v>
      </c>
      <c r="AF186" t="n">
        <v>0.0</v>
      </c>
      <c r="AG186" t="n">
        <v>0.0</v>
      </c>
      <c r="AH186" t="n">
        <v>0.0</v>
      </c>
      <c r="AI186" t="n">
        <v>1.0</v>
      </c>
      <c r="AJ186" t="n">
        <v>0.0</v>
      </c>
      <c r="AK186" t="n">
        <v>10.024390243902438</v>
      </c>
      <c r="AL186" t="inlineStr">
        <is>
          <t>0.13402061855670103</t>
        </is>
      </c>
    </row>
    <row r="187">
      <c r="A187" t="inlineStr">
        <is>
          <t>别再节食了！打工人这样吃，反而瘦得快</t>
        </is>
      </c>
      <c r="B187" t="inlineStr">
        <is>
          <t>69a91ce00000000028023ab3</t>
        </is>
      </c>
      <c r="C187" s="186" t="n">
        <f>HYPERLINK("https://www.xiaohongshu.com/explore/69a91ce00000000028023ab3?xsec_token=TBX1UPru9xmrqAy_hfS76TmnQV2vtn3hOozsdXNiQBY2U=&amp;xsec_source=pc_trdark","https://www.xiaohongshu.com/explore/69a91ce00000000028023ab3?xsec_token=TBX1UPru9xmrqAy_hfS76TmnQV2vtn3hOozsdXNiQBY2U=&amp;xsec_source=pc_trdark")</f>
        <v>0.0</v>
      </c>
      <c r="D187" t="inlineStr">
        <is>
          <t>鲜水湾</t>
        </is>
      </c>
      <c r="E187" t="inlineStr">
        <is>
          <t>49316638994</t>
        </is>
      </c>
      <c r="F187" t="inlineStr">
        <is>
          <t>2026-03-05 14:04:16</t>
        </is>
      </c>
      <c r="G187" t="inlineStr">
        <is>
          <t>图文</t>
        </is>
      </c>
      <c r="H187" t="inlineStr">
        <is>
          <t>大虾基围虾王牌大虾厄瓜多尔白虾盐冻虾仁海洋大虾送礼顺丰包邮</t>
        </is>
      </c>
      <c r="I187" t="inlineStr">
        <is>
          <t>690aeb7be379430001e686ac</t>
        </is>
      </c>
      <c r="J187" t="inlineStr">
        <is>
          <t/>
        </is>
      </c>
      <c r="K187" t="n">
        <v>0.0</v>
      </c>
      <c r="L187" t="n">
        <v>0.0</v>
      </c>
      <c r="M187" t="n">
        <v>6.0</v>
      </c>
      <c r="N187" t="inlineStr">
        <is>
          <t>0.07407407407407407</t>
        </is>
      </c>
      <c r="O187" t="n">
        <v>6.0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inlineStr">
        <is>
          <t/>
        </is>
      </c>
      <c r="X187" t="n">
        <v>0.0</v>
      </c>
      <c r="Y187" t="n">
        <v>0.0</v>
      </c>
      <c r="Z187" t="n">
        <v>3.0</v>
      </c>
      <c r="AA187" t="n">
        <v>0.0</v>
      </c>
      <c r="AB187" t="n">
        <v>0.0</v>
      </c>
      <c r="AC187" t="n">
        <v>0.0</v>
      </c>
      <c r="AD187" t="n">
        <v>81.0</v>
      </c>
      <c r="AE187" t="n">
        <v>3.0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7.395061728395062</v>
      </c>
      <c r="AL187" t="inlineStr">
        <is>
          <t/>
        </is>
      </c>
    </row>
    <row r="188">
      <c r="A188" t="inlineStr">
        <is>
          <t>年后减脂计划，69块就能搞定一周</t>
        </is>
      </c>
      <c r="B188" t="inlineStr">
        <is>
          <t>69a78b72000000002801c960</t>
        </is>
      </c>
      <c r="C188" s="187" t="n">
        <f>HYPERLINK("https://www.xiaohongshu.com/explore/69a78b72000000002801c960?xsec_token=TBfaHJOfbObHzNAqAc3bkGM2JiQcNLUF_iPTQc7yf4c-0=&amp;xsec_source=pc_trdark","https://www.xiaohongshu.com/explore/69a78b72000000002801c960?xsec_token=TBfaHJOfbObHzNAqAc3bkGM2JiQcNLUF_iPTQc7yf4c-0=&amp;xsec_source=pc_trdark")</f>
        <v>0.0</v>
      </c>
      <c r="D188" t="inlineStr">
        <is>
          <t>鲜水湾</t>
        </is>
      </c>
      <c r="E188" t="inlineStr">
        <is>
          <t>49316638994</t>
        </is>
      </c>
      <c r="F188" t="inlineStr">
        <is>
          <t>2026-03-04 09:31:30</t>
        </is>
      </c>
      <c r="G188" t="inlineStr">
        <is>
          <t>图文</t>
        </is>
      </c>
      <c r="H188" t="inlineStr">
        <is>
          <t>大虾基围虾王牌大虾厄瓜多尔白虾盐冻虾仁海洋大虾送礼顺丰包邮</t>
        </is>
      </c>
      <c r="I188" t="inlineStr">
        <is>
          <t>690aeb7be379430001e686ac</t>
        </is>
      </c>
      <c r="J188" t="inlineStr">
        <is>
          <t/>
        </is>
      </c>
      <c r="K188" t="n">
        <v>0.0</v>
      </c>
      <c r="L188" t="n">
        <v>0.0</v>
      </c>
      <c r="M188" t="n">
        <v>21.0</v>
      </c>
      <c r="N188" t="n">
        <v>0.2625</v>
      </c>
      <c r="O188" t="n">
        <v>14.0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inlineStr">
        <is>
          <t/>
        </is>
      </c>
      <c r="X188" t="n">
        <v>0.0</v>
      </c>
      <c r="Y188" t="n">
        <v>1.0</v>
      </c>
      <c r="Z188" t="n">
        <v>5.0</v>
      </c>
      <c r="AA188" t="n">
        <v>0.0</v>
      </c>
      <c r="AB188" t="n">
        <v>0.0</v>
      </c>
      <c r="AC188" t="n">
        <v>0.0</v>
      </c>
      <c r="AD188" t="n">
        <v>80.0</v>
      </c>
      <c r="AE188" t="n">
        <v>1.0</v>
      </c>
      <c r="AF188" t="n">
        <v>0.0</v>
      </c>
      <c r="AG188" t="n">
        <v>0.0</v>
      </c>
      <c r="AH188" t="n">
        <v>2.0</v>
      </c>
      <c r="AI188" t="n">
        <v>0.0</v>
      </c>
      <c r="AJ188" t="n">
        <v>0.0</v>
      </c>
      <c r="AK188" t="n">
        <v>11.4375</v>
      </c>
      <c r="AL188" t="inlineStr">
        <is>
          <t/>
        </is>
      </c>
    </row>
    <row r="189">
      <c r="A189" t="inlineStr">
        <is>
          <t>带饭的尽头…真的是极简</t>
        </is>
      </c>
      <c r="B189" t="inlineStr">
        <is>
          <t>69ca2a12000000002800a3fc</t>
        </is>
      </c>
      <c r="C189" s="188" t="n">
        <f>HYPERLINK("https://www.xiaohongshu.com/explore/69ca2a12000000002800a3fc?xsec_token=TBZMwIQ43aS0K0DsaEHGlBqjPy6f1AqJZUap9MJ_avY6Q=&amp;xsec_source=pc_trdark","https://www.xiaohongshu.com/explore/69ca2a12000000002800a3fc?xsec_token=TBZMwIQ43aS0K0DsaEHGlBqjPy6f1AqJZUap9MJ_avY6Q=&amp;xsec_source=pc_trdark")</f>
        <v>0.0</v>
      </c>
      <c r="D189" t="inlineStr">
        <is>
          <t>鲜水湾</t>
        </is>
      </c>
      <c r="E189" t="inlineStr">
        <is>
          <t>49316638994</t>
        </is>
      </c>
      <c r="F189" t="inlineStr">
        <is>
          <t>2026-03-30 15:45:22</t>
        </is>
      </c>
      <c r="G189" t="inlineStr">
        <is>
          <t>图文</t>
        </is>
      </c>
      <c r="H189" t="inlineStr">
        <is>
          <t>手剥虾仁 无冰衣无添加 低脂餐一人食 上班带饭 顺丰包邮 5盒装</t>
        </is>
      </c>
      <c r="I189" t="inlineStr">
        <is>
          <t>694baba01d450d00013662f0</t>
        </is>
      </c>
      <c r="J189" t="inlineStr">
        <is>
          <t/>
        </is>
      </c>
      <c r="K189" t="n">
        <v>69.0</v>
      </c>
      <c r="L189" t="n">
        <v>1.0</v>
      </c>
      <c r="M189" t="n">
        <v>13.0</v>
      </c>
      <c r="N189" t="inlineStr">
        <is>
          <t>0.16455696202531644</t>
        </is>
      </c>
      <c r="O189" t="n">
        <v>9.0</v>
      </c>
      <c r="P189" t="n">
        <v>1.0</v>
      </c>
      <c r="Q189" t="inlineStr">
        <is>
          <t>0.07692307692307693</t>
        </is>
      </c>
      <c r="R189" t="n">
        <v>0.1111111111111111</v>
      </c>
      <c r="S189" t="n">
        <v>0.0</v>
      </c>
      <c r="T189" t="n">
        <v>0.0</v>
      </c>
      <c r="U189" t="n">
        <v>0.0</v>
      </c>
      <c r="V189" t="n">
        <v>69.0</v>
      </c>
      <c r="W189" t="n">
        <v>1.0</v>
      </c>
      <c r="X189" t="n">
        <v>1.0</v>
      </c>
      <c r="Y189" t="n">
        <v>1.0</v>
      </c>
      <c r="Z189" t="n">
        <v>2.0</v>
      </c>
      <c r="AA189" t="n">
        <v>0.0</v>
      </c>
      <c r="AB189" t="n">
        <v>0.0</v>
      </c>
      <c r="AC189" t="n">
        <v>0.0</v>
      </c>
      <c r="AD189" t="n">
        <v>79.0</v>
      </c>
      <c r="AE189" t="n">
        <v>1.0</v>
      </c>
      <c r="AF189" t="n">
        <v>0.0</v>
      </c>
      <c r="AG189" t="n">
        <v>1.0</v>
      </c>
      <c r="AH189" t="n">
        <v>2.0</v>
      </c>
      <c r="AI189" t="n">
        <v>0.0</v>
      </c>
      <c r="AJ189" t="n">
        <v>0.0</v>
      </c>
      <c r="AK189" t="n">
        <v>11.759493670886076</v>
      </c>
      <c r="AL189" t="inlineStr">
        <is>
          <t/>
        </is>
      </c>
    </row>
    <row r="190">
      <c r="A190" t="inlineStr">
        <is>
          <t>买的时候也没人说，69💰吃一周减肥餐</t>
        </is>
      </c>
      <c r="B190" t="inlineStr">
        <is>
          <t>69bcfaec000000001a035dde</t>
        </is>
      </c>
      <c r="C190" s="189" t="n">
        <f>HYPERLINK("https://www.xiaohongshu.com/explore/69bcfaec000000001a035dde?xsec_token=TBfIJFVzszocpn5U7ogutYTX-7OkJyEjQl2lp3qe7ySWc=&amp;xsec_source=pc_trdark","https://www.xiaohongshu.com/explore/69bcfaec000000001a035dde?xsec_token=TBfIJFVzszocpn5U7ogutYTX-7OkJyEjQl2lp3qe7ySWc=&amp;xsec_source=pc_trdark")</f>
        <v>0.0</v>
      </c>
      <c r="D190" t="inlineStr">
        <is>
          <t>婉婉上班吃什么</t>
        </is>
      </c>
      <c r="E190" t="inlineStr">
        <is>
          <t>11434449706</t>
        </is>
      </c>
      <c r="F190" t="inlineStr">
        <is>
          <t>2026-03-20 15:44:44</t>
        </is>
      </c>
      <c r="G190" t="inlineStr">
        <is>
          <t>图文</t>
        </is>
      </c>
      <c r="H190" t="inlineStr">
        <is>
          <t>手剥虾仁 无冰衣无添加 低脂餐一人食 上班带饭 顺丰包邮 5盒装</t>
        </is>
      </c>
      <c r="I190" t="inlineStr">
        <is>
          <t>694baba01d450d00013662f0</t>
        </is>
      </c>
      <c r="J190" t="inlineStr">
        <is>
          <t/>
        </is>
      </c>
      <c r="K190" t="n">
        <v>69.0</v>
      </c>
      <c r="L190" t="n">
        <v>1.0</v>
      </c>
      <c r="M190" t="n">
        <v>15.0</v>
      </c>
      <c r="N190" t="n">
        <v>0.189873417721519</v>
      </c>
      <c r="O190" t="n">
        <v>15.0</v>
      </c>
      <c r="P190" t="n">
        <v>1.0</v>
      </c>
      <c r="Q190" t="inlineStr">
        <is>
          <t>0.06666666666666667</t>
        </is>
      </c>
      <c r="R190" t="inlineStr">
        <is>
          <t>0.06666666666666667</t>
        </is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4.0</v>
      </c>
      <c r="Z190" t="n">
        <v>1.0</v>
      </c>
      <c r="AA190" t="n">
        <v>0.0</v>
      </c>
      <c r="AB190" t="n">
        <v>0.0</v>
      </c>
      <c r="AC190" t="n">
        <v>0.0</v>
      </c>
      <c r="AD190" t="n">
        <v>79.0</v>
      </c>
      <c r="AE190" t="n">
        <v>2.0</v>
      </c>
      <c r="AF190" t="n">
        <v>1.0</v>
      </c>
      <c r="AG190" t="n">
        <v>0.0</v>
      </c>
      <c r="AH190" t="n">
        <v>3.0</v>
      </c>
      <c r="AI190" t="n">
        <v>0.0</v>
      </c>
      <c r="AJ190" t="n">
        <v>0.0</v>
      </c>
      <c r="AK190" t="n">
        <v>9.481012658227849</v>
      </c>
      <c r="AL190" t="inlineStr">
        <is>
          <t/>
        </is>
      </c>
    </row>
    <row r="191">
      <c r="A191" t="inlineStr">
        <is>
          <t>感谢315，让真正无添加的好虾仁被看见！</t>
        </is>
      </c>
      <c r="B191" t="inlineStr">
        <is>
          <t>69bb62430000000022025116</t>
        </is>
      </c>
      <c r="C191" s="190" t="n">
        <f>HYPERLINK("https://www.xiaohongshu.com/explore/69bb62430000000022025116?xsec_token=TBbjiHoA30T3IRnkbtYIm1OwRjA6sAGOM_slVseuOnq6k=&amp;xsec_source=pc_trdark","https://www.xiaohongshu.com/explore/69bb62430000000022025116?xsec_token=TBbjiHoA30T3IRnkbtYIm1OwRjA6sAGOM_slVseuOnq6k=&amp;xsec_source=pc_trdark")</f>
        <v>0.0</v>
      </c>
      <c r="D191" t="inlineStr">
        <is>
          <t>鲜水湾</t>
        </is>
      </c>
      <c r="E191" t="inlineStr">
        <is>
          <t>49316638994</t>
        </is>
      </c>
      <c r="F191" t="inlineStr">
        <is>
          <t>2026-03-19 10:41:07</t>
        </is>
      </c>
      <c r="G191" t="inlineStr">
        <is>
          <t>图文</t>
        </is>
      </c>
      <c r="H191" t="inlineStr">
        <is>
          <t>手剥虾仁 无冰衣无添加 低脂餐一人食 上班带饭 顺丰包邮 5盒装</t>
        </is>
      </c>
      <c r="I191" t="inlineStr">
        <is>
          <t>694baba01d450d00013662f0</t>
        </is>
      </c>
      <c r="J191" t="inlineStr">
        <is>
          <t/>
        </is>
      </c>
      <c r="K191" t="n">
        <v>69.0</v>
      </c>
      <c r="L191" t="n">
        <v>1.0</v>
      </c>
      <c r="M191" t="n">
        <v>18.0</v>
      </c>
      <c r="N191" t="inlineStr">
        <is>
          <t>0.22784810126582278</t>
        </is>
      </c>
      <c r="O191" t="n">
        <v>18.0</v>
      </c>
      <c r="P191" t="n">
        <v>1.0</v>
      </c>
      <c r="Q191" t="inlineStr">
        <is>
          <t>0.05555555555555555</t>
        </is>
      </c>
      <c r="R191" t="inlineStr">
        <is>
          <t>0.05555555555555555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1.0</v>
      </c>
      <c r="Z191" t="n">
        <v>5.0</v>
      </c>
      <c r="AA191" t="n">
        <v>0.0</v>
      </c>
      <c r="AB191" t="n">
        <v>0.0</v>
      </c>
      <c r="AC191" t="n">
        <v>0.0</v>
      </c>
      <c r="AD191" t="n">
        <v>79.0</v>
      </c>
      <c r="AE191" t="n">
        <v>1.0</v>
      </c>
      <c r="AF191" t="n">
        <v>0.0</v>
      </c>
      <c r="AG191" t="n">
        <v>0.0</v>
      </c>
      <c r="AH191" t="n">
        <v>1.0</v>
      </c>
      <c r="AI191" t="n">
        <v>0.0</v>
      </c>
      <c r="AJ191" t="n">
        <v>0.0</v>
      </c>
      <c r="AK191" t="n">
        <v>13.012658227848101</v>
      </c>
      <c r="AL191" t="inlineStr">
        <is>
          <t/>
        </is>
      </c>
    </row>
    <row r="192">
      <c r="A192" t="inlineStr">
        <is>
          <t>拒绝外卖！一个人吃不腻的干净饭</t>
        </is>
      </c>
      <c r="B192" t="inlineStr">
        <is>
          <t>69c9d7ec0000000023016d9a</t>
        </is>
      </c>
      <c r="C192" s="191" t="n">
        <f>HYPERLINK("https://www.xiaohongshu.com/explore/69c9d7ec0000000023016d9a?xsec_token=TBbpP5CiN94LtvLtPXlqbAxWp9ykeSf_mjqVUZSr0Zwzw=&amp;xsec_source=pc_trdark","https://www.xiaohongshu.com/explore/69c9d7ec0000000023016d9a?xsec_token=TBbpP5CiN94LtvLtPXlqbAxWp9ykeSf_mjqVUZSr0Zwzw=&amp;xsec_source=pc_trdark")</f>
        <v>0.0</v>
      </c>
      <c r="D192" t="inlineStr">
        <is>
          <t>婉婉上班吃什么</t>
        </is>
      </c>
      <c r="E192" t="inlineStr">
        <is>
          <t>11434449706</t>
        </is>
      </c>
      <c r="F192" t="inlineStr">
        <is>
          <t>2026-03-30 09:54:52</t>
        </is>
      </c>
      <c r="G192" t="inlineStr">
        <is>
          <t>图文</t>
        </is>
      </c>
      <c r="H192" t="inlineStr">
        <is>
          <t>手剥虾仁 无冰衣无添加 低脂餐一人食 上班带饭 顺丰包邮 5盒装</t>
        </is>
      </c>
      <c r="I192" t="inlineStr">
        <is>
          <t>694baba01d450d00013662f0</t>
        </is>
      </c>
      <c r="J192" t="inlineStr">
        <is>
          <t/>
        </is>
      </c>
      <c r="K192" t="n">
        <v>167.0</v>
      </c>
      <c r="L192" t="n">
        <v>2.0</v>
      </c>
      <c r="M192" t="n">
        <v>10.0</v>
      </c>
      <c r="N192" t="n">
        <v>0.1282051282051282</v>
      </c>
      <c r="O192" t="n">
        <v>9.0</v>
      </c>
      <c r="P192" t="n">
        <v>2.0</v>
      </c>
      <c r="Q192" t="n">
        <v>0.2</v>
      </c>
      <c r="R192" t="n">
        <v>0.2222222222222222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3.0</v>
      </c>
      <c r="Z192" t="n">
        <v>2.0</v>
      </c>
      <c r="AA192" t="n">
        <v>0.0</v>
      </c>
      <c r="AB192" t="n">
        <v>0.0</v>
      </c>
      <c r="AC192" t="n">
        <v>0.0</v>
      </c>
      <c r="AD192" t="n">
        <v>78.0</v>
      </c>
      <c r="AE192" t="n">
        <v>0.0</v>
      </c>
      <c r="AF192" t="n">
        <v>1.0</v>
      </c>
      <c r="AG192" t="n">
        <v>0.0</v>
      </c>
      <c r="AH192" t="n">
        <v>1.0</v>
      </c>
      <c r="AI192" t="n">
        <v>0.0</v>
      </c>
      <c r="AJ192" t="n">
        <v>0.0</v>
      </c>
      <c r="AK192" t="n">
        <v>14.628205128205128</v>
      </c>
      <c r="AL192" t="inlineStr">
        <is>
          <t/>
        </is>
      </c>
    </row>
    <row r="193">
      <c r="A193" t="inlineStr">
        <is>
          <t>请大数据把我推荐给上班带饭的宝子</t>
        </is>
      </c>
      <c r="B193" t="inlineStr">
        <is>
          <t>69bb65a4000000002301ff2b</t>
        </is>
      </c>
      <c r="C193" s="192" t="n">
        <f>HYPERLINK("https://www.xiaohongshu.com/explore/69bb65a4000000002301ff2b?xsec_token=TBbjiHoA30T3IRnkbtYIm1O0mDNBiovlJQcw6P_G6mCaU=&amp;xsec_source=pc_trdark","https://www.xiaohongshu.com/explore/69bb65a4000000002301ff2b?xsec_token=TBbjiHoA30T3IRnkbtYIm1O0mDNBiovlJQcw6P_G6mCaU=&amp;xsec_source=pc_trdark")</f>
        <v>0.0</v>
      </c>
      <c r="D193" t="inlineStr">
        <is>
          <t>婉婉上班吃什么</t>
        </is>
      </c>
      <c r="E193" t="inlineStr">
        <is>
          <t>11434449706</t>
        </is>
      </c>
      <c r="F193" t="inlineStr">
        <is>
          <t>2026-03-19 10:55:32</t>
        </is>
      </c>
      <c r="G193" t="inlineStr">
        <is>
          <t>图文</t>
        </is>
      </c>
      <c r="H193" t="inlineStr">
        <is>
          <t>手剥虾仁 无冰衣无添加 低脂餐一人食 上班带饭 顺丰包邮 5盒装</t>
        </is>
      </c>
      <c r="I193" t="inlineStr">
        <is>
          <t>694baba01d450d00013662f0</t>
        </is>
      </c>
      <c r="J193" t="inlineStr">
        <is>
          <t/>
        </is>
      </c>
      <c r="K193" t="n">
        <v>128.0</v>
      </c>
      <c r="L193" t="n">
        <v>1.0</v>
      </c>
      <c r="M193" t="n">
        <v>6.0</v>
      </c>
      <c r="N193" t="inlineStr">
        <is>
          <t>0.07692307692307693</t>
        </is>
      </c>
      <c r="O193" t="n">
        <v>6.0</v>
      </c>
      <c r="P193" t="n">
        <v>1.0</v>
      </c>
      <c r="Q193" t="inlineStr">
        <is>
          <t>0.16666666666666666</t>
        </is>
      </c>
      <c r="R193" t="inlineStr">
        <is>
          <t>0.16666666666666666</t>
        </is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1.0</v>
      </c>
      <c r="Z193" t="n">
        <v>0.0</v>
      </c>
      <c r="AA193" t="n">
        <v>0.0</v>
      </c>
      <c r="AB193" t="n">
        <v>0.0</v>
      </c>
      <c r="AC193" t="n">
        <v>0.0</v>
      </c>
      <c r="AD193" t="n">
        <v>78.0</v>
      </c>
      <c r="AE193" t="n">
        <v>0.0</v>
      </c>
      <c r="AF193" t="n">
        <v>0.0</v>
      </c>
      <c r="AG193" t="n">
        <v>1.0</v>
      </c>
      <c r="AH193" t="n">
        <v>2.0</v>
      </c>
      <c r="AI193" t="n">
        <v>0.0</v>
      </c>
      <c r="AJ193" t="n">
        <v>0.0</v>
      </c>
      <c r="AK193" t="n">
        <v>9.26923076923077</v>
      </c>
      <c r="AL193" t="inlineStr">
        <is>
          <t/>
        </is>
      </c>
    </row>
    <row r="194">
      <c r="A194" t="inlineStr">
        <is>
          <t>老妈说：你就给一人食的单独定制！总会出单的</t>
        </is>
      </c>
      <c r="B194" t="inlineStr">
        <is>
          <t>69b4f850000000001a02c65d</t>
        </is>
      </c>
      <c r="C194" s="193" t="n">
        <f>HYPERLINK("https://www.xiaohongshu.com/explore/69b4f850000000001a02c65d?xsec_token=TB4dy4zP2Sasn_cYXEm_KMI27tF5EN7Zuj1qVRb7-Lryk=&amp;xsec_source=pc_trdark","https://www.xiaohongshu.com/explore/69b4f850000000001a02c65d?xsec_token=TB4dy4zP2Sasn_cYXEm_KMI27tF5EN7Zuj1qVRb7-Lryk=&amp;xsec_source=pc_trdark")</f>
        <v>0.0</v>
      </c>
      <c r="D194" t="inlineStr">
        <is>
          <t>鲜水湾</t>
        </is>
      </c>
      <c r="E194" t="inlineStr">
        <is>
          <t>49316638994</t>
        </is>
      </c>
      <c r="F194" t="inlineStr">
        <is>
          <t>2026-03-14 13:55:28</t>
        </is>
      </c>
      <c r="G194" t="inlineStr">
        <is>
          <t>图文</t>
        </is>
      </c>
      <c r="H194" t="inlineStr">
        <is>
          <t>手剥虾仁 无冰衣无添加 低脂餐一人食 上班带饭 顺丰包邮 5盒装</t>
        </is>
      </c>
      <c r="I194" t="inlineStr">
        <is>
          <t>694baba01d450d00013662f0</t>
        </is>
      </c>
      <c r="J194" t="inlineStr">
        <is>
          <t/>
        </is>
      </c>
      <c r="K194" t="n">
        <v>69.0</v>
      </c>
      <c r="L194" t="n">
        <v>1.0</v>
      </c>
      <c r="M194" t="n">
        <v>9.0</v>
      </c>
      <c r="N194" t="inlineStr">
        <is>
          <t>0.11538461538461539</t>
        </is>
      </c>
      <c r="O194" t="n">
        <v>9.0</v>
      </c>
      <c r="P194" t="n">
        <v>1.0</v>
      </c>
      <c r="Q194" t="n">
        <v>0.1111111111111111</v>
      </c>
      <c r="R194" t="n">
        <v>0.1111111111111111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3.0</v>
      </c>
      <c r="Z194" t="n">
        <v>1.0</v>
      </c>
      <c r="AA194" t="n">
        <v>0.0</v>
      </c>
      <c r="AB194" t="n">
        <v>0.0</v>
      </c>
      <c r="AC194" t="n">
        <v>0.0</v>
      </c>
      <c r="AD194" t="n">
        <v>78.0</v>
      </c>
      <c r="AE194" t="n">
        <v>1.0</v>
      </c>
      <c r="AF194" t="n">
        <v>1.0</v>
      </c>
      <c r="AG194" t="n">
        <v>0.0</v>
      </c>
      <c r="AH194" t="n">
        <v>2.0</v>
      </c>
      <c r="AI194" t="n">
        <v>0.0</v>
      </c>
      <c r="AJ194" t="n">
        <v>0.0</v>
      </c>
      <c r="AK194" t="n">
        <v>21.05128205128205</v>
      </c>
      <c r="AL194" t="inlineStr">
        <is>
          <t/>
        </is>
      </c>
    </row>
    <row r="195">
      <c r="A195" t="inlineStr">
        <is>
          <t>吃 3 箱大虾，就可以丢掉一条裤子了</t>
        </is>
      </c>
      <c r="B195" t="inlineStr">
        <is>
          <t>69afdc5a000000000800fd98</t>
        </is>
      </c>
      <c r="C195" s="194" t="n">
        <f>HYPERLINK("https://www.xiaohongshu.com/explore/69afdc5a000000000800fd98?xsec_token=TBvA7Hz6ko-xGwfQy35gan6dmSY5P1zpH8VpfvibHkhTE=&amp;xsec_source=pc_trdark","https://www.xiaohongshu.com/explore/69afdc5a000000000800fd98?xsec_token=TBvA7Hz6ko-xGwfQy35gan6dmSY5P1zpH8VpfvibHkhTE=&amp;xsec_source=pc_trdark")</f>
        <v>0.0</v>
      </c>
      <c r="D195" t="inlineStr">
        <is>
          <t>婉婉上班吃什么</t>
        </is>
      </c>
      <c r="E195" t="inlineStr">
        <is>
          <t>11434449706</t>
        </is>
      </c>
      <c r="F195" t="inlineStr">
        <is>
          <t>2026-03-10 16:54:50</t>
        </is>
      </c>
      <c r="G195" t="inlineStr">
        <is>
          <t>图文</t>
        </is>
      </c>
      <c r="H195" t="inlineStr">
        <is>
          <t>大虾基围虾王牌大虾厄瓜多尔白虾盐冻虾仁海洋大虾送礼顺丰包邮</t>
        </is>
      </c>
      <c r="I195" t="inlineStr">
        <is>
          <t>690aeb7be379430001e686ac</t>
        </is>
      </c>
      <c r="J195" t="inlineStr">
        <is>
          <t/>
        </is>
      </c>
      <c r="K195" t="n">
        <v>0.0</v>
      </c>
      <c r="L195" t="n">
        <v>0.0</v>
      </c>
      <c r="M195" t="n">
        <v>14.0</v>
      </c>
      <c r="N195" t="n">
        <v>0.1794871794871795</v>
      </c>
      <c r="O195" t="n">
        <v>13.0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inlineStr">
        <is>
          <t/>
        </is>
      </c>
      <c r="X195" t="n">
        <v>0.0</v>
      </c>
      <c r="Y195" t="n">
        <v>2.0</v>
      </c>
      <c r="Z195" t="n">
        <v>0.0</v>
      </c>
      <c r="AA195" t="n">
        <v>0.0</v>
      </c>
      <c r="AB195" t="n">
        <v>0.0</v>
      </c>
      <c r="AC195" t="n">
        <v>0.0</v>
      </c>
      <c r="AD195" t="n">
        <v>78.0</v>
      </c>
      <c r="AE195" t="n">
        <v>1.0</v>
      </c>
      <c r="AF195" t="n">
        <v>0.0</v>
      </c>
      <c r="AG195" t="n">
        <v>0.0</v>
      </c>
      <c r="AH195" t="n">
        <v>2.0</v>
      </c>
      <c r="AI195" t="n">
        <v>0.0</v>
      </c>
      <c r="AJ195" t="n">
        <v>0.0</v>
      </c>
      <c r="AK195" t="n">
        <v>9.217948717948717</v>
      </c>
      <c r="AL195" t="inlineStr">
        <is>
          <t/>
        </is>
      </c>
    </row>
    <row r="196">
      <c r="A196" t="inlineStr">
        <is>
          <t>控体期和老公就这么吃，低卡美味全占了</t>
        </is>
      </c>
      <c r="B196" t="inlineStr">
        <is>
          <t>69af83f4000000000d009cb2</t>
        </is>
      </c>
      <c r="C196" s="195" t="n">
        <f>HYPERLINK("https://www.xiaohongshu.com/explore/69af83f4000000000d009cb2?xsec_token=TBvA7Hz6ko-xGwfQy35gan6RaAoOnrWpneYfWSgNLBEMw=&amp;xsec_source=pc_trdark","https://www.xiaohongshu.com/explore/69af83f4000000000d009cb2?xsec_token=TBvA7Hz6ko-xGwfQy35gan6RaAoOnrWpneYfWSgNLBEMw=&amp;xsec_source=pc_trdark")</f>
        <v>0.0</v>
      </c>
      <c r="D196" t="inlineStr">
        <is>
          <t>婉婉上班吃什么</t>
        </is>
      </c>
      <c r="E196" t="inlineStr">
        <is>
          <t>11434449706</t>
        </is>
      </c>
      <c r="F196" t="inlineStr">
        <is>
          <t>2026-03-10 10:37:40</t>
        </is>
      </c>
      <c r="G196" t="inlineStr">
        <is>
          <t>图文</t>
        </is>
      </c>
      <c r="H196" t="inlineStr">
        <is>
          <t>大虾基围虾王牌大虾厄瓜多尔白虾盐冻虾仁海洋大虾送礼顺丰包邮</t>
        </is>
      </c>
      <c r="I196" t="inlineStr">
        <is>
          <t>690aeb7be379430001e686ac</t>
        </is>
      </c>
      <c r="J196" t="inlineStr">
        <is>
          <t/>
        </is>
      </c>
      <c r="K196" t="n">
        <v>0.0</v>
      </c>
      <c r="L196" t="n">
        <v>0.0</v>
      </c>
      <c r="M196" t="n">
        <v>11.0</v>
      </c>
      <c r="N196" t="inlineStr">
        <is>
          <t>0.14102564102564102</t>
        </is>
      </c>
      <c r="O196" t="n">
        <v>10.0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inlineStr">
        <is>
          <t/>
        </is>
      </c>
      <c r="X196" t="n">
        <v>0.0</v>
      </c>
      <c r="Y196" t="n">
        <v>2.0</v>
      </c>
      <c r="Z196" t="n">
        <v>5.0</v>
      </c>
      <c r="AA196" t="n">
        <v>0.0</v>
      </c>
      <c r="AB196" t="n">
        <v>0.0</v>
      </c>
      <c r="AC196" t="n">
        <v>0.0</v>
      </c>
      <c r="AD196" t="n">
        <v>78.0</v>
      </c>
      <c r="AE196" t="n">
        <v>2.0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12.102564102564102</v>
      </c>
      <c r="AL196" t="inlineStr">
        <is>
          <t/>
        </is>
      </c>
    </row>
    <row r="197">
      <c r="A197" t="inlineStr">
        <is>
          <t>每天带一盒虾仁上班，同事说我很有钱</t>
        </is>
      </c>
      <c r="B197" t="inlineStr">
        <is>
          <t>69a7ec23000000000e00df59</t>
        </is>
      </c>
      <c r="C197" s="196" t="n">
        <f>HYPERLINK("https://www.xiaohongshu.com/explore/69a7ec23000000000e00df59?xsec_token=TBfaHJOfbObHzNAqAc3bkGM8GaTNmLE8VCEgovFydZlgw=&amp;xsec_source=pc_trdark","https://www.xiaohongshu.com/explore/69a7ec23000000000e00df59?xsec_token=TBfaHJOfbObHzNAqAc3bkGM8GaTNmLE8VCEgovFydZlgw=&amp;xsec_source=pc_trdark")</f>
        <v>0.0</v>
      </c>
      <c r="D197" t="inlineStr">
        <is>
          <t>鲜水湾</t>
        </is>
      </c>
      <c r="E197" t="inlineStr">
        <is>
          <t>49316638994</t>
        </is>
      </c>
      <c r="F197" t="inlineStr">
        <is>
          <t>2026-03-04 16:24:03</t>
        </is>
      </c>
      <c r="G197" t="inlineStr">
        <is>
          <t>图文</t>
        </is>
      </c>
      <c r="H197" t="inlineStr">
        <is>
          <t>大虾基围虾王牌大虾厄瓜多尔白虾盐冻虾仁海洋大虾送礼顺丰包邮</t>
        </is>
      </c>
      <c r="I197" t="inlineStr">
        <is>
          <t>690aeb7be379430001e686ac</t>
        </is>
      </c>
      <c r="J197" t="inlineStr">
        <is>
          <t/>
        </is>
      </c>
      <c r="K197" t="n">
        <v>0.0</v>
      </c>
      <c r="L197" t="n">
        <v>0.0</v>
      </c>
      <c r="M197" t="n">
        <v>10.0</v>
      </c>
      <c r="N197" t="n">
        <v>0.1282051282051282</v>
      </c>
      <c r="O197" t="n">
        <v>10.0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inlineStr">
        <is>
          <t/>
        </is>
      </c>
      <c r="X197" t="n">
        <v>0.0</v>
      </c>
      <c r="Y197" t="n">
        <v>1.0</v>
      </c>
      <c r="Z197" t="n">
        <v>1.0</v>
      </c>
      <c r="AA197" t="n">
        <v>0.0</v>
      </c>
      <c r="AB197" t="n">
        <v>0.0</v>
      </c>
      <c r="AC197" t="n">
        <v>0.0</v>
      </c>
      <c r="AD197" t="n">
        <v>78.0</v>
      </c>
      <c r="AE197" t="n">
        <v>2.0</v>
      </c>
      <c r="AF197" t="n">
        <v>0.0</v>
      </c>
      <c r="AG197" t="n">
        <v>0.0</v>
      </c>
      <c r="AH197" t="n">
        <v>1.0</v>
      </c>
      <c r="AI197" t="n">
        <v>0.0</v>
      </c>
      <c r="AJ197" t="n">
        <v>0.0</v>
      </c>
      <c r="AK197" t="n">
        <v>7.294871794871795</v>
      </c>
      <c r="AL197" t="inlineStr">
        <is>
          <t/>
        </is>
      </c>
    </row>
    <row r="198">
      <c r="A198" t="inlineStr">
        <is>
          <t>误以为很贵，实际40多五斤生蚝真的过瘾！</t>
        </is>
      </c>
      <c r="B198" t="inlineStr">
        <is>
          <t>6930088b000000001f006225</t>
        </is>
      </c>
      <c r="C198" s="197" t="n">
        <f>HYPERLINK("https://www.xiaohongshu.com/explore/6930088b000000001f006225?xsec_token=TBXTxn9EZjzobZQSnyFe1Ge_xt-0aEw_uXRIkU64CkQBc=&amp;xsec_source=pc_trdark","https://www.xiaohongshu.com/explore/6930088b000000001f006225?xsec_token=TBXTxn9EZjzobZQSnyFe1Ge_xt-0aEw_uXRIkU64CkQBc=&amp;xsec_source=pc_trdark")</f>
        <v>0.0</v>
      </c>
      <c r="D198" t="inlineStr">
        <is>
          <t>婉婉上班吃什么</t>
        </is>
      </c>
      <c r="E198" t="inlineStr">
        <is>
          <t>11434449706</t>
        </is>
      </c>
      <c r="F198" t="inlineStr">
        <is>
          <t>2025-12-03 17:53:15</t>
        </is>
      </c>
      <c r="G198" t="inlineStr">
        <is>
          <t>视频</t>
        </is>
      </c>
      <c r="H198" t="inlineStr">
        <is>
          <t>生蚝乳山生蚝海蛎子顺丰包邮</t>
        </is>
      </c>
      <c r="I198" t="inlineStr">
        <is>
          <t>690c70971b787900010866cc</t>
        </is>
      </c>
      <c r="J198" t="n">
        <v>30.0</v>
      </c>
      <c r="K198" t="n">
        <v>0.0</v>
      </c>
      <c r="L198" t="n">
        <v>0.0</v>
      </c>
      <c r="M198" t="n">
        <v>3.0</v>
      </c>
      <c r="N198" t="inlineStr">
        <is>
          <t>0.038461538461538464</t>
        </is>
      </c>
      <c r="O198" t="n">
        <v>3.0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inlineStr">
        <is>
          <t/>
        </is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78.0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17.576923076923077</v>
      </c>
      <c r="AL198" t="n">
        <v>0.25</v>
      </c>
    </row>
    <row r="199">
      <c r="A199" t="inlineStr">
        <is>
          <t>春日减脂真不多，69够吃一周了</t>
        </is>
      </c>
      <c r="B199" t="inlineStr">
        <is>
          <t>69c09361000000002800a916</t>
        </is>
      </c>
      <c r="C199" s="198" t="n">
        <f>HYPERLINK("https://www.xiaohongshu.com/explore/69c09361000000002800a916?xsec_token=TBlSRAgxB_sBYkF02kEEKO5y-ckkdG4CF0rDFP7N6KDno=&amp;xsec_source=pc_trdark","https://www.xiaohongshu.com/explore/69c09361000000002800a916?xsec_token=TBlSRAgxB_sBYkF02kEEKO5y-ckkdG4CF0rDFP7N6KDno=&amp;xsec_source=pc_trdark")</f>
        <v>0.0</v>
      </c>
      <c r="D199" t="inlineStr">
        <is>
          <t>鲜水湾</t>
        </is>
      </c>
      <c r="E199" t="inlineStr">
        <is>
          <t>49316638994</t>
        </is>
      </c>
      <c r="F199" t="inlineStr">
        <is>
          <t>2026-03-23 09:12:01</t>
        </is>
      </c>
      <c r="G199" t="inlineStr">
        <is>
          <t>图文</t>
        </is>
      </c>
      <c r="H199" t="inlineStr">
        <is>
          <t>手剥虾仁 无冰衣无添加 低脂餐一人食 上班带饭 顺丰包邮 5盒装</t>
        </is>
      </c>
      <c r="I199" t="inlineStr">
        <is>
          <t>694baba01d450d00013662f0</t>
        </is>
      </c>
      <c r="J199" t="inlineStr">
        <is>
          <t/>
        </is>
      </c>
      <c r="K199" t="n">
        <v>69.0</v>
      </c>
      <c r="L199" t="n">
        <v>1.0</v>
      </c>
      <c r="M199" t="n">
        <v>10.0</v>
      </c>
      <c r="N199" t="inlineStr">
        <is>
          <t>0.12987012987012986</t>
        </is>
      </c>
      <c r="O199" t="n">
        <v>7.0</v>
      </c>
      <c r="P199" t="n">
        <v>1.0</v>
      </c>
      <c r="Q199" t="n">
        <v>0.1</v>
      </c>
      <c r="R199" t="inlineStr">
        <is>
          <t>0.14285714285714285</t>
        </is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3.0</v>
      </c>
      <c r="Z199" t="n">
        <v>1.0</v>
      </c>
      <c r="AA199" t="n">
        <v>0.0</v>
      </c>
      <c r="AB199" t="n">
        <v>0.0</v>
      </c>
      <c r="AC199" t="n">
        <v>0.0</v>
      </c>
      <c r="AD199" t="n">
        <v>77.0</v>
      </c>
      <c r="AE199" t="n">
        <v>2.0</v>
      </c>
      <c r="AF199" t="n">
        <v>0.0</v>
      </c>
      <c r="AG199" t="n">
        <v>0.0</v>
      </c>
      <c r="AH199" t="n">
        <v>2.0</v>
      </c>
      <c r="AI199" t="n">
        <v>0.0</v>
      </c>
      <c r="AJ199" t="n">
        <v>0.0</v>
      </c>
      <c r="AK199" t="n">
        <v>8.402597402597403</v>
      </c>
      <c r="AL199" t="inlineStr">
        <is>
          <t/>
        </is>
      </c>
    </row>
    <row r="200">
      <c r="A200" t="inlineStr">
        <is>
          <t>奉劝大家不要低估70的购买力！</t>
        </is>
      </c>
      <c r="B200" t="inlineStr">
        <is>
          <t>69b8be17000000002003a549</t>
        </is>
      </c>
      <c r="C200" s="199" t="n">
        <f>HYPERLINK("https://www.xiaohongshu.com/explore/69b8be17000000002003a549?xsec_token=TBfbAEHpo8FSFeopDu7XYUigQQge3nW8Tc0O9adbvO_Vg=&amp;xsec_source=pc_trdark","https://www.xiaohongshu.com/explore/69b8be17000000002003a549?xsec_token=TBfbAEHpo8FSFeopDu7XYUigQQge3nW8Tc0O9adbvO_Vg=&amp;xsec_source=pc_trdark")</f>
        <v>0.0</v>
      </c>
      <c r="D200" t="inlineStr">
        <is>
          <t>婉婉上班吃什么</t>
        </is>
      </c>
      <c r="E200" t="inlineStr">
        <is>
          <t>11434449706</t>
        </is>
      </c>
      <c r="F200" t="inlineStr">
        <is>
          <t>2026-03-17 10:36:07</t>
        </is>
      </c>
      <c r="G200" t="inlineStr">
        <is>
          <t>图文</t>
        </is>
      </c>
      <c r="H200" t="inlineStr">
        <is>
          <t>手剥虾仁 无冰衣无添加 低脂餐一人食 上班带饭 顺丰包邮 5盒装</t>
        </is>
      </c>
      <c r="I200" t="inlineStr">
        <is>
          <t>694baba01d450d00013662f0</t>
        </is>
      </c>
      <c r="J200" t="inlineStr">
        <is>
          <t/>
        </is>
      </c>
      <c r="K200" t="n">
        <v>0.0</v>
      </c>
      <c r="L200" t="n">
        <v>0.0</v>
      </c>
      <c r="M200" t="n">
        <v>11.0</v>
      </c>
      <c r="N200" t="inlineStr">
        <is>
          <t>0.14285714285714285</t>
        </is>
      </c>
      <c r="O200" t="n">
        <v>11.0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inlineStr">
        <is>
          <t/>
        </is>
      </c>
      <c r="X200" t="n">
        <v>0.0</v>
      </c>
      <c r="Y200" t="n">
        <v>1.0</v>
      </c>
      <c r="Z200" t="n">
        <v>2.0</v>
      </c>
      <c r="AA200" t="n">
        <v>0.0</v>
      </c>
      <c r="AB200" t="n">
        <v>0.0</v>
      </c>
      <c r="AC200" t="n">
        <v>0.0</v>
      </c>
      <c r="AD200" t="n">
        <v>77.0</v>
      </c>
      <c r="AE200" t="n">
        <v>1.0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9.883116883116884</v>
      </c>
      <c r="AL200" t="inlineStr">
        <is>
          <t/>
        </is>
      </c>
    </row>
    <row r="201">
      <c r="A201" t="inlineStr">
        <is>
          <t>坚持这样吃早餐，体态真的越来越稳了</t>
        </is>
      </c>
      <c r="B201" t="inlineStr">
        <is>
          <t>69abb441000000000e00fe5c</t>
        </is>
      </c>
      <c r="C201" s="200" t="n">
        <f>HYPERLINK("https://www.xiaohongshu.com/explore/69abb441000000000e00fe5c?xsec_token=TBjk1R4L6FFMBESMYKkkhLfGW_WKUdzp60NDXQthordL4=&amp;xsec_source=pc_trdark","https://www.xiaohongshu.com/explore/69abb441000000000e00fe5c?xsec_token=TBjk1R4L6FFMBESMYKkkhLfGW_WKUdzp60NDXQthordL4=&amp;xsec_source=pc_trdark")</f>
        <v>0.0</v>
      </c>
      <c r="D201" t="inlineStr">
        <is>
          <t>鲜水湾</t>
        </is>
      </c>
      <c r="E201" t="inlineStr">
        <is>
          <t>49316638994</t>
        </is>
      </c>
      <c r="F201" t="inlineStr">
        <is>
          <t>2026-03-07 13:14:41</t>
        </is>
      </c>
      <c r="G201" t="inlineStr">
        <is>
          <t>图文</t>
        </is>
      </c>
      <c r="H201" t="inlineStr">
        <is>
          <t>大虾基围虾王牌大虾厄瓜多尔白虾盐冻虾仁海洋大虾送礼顺丰包邮</t>
        </is>
      </c>
      <c r="I201" t="inlineStr">
        <is>
          <t>690aeb7be379430001e686ac</t>
        </is>
      </c>
      <c r="J201" t="inlineStr">
        <is>
          <t/>
        </is>
      </c>
      <c r="K201" t="n">
        <v>0.0</v>
      </c>
      <c r="L201" t="n">
        <v>0.0</v>
      </c>
      <c r="M201" t="n">
        <v>5.0</v>
      </c>
      <c r="N201" t="inlineStr">
        <is>
          <t>0.06578947368421052</t>
        </is>
      </c>
      <c r="O201" t="n">
        <v>4.0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inlineStr">
        <is>
          <t/>
        </is>
      </c>
      <c r="X201" t="n">
        <v>0.0</v>
      </c>
      <c r="Y201" t="n">
        <v>3.0</v>
      </c>
      <c r="Z201" t="n">
        <v>3.0</v>
      </c>
      <c r="AA201" t="n">
        <v>0.0</v>
      </c>
      <c r="AB201" t="n">
        <v>0.0</v>
      </c>
      <c r="AC201" t="n">
        <v>0.0</v>
      </c>
      <c r="AD201" t="n">
        <v>76.0</v>
      </c>
      <c r="AE201" t="n">
        <v>1.0</v>
      </c>
      <c r="AF201" t="n">
        <v>0.0</v>
      </c>
      <c r="AG201" t="n">
        <v>0.0</v>
      </c>
      <c r="AH201" t="n">
        <v>3.0</v>
      </c>
      <c r="AI201" t="n">
        <v>0.0</v>
      </c>
      <c r="AJ201" t="n">
        <v>0.0</v>
      </c>
      <c r="AK201" t="n">
        <v>8.276315789473685</v>
      </c>
      <c r="AL201" t="inlineStr">
        <is>
          <t/>
        </is>
      </c>
    </row>
    <row r="202">
      <c r="A202" t="inlineStr">
        <is>
          <t>300来块真的可以爽吃一个月三文鱼</t>
        </is>
      </c>
      <c r="B202" t="inlineStr">
        <is>
          <t>69a9172c000000002603da23</t>
        </is>
      </c>
      <c r="C202" s="201" t="n">
        <f>HYPERLINK("https://www.xiaohongshu.com/explore/69a9172c000000002603da23?xsec_token=TBX1UPru9xmrqAy_hfS76TmlsKLy6u0KPdMpW9zABhv_8=&amp;xsec_source=pc_trdark","https://www.xiaohongshu.com/explore/69a9172c000000002603da23?xsec_token=TBX1UPru9xmrqAy_hfS76TmlsKLy6u0KPdMpW9zABhv_8=&amp;xsec_source=pc_trdark")</f>
        <v>0.0</v>
      </c>
      <c r="D202" t="inlineStr">
        <is>
          <t>鲜水湾甄选</t>
        </is>
      </c>
      <c r="E202" t="inlineStr">
        <is>
          <t>27401929161</t>
        </is>
      </c>
      <c r="F202" t="inlineStr">
        <is>
          <t>2026-03-05 13:39:56</t>
        </is>
      </c>
      <c r="G202" t="inlineStr">
        <is>
          <t>图文</t>
        </is>
      </c>
      <c r="H202" t="inlineStr">
        <is>
          <t>智利三文鱼切块·整条三文鱼·深海鱼一人食健康饮食</t>
        </is>
      </c>
      <c r="I202" t="inlineStr">
        <is>
          <t>691ac562a524ee0001b51d7b</t>
        </is>
      </c>
      <c r="J202" t="inlineStr">
        <is>
          <t/>
        </is>
      </c>
      <c r="K202" t="n">
        <v>0.0</v>
      </c>
      <c r="L202" t="n">
        <v>0.0</v>
      </c>
      <c r="M202" t="n">
        <v>12.0</v>
      </c>
      <c r="N202" t="inlineStr">
        <is>
          <t>0.15789473684210525</t>
        </is>
      </c>
      <c r="O202" t="n">
        <v>11.0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inlineStr">
        <is>
          <t/>
        </is>
      </c>
      <c r="X202" t="n">
        <v>0.0</v>
      </c>
      <c r="Y202" t="n">
        <v>3.0</v>
      </c>
      <c r="Z202" t="n">
        <v>3.0</v>
      </c>
      <c r="AA202" t="n">
        <v>0.0</v>
      </c>
      <c r="AB202" t="n">
        <v>0.0</v>
      </c>
      <c r="AC202" t="n">
        <v>0.0</v>
      </c>
      <c r="AD202" t="n">
        <v>76.0</v>
      </c>
      <c r="AE202" t="n">
        <v>1.0</v>
      </c>
      <c r="AF202" t="n">
        <v>0.0</v>
      </c>
      <c r="AG202" t="n">
        <v>0.0</v>
      </c>
      <c r="AH202" t="n">
        <v>1.0</v>
      </c>
      <c r="AI202" t="n">
        <v>0.0</v>
      </c>
      <c r="AJ202" t="n">
        <v>0.0</v>
      </c>
      <c r="AK202" t="n">
        <v>13.342105263157896</v>
      </c>
      <c r="AL202" t="inlineStr">
        <is>
          <t/>
        </is>
      </c>
    </row>
    <row r="203">
      <c r="A203" t="inlineStr">
        <is>
          <t>这么大的生蚝你能吃几个？</t>
        </is>
      </c>
      <c r="B203" t="inlineStr">
        <is>
          <t>691fc5ba000000000d00dc1c</t>
        </is>
      </c>
      <c r="C203" s="202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203" t="inlineStr">
        <is>
          <t>婉婉上班吃什么</t>
        </is>
      </c>
      <c r="E203" t="inlineStr">
        <is>
          <t>11434449706</t>
        </is>
      </c>
      <c r="F203" t="inlineStr">
        <is>
          <t>2025-11-21 09:51:54</t>
        </is>
      </c>
      <c r="G203" t="inlineStr">
        <is>
          <t>视频</t>
        </is>
      </c>
      <c r="H203" t="inlineStr">
        <is>
          <t>生蚝乳山生蚝海蛎子顺丰包邮</t>
        </is>
      </c>
      <c r="I203" t="inlineStr">
        <is>
          <t>690c70971b787900010866cc</t>
        </is>
      </c>
      <c r="J203" t="n">
        <v>16.0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inlineStr">
        <is>
          <t/>
        </is>
      </c>
      <c r="R203" t="inlineStr">
        <is>
          <t/>
        </is>
      </c>
      <c r="S203" t="n">
        <v>0.0</v>
      </c>
      <c r="T203" t="n">
        <v>0.0</v>
      </c>
      <c r="U203" t="n">
        <v>0.0</v>
      </c>
      <c r="V203" t="n">
        <v>0.0</v>
      </c>
      <c r="W203" t="inlineStr">
        <is>
          <t/>
        </is>
      </c>
      <c r="X203" t="n">
        <v>0.0</v>
      </c>
      <c r="Y203" t="n">
        <v>0.0</v>
      </c>
      <c r="Z203" t="n">
        <v>1.0</v>
      </c>
      <c r="AA203" t="n">
        <v>0.0</v>
      </c>
      <c r="AB203" t="n">
        <v>0.0</v>
      </c>
      <c r="AC203" t="n">
        <v>0.0</v>
      </c>
      <c r="AD203" t="n">
        <v>76.0</v>
      </c>
      <c r="AE203" t="n">
        <v>1.0</v>
      </c>
      <c r="AF203" t="n">
        <v>0.0</v>
      </c>
      <c r="AG203" t="n">
        <v>0.0</v>
      </c>
      <c r="AH203" t="n">
        <v>0.0</v>
      </c>
      <c r="AI203" t="n">
        <v>1.0</v>
      </c>
      <c r="AJ203" t="n">
        <v>0.0</v>
      </c>
      <c r="AK203" t="n">
        <v>11.513157894736842</v>
      </c>
      <c r="AL203" t="inlineStr">
        <is>
          <t>0.32727272727272727</t>
        </is>
      </c>
    </row>
    <row r="204">
      <c r="A204" t="inlineStr">
        <is>
          <t>100块吃不了一顿火锅，但能承包我一周轻食餐</t>
        </is>
      </c>
      <c r="B204" t="inlineStr">
        <is>
          <t>69c1e82a000000001f0069c8</t>
        </is>
      </c>
      <c r="C204" s="203" t="n">
        <f>HYPERLINK("https://www.xiaohongshu.com/explore/69c1e82a000000001f0069c8?xsec_token=TBltfkQyXS0u_Ko7SgIzuBYmmRjj7lHjnPY5B8Fq3XMYc=&amp;xsec_source=pc_trdark","https://www.xiaohongshu.com/explore/69c1e82a000000001f0069c8?xsec_token=TBltfkQyXS0u_Ko7SgIzuBYmmRjj7lHjnPY5B8Fq3XMYc=&amp;xsec_source=pc_trdark")</f>
        <v>0.0</v>
      </c>
      <c r="D204" t="inlineStr">
        <is>
          <t>鲜水湾</t>
        </is>
      </c>
      <c r="E204" t="inlineStr">
        <is>
          <t>49316638994</t>
        </is>
      </c>
      <c r="F204" t="inlineStr">
        <is>
          <t>2026-03-24 09:26:02</t>
        </is>
      </c>
      <c r="G204" t="inlineStr">
        <is>
          <t>图文</t>
        </is>
      </c>
      <c r="H204" t="inlineStr">
        <is>
          <t>手剥虾仁 无冰衣无添加 低脂餐一人食 上班带饭 顺丰包邮 5盒装</t>
        </is>
      </c>
      <c r="I204" t="inlineStr">
        <is>
          <t>694baba01d450d00013662f0</t>
        </is>
      </c>
      <c r="J204" t="inlineStr">
        <is>
          <t/>
        </is>
      </c>
      <c r="K204" t="n">
        <v>69.0</v>
      </c>
      <c r="L204" t="n">
        <v>1.0</v>
      </c>
      <c r="M204" t="n">
        <v>8.0</v>
      </c>
      <c r="N204" t="inlineStr">
        <is>
          <t>0.10666666666666667</t>
        </is>
      </c>
      <c r="O204" t="n">
        <v>8.0</v>
      </c>
      <c r="P204" t="n">
        <v>1.0</v>
      </c>
      <c r="Q204" t="n">
        <v>0.125</v>
      </c>
      <c r="R204" t="n">
        <v>0.125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2.0</v>
      </c>
      <c r="Z204" t="n">
        <v>1.0</v>
      </c>
      <c r="AA204" t="n">
        <v>0.0</v>
      </c>
      <c r="AB204" t="n">
        <v>0.0</v>
      </c>
      <c r="AC204" t="n">
        <v>0.0</v>
      </c>
      <c r="AD204" t="n">
        <v>75.0</v>
      </c>
      <c r="AE204" t="n">
        <v>2.0</v>
      </c>
      <c r="AF204" t="n">
        <v>0.0</v>
      </c>
      <c r="AG204" t="n">
        <v>0.0</v>
      </c>
      <c r="AH204" t="n">
        <v>2.0</v>
      </c>
      <c r="AI204" t="n">
        <v>1.0</v>
      </c>
      <c r="AJ204" t="n">
        <v>0.0</v>
      </c>
      <c r="AK204" t="n">
        <v>7.96</v>
      </c>
      <c r="AL204" t="inlineStr">
        <is>
          <t/>
        </is>
      </c>
    </row>
    <row r="205">
      <c r="A205" t="inlineStr">
        <is>
          <t>区区69块💰承包了我一星期减脂餐</t>
        </is>
      </c>
      <c r="B205" t="inlineStr">
        <is>
          <t>69bd027c000000001f007dc1</t>
        </is>
      </c>
      <c r="C205" s="204" t="n">
        <f>HYPERLINK("https://www.xiaohongshu.com/explore/69bd027c000000001f007dc1?xsec_token=TBRwbx0S6Y78qN5wWC1_PyBHONLIcXZuNu9QffIcJOvOQ=&amp;xsec_source=pc_trdark","https://www.xiaohongshu.com/explore/69bd027c000000001f007dc1?xsec_token=TBRwbx0S6Y78qN5wWC1_PyBHONLIcXZuNu9QffIcJOvOQ=&amp;xsec_source=pc_trdark")</f>
        <v>0.0</v>
      </c>
      <c r="D205" t="inlineStr">
        <is>
          <t>菲菲上班吃什么</t>
        </is>
      </c>
      <c r="E205" t="inlineStr">
        <is>
          <t>49936530607</t>
        </is>
      </c>
      <c r="F205" t="inlineStr">
        <is>
          <t>2026-03-20 16:17:00</t>
        </is>
      </c>
      <c r="G205" t="inlineStr">
        <is>
          <t>图文</t>
        </is>
      </c>
      <c r="H205" t="inlineStr">
        <is>
          <t>手剥虾仁 无冰衣无添加 低脂餐一人食 上班带饭 顺丰包邮 5盒装</t>
        </is>
      </c>
      <c r="I205" t="inlineStr">
        <is>
          <t>694baba01d450d00013662f0</t>
        </is>
      </c>
      <c r="J205" t="inlineStr">
        <is>
          <t/>
        </is>
      </c>
      <c r="K205" t="n">
        <v>0.0</v>
      </c>
      <c r="L205" t="n">
        <v>0.0</v>
      </c>
      <c r="M205" t="n">
        <v>11.0</v>
      </c>
      <c r="N205" t="inlineStr">
        <is>
          <t>0.14666666666666667</t>
        </is>
      </c>
      <c r="O205" t="n">
        <v>10.0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inlineStr">
        <is>
          <t/>
        </is>
      </c>
      <c r="X205" t="n">
        <v>0.0</v>
      </c>
      <c r="Y205" t="n">
        <v>1.0</v>
      </c>
      <c r="Z205" t="n">
        <v>4.0</v>
      </c>
      <c r="AA205" t="n">
        <v>0.0</v>
      </c>
      <c r="AB205" t="n">
        <v>0.0</v>
      </c>
      <c r="AC205" t="n">
        <v>0.0</v>
      </c>
      <c r="AD205" t="n">
        <v>75.0</v>
      </c>
      <c r="AE205" t="n">
        <v>1.0</v>
      </c>
      <c r="AF205" t="n">
        <v>0.0</v>
      </c>
      <c r="AG205" t="n">
        <v>0.0</v>
      </c>
      <c r="AH205" t="n">
        <v>1.0</v>
      </c>
      <c r="AI205" t="n">
        <v>0.0</v>
      </c>
      <c r="AJ205" t="n">
        <v>0.0</v>
      </c>
      <c r="AK205" t="n">
        <v>12.213333333333333</v>
      </c>
      <c r="AL205" t="inlineStr">
        <is>
          <t/>
        </is>
      </c>
    </row>
    <row r="206">
      <c r="A206" t="inlineStr">
        <is>
          <t>补营养吃三文鱼才是最夯的😌</t>
        </is>
      </c>
      <c r="B206" t="inlineStr">
        <is>
          <t>69b24cb60000000004001084</t>
        </is>
      </c>
      <c r="C206" s="205" t="n">
        <f>HYPERLINK("https://www.xiaohongshu.com/explore/69b24cb60000000004001084?xsec_token=TB020mu_sDtHEgaPvBWpjWud1D2ZaM5RopL_C-nSOpMAg=&amp;xsec_source=pc_trdark","https://www.xiaohongshu.com/explore/69b24cb60000000004001084?xsec_token=TB020mu_sDtHEgaPvBWpjWud1D2ZaM5RopL_C-nSOpMAg=&amp;xsec_source=pc_trdark")</f>
        <v>0.0</v>
      </c>
      <c r="D206" t="inlineStr">
        <is>
          <t>鲜水湾</t>
        </is>
      </c>
      <c r="E206" t="inlineStr">
        <is>
          <t>49316638994</t>
        </is>
      </c>
      <c r="F206" t="inlineStr">
        <is>
          <t>2026-03-12 13:18:46</t>
        </is>
      </c>
      <c r="G206" t="inlineStr">
        <is>
          <t>图文</t>
        </is>
      </c>
      <c r="H206" t="inlineStr">
        <is>
          <t>智利三文鱼切块·整条三文鱼·深海鱼一人食健康饮食</t>
        </is>
      </c>
      <c r="I206" t="inlineStr">
        <is>
          <t>691ac562a524ee0001b51d7b</t>
        </is>
      </c>
      <c r="J206" t="inlineStr">
        <is>
          <t/>
        </is>
      </c>
      <c r="K206" t="n">
        <v>0.0</v>
      </c>
      <c r="L206" t="n">
        <v>0.0</v>
      </c>
      <c r="M206" t="n">
        <v>7.0</v>
      </c>
      <c r="N206" t="inlineStr">
        <is>
          <t>0.09333333333333334</t>
        </is>
      </c>
      <c r="O206" t="n">
        <v>6.0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inlineStr">
        <is>
          <t/>
        </is>
      </c>
      <c r="X206" t="n">
        <v>0.0</v>
      </c>
      <c r="Y206" t="n">
        <v>2.0</v>
      </c>
      <c r="Z206" t="n">
        <v>1.0</v>
      </c>
      <c r="AA206" t="n">
        <v>0.0</v>
      </c>
      <c r="AB206" t="n">
        <v>0.0</v>
      </c>
      <c r="AC206" t="n">
        <v>0.0</v>
      </c>
      <c r="AD206" t="n">
        <v>75.0</v>
      </c>
      <c r="AE206" t="n">
        <v>1.0</v>
      </c>
      <c r="AF206" t="n">
        <v>0.0</v>
      </c>
      <c r="AG206" t="n">
        <v>0.0</v>
      </c>
      <c r="AH206" t="n">
        <v>2.0</v>
      </c>
      <c r="AI206" t="n">
        <v>0.0</v>
      </c>
      <c r="AJ206" t="n">
        <v>0.0</v>
      </c>
      <c r="AK206" t="n">
        <v>12.386666666666667</v>
      </c>
      <c r="AL206" t="inlineStr">
        <is>
          <t/>
        </is>
      </c>
    </row>
    <row r="207">
      <c r="A207" t="inlineStr">
        <is>
          <t>这乳山生蚝49.9一箱光是口感就赢麻了</t>
        </is>
      </c>
      <c r="B207" t="inlineStr">
        <is>
          <t>696a474d000000001a02c985</t>
        </is>
      </c>
      <c r="C207" s="206" t="n">
        <f>HYPERLINK("https://www.xiaohongshu.com/explore/696a474d000000001a02c985?xsec_token=TB0eXhepDH8HSHhoc_PkmgA4xaPxro562b0unkESVDxtg=&amp;xsec_source=pc_trdark","https://www.xiaohongshu.com/explore/696a474d000000001a02c985?xsec_token=TB0eXhepDH8HSHhoc_PkmgA4xaPxro562b0unkESVDxtg=&amp;xsec_source=pc_trdark")</f>
        <v>0.0</v>
      </c>
      <c r="D207" t="inlineStr">
        <is>
          <t>婉婉上班吃什么</t>
        </is>
      </c>
      <c r="E207" t="inlineStr">
        <is>
          <t>11434449706</t>
        </is>
      </c>
      <c r="F207" t="inlineStr">
        <is>
          <t>2026-01-16 22:12:29</t>
        </is>
      </c>
      <c r="G207" t="inlineStr">
        <is>
          <t>视频</t>
        </is>
      </c>
      <c r="H207" t="inlineStr">
        <is>
          <t>生蚝乳山生蚝海蛎子顺丰包邮</t>
        </is>
      </c>
      <c r="I207" t="inlineStr">
        <is>
          <t>690c70971b787900010866cc</t>
        </is>
      </c>
      <c r="J207" t="n">
        <v>13.0</v>
      </c>
      <c r="K207" t="n">
        <v>0.0</v>
      </c>
      <c r="L207" t="n">
        <v>0.0</v>
      </c>
      <c r="M207" t="n">
        <v>3.0</v>
      </c>
      <c r="N207" t="n">
        <v>0.04</v>
      </c>
      <c r="O207" t="n">
        <v>3.0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inlineStr">
        <is>
          <t/>
        </is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75.0</v>
      </c>
      <c r="AE207" t="n">
        <v>1.0</v>
      </c>
      <c r="AF207" t="n">
        <v>0.0</v>
      </c>
      <c r="AG207" t="n">
        <v>0.0</v>
      </c>
      <c r="AH207" t="n">
        <v>1.0</v>
      </c>
      <c r="AI207" t="n">
        <v>0.0</v>
      </c>
      <c r="AJ207" t="n">
        <v>0.0</v>
      </c>
      <c r="AK207" t="n">
        <v>8.32</v>
      </c>
      <c r="AL207" t="inlineStr">
        <is>
          <t>0.25225225225225223</t>
        </is>
      </c>
    </row>
    <row r="208">
      <c r="A208" t="inlineStr">
        <is>
          <t>发现大家都严重低估了100来块的购买力…</t>
        </is>
      </c>
      <c r="B208" t="inlineStr">
        <is>
          <t>69c14136000000001f00088f</t>
        </is>
      </c>
      <c r="C208" s="207" t="n">
        <f>HYPERLINK("https://www.xiaohongshu.com/explore/69c14136000000001f00088f?xsec_token=TBltfkQyXS0u_Ko7SgIzuBYtg0X6pJMeOEdeA9E5HnIUg=&amp;xsec_source=pc_trdark","https://www.xiaohongshu.com/explore/69c14136000000001f00088f?xsec_token=TBltfkQyXS0u_Ko7SgIzuBYtg0X6pJMeOEdeA9E5HnIUg=&amp;xsec_source=pc_trdark")</f>
        <v>0.0</v>
      </c>
      <c r="D208" t="inlineStr">
        <is>
          <t>鲜水湾</t>
        </is>
      </c>
      <c r="E208" t="inlineStr">
        <is>
          <t>49316638994</t>
        </is>
      </c>
      <c r="F208" t="inlineStr">
        <is>
          <t>2026-03-23 21:33:42</t>
        </is>
      </c>
      <c r="G208" t="inlineStr">
        <is>
          <t>图文</t>
        </is>
      </c>
      <c r="H208" t="inlineStr">
        <is>
          <t>手剥虾仁 无冰衣无添加 低脂餐一人食 上班带饭 顺丰包邮 5盒装</t>
        </is>
      </c>
      <c r="I208" t="inlineStr">
        <is>
          <t>694baba01d450d00013662f0</t>
        </is>
      </c>
      <c r="J208" t="inlineStr">
        <is>
          <t/>
        </is>
      </c>
      <c r="K208" t="n">
        <v>0.0</v>
      </c>
      <c r="L208" t="n">
        <v>0.0</v>
      </c>
      <c r="M208" t="n">
        <v>12.0</v>
      </c>
      <c r="N208" t="inlineStr">
        <is>
          <t>0.16216216216216217</t>
        </is>
      </c>
      <c r="O208" t="n">
        <v>9.0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inlineStr">
        <is>
          <t/>
        </is>
      </c>
      <c r="X208" t="n">
        <v>0.0</v>
      </c>
      <c r="Y208" t="n">
        <v>2.0</v>
      </c>
      <c r="Z208" t="n">
        <v>7.0</v>
      </c>
      <c r="AA208" t="n">
        <v>0.0</v>
      </c>
      <c r="AB208" t="n">
        <v>0.0</v>
      </c>
      <c r="AC208" t="n">
        <v>0.0</v>
      </c>
      <c r="AD208" t="n">
        <v>74.0</v>
      </c>
      <c r="AE208" t="n">
        <v>1.0</v>
      </c>
      <c r="AF208" t="n">
        <v>0.0</v>
      </c>
      <c r="AG208" t="n">
        <v>0.0</v>
      </c>
      <c r="AH208" t="n">
        <v>1.0</v>
      </c>
      <c r="AI208" t="n">
        <v>0.0</v>
      </c>
      <c r="AJ208" t="n">
        <v>0.0</v>
      </c>
      <c r="AK208" t="n">
        <v>10.256756756756756</v>
      </c>
      <c r="AL208" t="inlineStr">
        <is>
          <t/>
        </is>
      </c>
    </row>
    <row r="209">
      <c r="A209" t="inlineStr">
        <is>
          <t>同事问我为什么每天带饭都是虾</t>
        </is>
      </c>
      <c r="B209" t="inlineStr">
        <is>
          <t>69c0e495000000002202795b</t>
        </is>
      </c>
      <c r="C209" s="208" t="n">
        <f>HYPERLINK("https://www.xiaohongshu.com/explore/69c0e495000000002202795b?xsec_token=TBlSRAgxB_sBYkF02kEEKO5-KAm0BC9Xe8MDqrFMwZelU=&amp;xsec_source=pc_trdark","https://www.xiaohongshu.com/explore/69c0e495000000002202795b?xsec_token=TBlSRAgxB_sBYkF02kEEKO5-KAm0BC9Xe8MDqrFMwZelU=&amp;xsec_source=pc_trdark")</f>
        <v>0.0</v>
      </c>
      <c r="D209" t="inlineStr">
        <is>
          <t>婉婉上班吃什么</t>
        </is>
      </c>
      <c r="E209" t="inlineStr">
        <is>
          <t>11434449706</t>
        </is>
      </c>
      <c r="F209" t="inlineStr">
        <is>
          <t>2026-03-23 14:58:29</t>
        </is>
      </c>
      <c r="G209" t="inlineStr">
        <is>
          <t>图文</t>
        </is>
      </c>
      <c r="H209" t="inlineStr">
        <is>
          <t>手剥虾仁 无冰衣无添加 低脂餐一人食 上班带饭 顺丰包邮 5盒装</t>
        </is>
      </c>
      <c r="I209" t="inlineStr">
        <is>
          <t>694baba01d450d00013662f0</t>
        </is>
      </c>
      <c r="J209" t="inlineStr">
        <is>
          <t/>
        </is>
      </c>
      <c r="K209" t="n">
        <v>69.0</v>
      </c>
      <c r="L209" t="n">
        <v>1.0</v>
      </c>
      <c r="M209" t="n">
        <v>6.0</v>
      </c>
      <c r="N209" t="inlineStr">
        <is>
          <t>0.08108108108108109</t>
        </is>
      </c>
      <c r="O209" t="n">
        <v>6.0</v>
      </c>
      <c r="P209" t="n">
        <v>1.0</v>
      </c>
      <c r="Q209" t="inlineStr">
        <is>
          <t>0.16666666666666666</t>
        </is>
      </c>
      <c r="R209" t="inlineStr">
        <is>
          <t>0.16666666666666666</t>
        </is>
      </c>
      <c r="S209" t="n">
        <v>69.0</v>
      </c>
      <c r="T209" t="n">
        <v>1.0</v>
      </c>
      <c r="U209" t="n">
        <v>1.0</v>
      </c>
      <c r="V209" t="n">
        <v>69.0</v>
      </c>
      <c r="W209" t="n">
        <v>1.0</v>
      </c>
      <c r="X209" t="n">
        <v>1.0</v>
      </c>
      <c r="Y209" t="n">
        <v>3.0</v>
      </c>
      <c r="Z209" t="n">
        <v>0.0</v>
      </c>
      <c r="AA209" t="n">
        <v>0.0</v>
      </c>
      <c r="AB209" t="n">
        <v>0.0</v>
      </c>
      <c r="AC209" t="n">
        <v>0.0</v>
      </c>
      <c r="AD209" t="n">
        <v>74.0</v>
      </c>
      <c r="AE209" t="n">
        <v>0.0</v>
      </c>
      <c r="AF209" t="n">
        <v>0.0</v>
      </c>
      <c r="AG209" t="n">
        <v>0.0</v>
      </c>
      <c r="AH209" t="n">
        <v>1.0</v>
      </c>
      <c r="AI209" t="n">
        <v>0.0</v>
      </c>
      <c r="AJ209" t="n">
        <v>0.0</v>
      </c>
      <c r="AK209" t="n">
        <v>12.216216216216216</v>
      </c>
      <c r="AL209" t="inlineStr">
        <is>
          <t/>
        </is>
      </c>
    </row>
    <row r="210">
      <c r="A210" t="inlineStr">
        <is>
          <t>这盘三文鱼餐，承包了我一天的快乐和营养✨</t>
        </is>
      </c>
      <c r="B210" t="inlineStr">
        <is>
          <t>69ae7fd10000000022038d18</t>
        </is>
      </c>
      <c r="C210" s="209" t="n">
        <f>HYPERLINK("https://www.xiaohongshu.com/explore/69ae7fd10000000022038d18?xsec_token=TBy3i3TfmyKE7XGojG_cT9hXwECPCaD8ci00LH0Aym15A=&amp;xsec_source=pc_trdark","https://www.xiaohongshu.com/explore/69ae7fd10000000022038d18?xsec_token=TBy3i3TfmyKE7XGojG_cT9hXwECPCaD8ci00LH0Aym15A=&amp;xsec_source=pc_trdark")</f>
        <v>0.0</v>
      </c>
      <c r="D210" t="inlineStr">
        <is>
          <t>鲜水湾甄选</t>
        </is>
      </c>
      <c r="E210" t="inlineStr">
        <is>
          <t>27401929161</t>
        </is>
      </c>
      <c r="F210" t="inlineStr">
        <is>
          <t>2026-03-09 16:07:45</t>
        </is>
      </c>
      <c r="G210" t="inlineStr">
        <is>
          <t>图文</t>
        </is>
      </c>
      <c r="H210" t="inlineStr">
        <is>
          <t>智利三文鱼切块·整条三文鱼·深海鱼一人食健康饮食</t>
        </is>
      </c>
      <c r="I210" t="inlineStr">
        <is>
          <t>691ac562a524ee0001b51d7b</t>
        </is>
      </c>
      <c r="J210" t="inlineStr">
        <is>
          <t/>
        </is>
      </c>
      <c r="K210" t="n">
        <v>63.0</v>
      </c>
      <c r="L210" t="n">
        <v>1.0</v>
      </c>
      <c r="M210" t="n">
        <v>11.0</v>
      </c>
      <c r="N210" t="inlineStr">
        <is>
          <t>0.14864864864864866</t>
        </is>
      </c>
      <c r="O210" t="n">
        <v>9.0</v>
      </c>
      <c r="P210" t="n">
        <v>1.0</v>
      </c>
      <c r="Q210" t="inlineStr">
        <is>
          <t>0.09090909090909091</t>
        </is>
      </c>
      <c r="R210" t="n">
        <v>0.1111111111111111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1.0</v>
      </c>
      <c r="Z210" t="n">
        <v>4.0</v>
      </c>
      <c r="AA210" t="n">
        <v>0.0</v>
      </c>
      <c r="AB210" t="n">
        <v>0.0</v>
      </c>
      <c r="AC210" t="n">
        <v>0.0</v>
      </c>
      <c r="AD210" t="n">
        <v>74.0</v>
      </c>
      <c r="AE210" t="n">
        <v>3.0</v>
      </c>
      <c r="AF210" t="n">
        <v>1.0</v>
      </c>
      <c r="AG210" t="n">
        <v>0.0</v>
      </c>
      <c r="AH210" t="n">
        <v>2.0</v>
      </c>
      <c r="AI210" t="n">
        <v>1.0</v>
      </c>
      <c r="AJ210" t="n">
        <v>0.0</v>
      </c>
      <c r="AK210" t="n">
        <v>20.16216216216216</v>
      </c>
      <c r="AL210" t="inlineStr">
        <is>
          <t/>
        </is>
      </c>
    </row>
    <row r="211">
      <c r="A211" t="inlineStr">
        <is>
          <t>瘦子实习生带的饭一天比一天离谱</t>
        </is>
      </c>
      <c r="B211" t="inlineStr">
        <is>
          <t>69ba3bfd000000001e00c8bd</t>
        </is>
      </c>
      <c r="C211" s="210" t="n">
        <f>HYPERLINK("https://www.xiaohongshu.com/explore/69ba3bfd000000001e00c8bd?xsec_token=TBgJVNruMKjnZKfHBYiZtZCWJ3e2TMo09toTKZ9vdVWb0=&amp;xsec_source=pc_trdark","https://www.xiaohongshu.com/explore/69ba3bfd000000001e00c8bd?xsec_token=TBgJVNruMKjnZKfHBYiZtZCWJ3e2TMo09toTKZ9vdVWb0=&amp;xsec_source=pc_trdark")</f>
        <v>0.0</v>
      </c>
      <c r="D211" t="inlineStr">
        <is>
          <t>婉婉上班吃什么</t>
        </is>
      </c>
      <c r="E211" t="inlineStr">
        <is>
          <t>11434449706</t>
        </is>
      </c>
      <c r="F211" t="inlineStr">
        <is>
          <t>2026-03-18 13:45:33</t>
        </is>
      </c>
      <c r="G211" t="inlineStr">
        <is>
          <t>图文</t>
        </is>
      </c>
      <c r="H211" t="inlineStr">
        <is>
          <t>手剥虾仁 无冰衣无添加 低脂餐一人食 上班带饭 顺丰包邮 5盒装</t>
        </is>
      </c>
      <c r="I211" t="inlineStr">
        <is>
          <t>694baba01d450d00013662f0</t>
        </is>
      </c>
      <c r="J211" t="inlineStr">
        <is>
          <t/>
        </is>
      </c>
      <c r="K211" t="n">
        <v>0.0</v>
      </c>
      <c r="L211" t="n">
        <v>0.0</v>
      </c>
      <c r="M211" t="n">
        <v>6.0</v>
      </c>
      <c r="N211" t="n">
        <v>0.0821917808219178</v>
      </c>
      <c r="O211" t="n">
        <v>6.0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inlineStr">
        <is>
          <t/>
        </is>
      </c>
      <c r="X211" t="n">
        <v>0.0</v>
      </c>
      <c r="Y211" t="n">
        <v>0.0</v>
      </c>
      <c r="Z211" t="n">
        <v>1.0</v>
      </c>
      <c r="AA211" t="n">
        <v>0.0</v>
      </c>
      <c r="AB211" t="n">
        <v>0.0</v>
      </c>
      <c r="AC211" t="n">
        <v>0.0</v>
      </c>
      <c r="AD211" t="n">
        <v>73.0</v>
      </c>
      <c r="AE211" t="n">
        <v>1.0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10.150684931506849</v>
      </c>
      <c r="AL211" t="inlineStr">
        <is>
          <t/>
        </is>
      </c>
    </row>
    <row r="212">
      <c r="A212" t="inlineStr">
        <is>
          <t>给大家直观展示一下70的购买力……</t>
        </is>
      </c>
      <c r="B212" t="inlineStr">
        <is>
          <t>69c5e763000000001f0036f4</t>
        </is>
      </c>
      <c r="C212" s="211" t="n">
        <f>HYPERLINK("https://www.xiaohongshu.com/explore/69c5e763000000001f0036f4?xsec_token=TBe2pVMaF-KgU6DP2LLO6mLUQpVCWdpxANvV9lyr2_dLQ=&amp;xsec_source=pc_trdark","https://www.xiaohongshu.com/explore/69c5e763000000001f0036f4?xsec_token=TBe2pVMaF-KgU6DP2LLO6mLUQpVCWdpxANvV9lyr2_dLQ=&amp;xsec_source=pc_trdark")</f>
        <v>0.0</v>
      </c>
      <c r="D212" t="inlineStr">
        <is>
          <t>菲菲上班吃什么</t>
        </is>
      </c>
      <c r="E212" t="inlineStr">
        <is>
          <t>49936530607</t>
        </is>
      </c>
      <c r="F212" t="inlineStr">
        <is>
          <t>2026-03-27 10:11:47</t>
        </is>
      </c>
      <c r="G212" t="inlineStr">
        <is>
          <t>图文</t>
        </is>
      </c>
      <c r="H212" t="inlineStr">
        <is>
          <t>手剥虾仁 无冰衣无添加 低脂餐一人食 上班带饭 顺丰包邮 5盒装</t>
        </is>
      </c>
      <c r="I212" t="inlineStr">
        <is>
          <t>694baba01d450d00013662f0</t>
        </is>
      </c>
      <c r="J212" t="inlineStr">
        <is>
          <t/>
        </is>
      </c>
      <c r="K212" t="n">
        <v>138.0</v>
      </c>
      <c r="L212" t="n">
        <v>2.0</v>
      </c>
      <c r="M212" t="n">
        <v>17.0</v>
      </c>
      <c r="N212" t="n">
        <v>0.2361111111111111</v>
      </c>
      <c r="O212" t="n">
        <v>15.0</v>
      </c>
      <c r="P212" t="n">
        <v>2.0</v>
      </c>
      <c r="Q212" t="inlineStr">
        <is>
          <t>0.11764705882352941</t>
        </is>
      </c>
      <c r="R212" t="inlineStr">
        <is>
          <t>0.13333333333333333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5.0</v>
      </c>
      <c r="Z212" t="n">
        <v>4.0</v>
      </c>
      <c r="AA212" t="n">
        <v>0.0</v>
      </c>
      <c r="AB212" t="n">
        <v>0.0</v>
      </c>
      <c r="AC212" t="n">
        <v>0.0</v>
      </c>
      <c r="AD212" t="n">
        <v>72.0</v>
      </c>
      <c r="AE212" t="n">
        <v>2.0</v>
      </c>
      <c r="AF212" t="n">
        <v>1.0</v>
      </c>
      <c r="AG212" t="n">
        <v>0.0</v>
      </c>
      <c r="AH212" t="n">
        <v>1.0</v>
      </c>
      <c r="AI212" t="n">
        <v>0.0</v>
      </c>
      <c r="AJ212" t="n">
        <v>0.0</v>
      </c>
      <c r="AK212" t="n">
        <v>10.791666666666666</v>
      </c>
      <c r="AL212" t="inlineStr">
        <is>
          <t/>
        </is>
      </c>
    </row>
    <row r="213">
      <c r="A213" t="inlineStr">
        <is>
          <t>大家带去公司的饭都是隔夜饭吗？</t>
        </is>
      </c>
      <c r="B213" t="inlineStr">
        <is>
          <t>69ca38700000000022026688</t>
        </is>
      </c>
      <c r="C213" s="212" t="n">
        <f>HYPERLINK("https://www.xiaohongshu.com/explore/69ca38700000000022026688?xsec_token=TBZMwIQ43aS0K0DsaEHGlBqjc0vRAXVn4J4iN0BKg_DPE=&amp;xsec_source=pc_trdark","https://www.xiaohongshu.com/explore/69ca38700000000022026688?xsec_token=TBZMwIQ43aS0K0DsaEHGlBqjc0vRAXVn4J4iN0BKg_DPE=&amp;xsec_source=pc_trdark")</f>
        <v>0.0</v>
      </c>
      <c r="D213" t="inlineStr">
        <is>
          <t>菲菲上班吃什么</t>
        </is>
      </c>
      <c r="E213" t="inlineStr">
        <is>
          <t>49936530607</t>
        </is>
      </c>
      <c r="F213" t="inlineStr">
        <is>
          <t>2026-03-30 16:46:40</t>
        </is>
      </c>
      <c r="G213" t="inlineStr">
        <is>
          <t>图文</t>
        </is>
      </c>
      <c r="H213" t="inlineStr">
        <is>
          <t>手剥虾仁 无冰衣无添加 低脂餐一人食 上班带饭 顺丰包邮 5盒装</t>
        </is>
      </c>
      <c r="I213" t="inlineStr">
        <is>
          <t>694baba01d450d00013662f0</t>
        </is>
      </c>
      <c r="J213" t="inlineStr">
        <is>
          <t/>
        </is>
      </c>
      <c r="K213" t="n">
        <v>69.0</v>
      </c>
      <c r="L213" t="n">
        <v>1.0</v>
      </c>
      <c r="M213" t="n">
        <v>4.0</v>
      </c>
      <c r="N213" t="inlineStr">
        <is>
          <t>0.05714285714285714</t>
        </is>
      </c>
      <c r="O213" t="n">
        <v>4.0</v>
      </c>
      <c r="P213" t="n">
        <v>1.0</v>
      </c>
      <c r="Q213" t="n">
        <v>0.25</v>
      </c>
      <c r="R213" t="n">
        <v>0.25</v>
      </c>
      <c r="S213" t="n">
        <v>69.0</v>
      </c>
      <c r="T213" t="n">
        <v>1.0</v>
      </c>
      <c r="U213" t="n">
        <v>1.0</v>
      </c>
      <c r="V213" t="n">
        <v>69.0</v>
      </c>
      <c r="W213" t="n">
        <v>1.0</v>
      </c>
      <c r="X213" t="n">
        <v>1.0</v>
      </c>
      <c r="Y213" t="n">
        <v>1.0</v>
      </c>
      <c r="Z213" t="n">
        <v>2.0</v>
      </c>
      <c r="AA213" t="n">
        <v>0.0</v>
      </c>
      <c r="AB213" t="n">
        <v>0.0</v>
      </c>
      <c r="AC213" t="n">
        <v>0.0</v>
      </c>
      <c r="AD213" t="n">
        <v>70.0</v>
      </c>
      <c r="AE213" t="n">
        <v>2.0</v>
      </c>
      <c r="AF213" t="n">
        <v>0.0</v>
      </c>
      <c r="AG213" t="n">
        <v>0.0</v>
      </c>
      <c r="AH213" t="n">
        <v>1.0</v>
      </c>
      <c r="AI213" t="n">
        <v>0.0</v>
      </c>
      <c r="AJ213" t="n">
        <v>0.0</v>
      </c>
      <c r="AK213" t="n">
        <v>18.17142857142857</v>
      </c>
      <c r="AL213" t="inlineStr">
        <is>
          <t/>
        </is>
      </c>
    </row>
    <row r="214">
      <c r="A214" t="inlineStr">
        <is>
          <t>以为69没多少，结果够我吃一周的了</t>
        </is>
      </c>
      <c r="B214" t="inlineStr">
        <is>
          <t>69b4feae000000002301f1f2</t>
        </is>
      </c>
      <c r="C214" s="213" t="n">
        <f>HYPERLINK("https://www.xiaohongshu.com/explore/69b4feae000000002301f1f2?xsec_token=TB4dy4zP2Sasn_cYXEm_KMI_42YHBsgJNfovk2Lohr8mE=&amp;xsec_source=pc_trdark","https://www.xiaohongshu.com/explore/69b4feae000000002301f1f2?xsec_token=TB4dy4zP2Sasn_cYXEm_KMI_42YHBsgJNfovk2Lohr8mE=&amp;xsec_source=pc_trdark")</f>
        <v>0.0</v>
      </c>
      <c r="D214" t="inlineStr">
        <is>
          <t>婉婉上班吃什么</t>
        </is>
      </c>
      <c r="E214" t="inlineStr">
        <is>
          <t>11434449706</t>
        </is>
      </c>
      <c r="F214" t="inlineStr">
        <is>
          <t>2026-03-14 14:22:38</t>
        </is>
      </c>
      <c r="G214" t="inlineStr">
        <is>
          <t>图文</t>
        </is>
      </c>
      <c r="H214" t="inlineStr">
        <is>
          <t>手剥虾仁 无冰衣无添加 低脂餐一人食 上班带饭 顺丰包邮 5盒装</t>
        </is>
      </c>
      <c r="I214" t="inlineStr">
        <is>
          <t>694baba01d450d00013662f0</t>
        </is>
      </c>
      <c r="J214" t="inlineStr">
        <is>
          <t/>
        </is>
      </c>
      <c r="K214" t="n">
        <v>0.0</v>
      </c>
      <c r="L214" t="n">
        <v>0.0</v>
      </c>
      <c r="M214" t="n">
        <v>8.0</v>
      </c>
      <c r="N214" t="inlineStr">
        <is>
          <t>0.11428571428571428</t>
        </is>
      </c>
      <c r="O214" t="n">
        <v>8.0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inlineStr">
        <is>
          <t/>
        </is>
      </c>
      <c r="X214" t="n">
        <v>0.0</v>
      </c>
      <c r="Y214" t="n">
        <v>3.0</v>
      </c>
      <c r="Z214" t="n">
        <v>2.0</v>
      </c>
      <c r="AA214" t="n">
        <v>0.0</v>
      </c>
      <c r="AB214" t="n">
        <v>0.0</v>
      </c>
      <c r="AC214" t="n">
        <v>0.0</v>
      </c>
      <c r="AD214" t="n">
        <v>70.0</v>
      </c>
      <c r="AE214" t="n">
        <v>1.0</v>
      </c>
      <c r="AF214" t="n">
        <v>0.0</v>
      </c>
      <c r="AG214" t="n">
        <v>0.0</v>
      </c>
      <c r="AH214" t="n">
        <v>1.0</v>
      </c>
      <c r="AI214" t="n">
        <v>0.0</v>
      </c>
      <c r="AJ214" t="n">
        <v>0.0</v>
      </c>
      <c r="AK214" t="n">
        <v>15.571428571428571</v>
      </c>
      <c r="AL214" t="inlineStr">
        <is>
          <t/>
        </is>
      </c>
    </row>
    <row r="215">
      <c r="A215" t="inlineStr">
        <is>
          <t>一个礼拜掉了7斤的人中午都吃了啥</t>
        </is>
      </c>
      <c r="B215" t="inlineStr">
        <is>
          <t>69b12c91000000000c009b34</t>
        </is>
      </c>
      <c r="C215" s="214" t="n">
        <f>HYPERLINK("https://www.xiaohongshu.com/explore/69b12c91000000000c009b34?xsec_token=TBPThwaY7kqe53qUk5J0Oyzp2djiH1QNm-pa5WwoMvlO4=&amp;xsec_source=pc_trdark","https://www.xiaohongshu.com/explore/69b12c91000000000c009b34?xsec_token=TBPThwaY7kqe53qUk5J0Oyzp2djiH1QNm-pa5WwoMvlO4=&amp;xsec_source=pc_trdark")</f>
        <v>0.0</v>
      </c>
      <c r="D215" t="inlineStr">
        <is>
          <t>婉婉上班吃什么</t>
        </is>
      </c>
      <c r="E215" t="inlineStr">
        <is>
          <t>11434449706</t>
        </is>
      </c>
      <c r="F215" t="inlineStr">
        <is>
          <t>2026-03-11 16:49:21</t>
        </is>
      </c>
      <c r="G215" t="inlineStr">
        <is>
          <t>图文</t>
        </is>
      </c>
      <c r="H215" t="inlineStr">
        <is>
          <t>大虾基围虾王牌大虾厄瓜多尔白虾盐冻虾仁海洋大虾送礼顺丰包邮</t>
        </is>
      </c>
      <c r="I215" t="inlineStr">
        <is>
          <t>690aeb7be379430001e686ac</t>
        </is>
      </c>
      <c r="J215" t="inlineStr">
        <is>
          <t/>
        </is>
      </c>
      <c r="K215" t="n">
        <v>0.0</v>
      </c>
      <c r="L215" t="n">
        <v>0.0</v>
      </c>
      <c r="M215" t="n">
        <v>9.0</v>
      </c>
      <c r="N215" t="inlineStr">
        <is>
          <t>0.12857142857142856</t>
        </is>
      </c>
      <c r="O215" t="n">
        <v>7.0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inlineStr">
        <is>
          <t/>
        </is>
      </c>
      <c r="X215" t="n">
        <v>0.0</v>
      </c>
      <c r="Y215" t="n">
        <v>2.0</v>
      </c>
      <c r="Z215" t="n">
        <v>1.0</v>
      </c>
      <c r="AA215" t="n">
        <v>0.0</v>
      </c>
      <c r="AB215" t="n">
        <v>0.0</v>
      </c>
      <c r="AC215" t="n">
        <v>0.0</v>
      </c>
      <c r="AD215" t="n">
        <v>70.0</v>
      </c>
      <c r="AE215" t="n">
        <v>2.0</v>
      </c>
      <c r="AF215" t="n">
        <v>1.0</v>
      </c>
      <c r="AG215" t="n">
        <v>0.0</v>
      </c>
      <c r="AH215" t="n">
        <v>1.0</v>
      </c>
      <c r="AI215" t="n">
        <v>0.0</v>
      </c>
      <c r="AJ215" t="n">
        <v>0.0</v>
      </c>
      <c r="AK215" t="n">
        <v>14.32857142857143</v>
      </c>
      <c r="AL215" t="inlineStr">
        <is>
          <t/>
        </is>
      </c>
    </row>
    <row r="216">
      <c r="A216" t="inlineStr">
        <is>
          <t>跟风吃了半个月虾仁。。。</t>
        </is>
      </c>
      <c r="B216" t="inlineStr">
        <is>
          <t>69c0f621000000001a02e3d5</t>
        </is>
      </c>
      <c r="C216" s="215" t="n">
        <f>HYPERLINK("https://www.xiaohongshu.com/explore/69c0f621000000001a02e3d5?xsec_token=TBlSRAgxB_sBYkF02kEEKO53r4Jl7Mwf80Ezp2MXBnxEA=&amp;xsec_source=pc_trdark","https://www.xiaohongshu.com/explore/69c0f621000000001a02e3d5?xsec_token=TBlSRAgxB_sBYkF02kEEKO53r4Jl7Mwf80Ezp2MXBnxEA=&amp;xsec_source=pc_trdark")</f>
        <v>0.0</v>
      </c>
      <c r="D216" t="inlineStr">
        <is>
          <t>菲菲上班吃什么</t>
        </is>
      </c>
      <c r="E216" t="inlineStr">
        <is>
          <t>49936530607</t>
        </is>
      </c>
      <c r="F216" t="inlineStr">
        <is>
          <t>2026-03-23 16:13:21</t>
        </is>
      </c>
      <c r="G216" t="inlineStr">
        <is>
          <t>图文</t>
        </is>
      </c>
      <c r="H216" t="inlineStr">
        <is>
          <t>手剥虾仁 无冰衣无添加 低脂餐一人食 上班带饭 顺丰包邮 5盒装</t>
        </is>
      </c>
      <c r="I216" t="inlineStr">
        <is>
          <t>694baba01d450d00013662f0</t>
        </is>
      </c>
      <c r="J216" t="inlineStr">
        <is>
          <t/>
        </is>
      </c>
      <c r="K216" t="n">
        <v>0.0</v>
      </c>
      <c r="L216" t="n">
        <v>0.0</v>
      </c>
      <c r="M216" t="n">
        <v>10.0</v>
      </c>
      <c r="N216" t="inlineStr">
        <is>
          <t>0.14492753623188406</t>
        </is>
      </c>
      <c r="O216" t="n">
        <v>9.0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inlineStr">
        <is>
          <t/>
        </is>
      </c>
      <c r="X216" t="n">
        <v>0.0</v>
      </c>
      <c r="Y216" t="n">
        <v>3.0</v>
      </c>
      <c r="Z216" t="n">
        <v>1.0</v>
      </c>
      <c r="AA216" t="n">
        <v>0.0</v>
      </c>
      <c r="AB216" t="n">
        <v>0.0</v>
      </c>
      <c r="AC216" t="n">
        <v>0.0</v>
      </c>
      <c r="AD216" t="n">
        <v>69.0</v>
      </c>
      <c r="AE216" t="n">
        <v>1.0</v>
      </c>
      <c r="AF216" t="n">
        <v>0.0</v>
      </c>
      <c r="AG216" t="n">
        <v>0.0</v>
      </c>
      <c r="AH216" t="n">
        <v>1.0</v>
      </c>
      <c r="AI216" t="n">
        <v>0.0</v>
      </c>
      <c r="AJ216" t="n">
        <v>0.0</v>
      </c>
      <c r="AK216" t="n">
        <v>11.565217391304348</v>
      </c>
      <c r="AL216" t="inlineStr">
        <is>
          <t/>
        </is>
      </c>
    </row>
    <row r="217">
      <c r="A217" t="inlineStr">
        <is>
          <t>和老妈商量了，年后推出一人食小包装</t>
        </is>
      </c>
      <c r="B217" t="inlineStr">
        <is>
          <t>69b4f7570000000022026975</t>
        </is>
      </c>
      <c r="C217" s="216" t="n">
        <f>HYPERLINK("https://www.xiaohongshu.com/explore/69b4f7570000000022026975?xsec_token=TB4dy4zP2Sasn_cYXEm_KMI3LinZHLtZ5F0bp_XNZzqQk=&amp;xsec_source=pc_trdark","https://www.xiaohongshu.com/explore/69b4f7570000000022026975?xsec_token=TB4dy4zP2Sasn_cYXEm_KMI3LinZHLtZ5F0bp_XNZzqQk=&amp;xsec_source=pc_trdark")</f>
        <v>0.0</v>
      </c>
      <c r="D217" t="inlineStr">
        <is>
          <t>鲜水湾</t>
        </is>
      </c>
      <c r="E217" t="inlineStr">
        <is>
          <t>49316638994</t>
        </is>
      </c>
      <c r="F217" t="inlineStr">
        <is>
          <t>2026-03-14 13:51:19</t>
        </is>
      </c>
      <c r="G217" t="inlineStr">
        <is>
          <t>图文</t>
        </is>
      </c>
      <c r="H217" t="inlineStr">
        <is>
          <t>手剥虾仁 无冰衣无添加 低脂餐一人食 上班带饭 顺丰包邮 5盒装</t>
        </is>
      </c>
      <c r="I217" t="inlineStr">
        <is>
          <t>694baba01d450d00013662f0</t>
        </is>
      </c>
      <c r="J217" t="inlineStr">
        <is>
          <t/>
        </is>
      </c>
      <c r="K217" t="n">
        <v>0.0</v>
      </c>
      <c r="L217" t="n">
        <v>0.0</v>
      </c>
      <c r="M217" t="n">
        <v>8.0</v>
      </c>
      <c r="N217" t="inlineStr">
        <is>
          <t>0.11594202898550725</t>
        </is>
      </c>
      <c r="O217" t="n">
        <v>8.0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inlineStr">
        <is>
          <t/>
        </is>
      </c>
      <c r="X217" t="n">
        <v>0.0</v>
      </c>
      <c r="Y217" t="n">
        <v>3.0</v>
      </c>
      <c r="Z217" t="n">
        <v>0.0</v>
      </c>
      <c r="AA217" t="n">
        <v>0.0</v>
      </c>
      <c r="AB217" t="n">
        <v>0.0</v>
      </c>
      <c r="AC217" t="n">
        <v>0.0</v>
      </c>
      <c r="AD217" t="n">
        <v>69.0</v>
      </c>
      <c r="AE217" t="n">
        <v>2.0</v>
      </c>
      <c r="AF217" t="n">
        <v>0.0</v>
      </c>
      <c r="AG217" t="n">
        <v>0.0</v>
      </c>
      <c r="AH217" t="n">
        <v>3.0</v>
      </c>
      <c r="AI217" t="n">
        <v>0.0</v>
      </c>
      <c r="AJ217" t="n">
        <v>0.0</v>
      </c>
      <c r="AK217" t="n">
        <v>10.521739130434783</v>
      </c>
      <c r="AL217" t="inlineStr">
        <is>
          <t/>
        </is>
      </c>
    </row>
    <row r="218">
      <c r="A218" t="inlineStr">
        <is>
          <t>减脂搭子推荐的！锯锯锯掉秤！</t>
        </is>
      </c>
      <c r="B218" t="inlineStr">
        <is>
          <t>69b21e14000000000800c395</t>
        </is>
      </c>
      <c r="C218" s="217" t="n">
        <f>HYPERLINK("https://www.xiaohongshu.com/explore/69b21e14000000000800c395?xsec_token=TB020mu_sDtHEgaPvBWpjWuT7_27Ep577L2KvbqH-TRX4=&amp;xsec_source=pc_trdark","https://www.xiaohongshu.com/explore/69b21e14000000000800c395?xsec_token=TB020mu_sDtHEgaPvBWpjWuT7_27Ep577L2KvbqH-TRX4=&amp;xsec_source=pc_trdark")</f>
        <v>0.0</v>
      </c>
      <c r="D218" t="inlineStr">
        <is>
          <t>婉婉上班吃什么</t>
        </is>
      </c>
      <c r="E218" t="inlineStr">
        <is>
          <t>11434449706</t>
        </is>
      </c>
      <c r="F218" t="inlineStr">
        <is>
          <t>2026-03-12 09:59:48</t>
        </is>
      </c>
      <c r="G218" t="inlineStr">
        <is>
          <t>图文</t>
        </is>
      </c>
      <c r="H218" t="inlineStr">
        <is>
          <t>大虾基围虾王牌大虾厄瓜多尔白虾盐冻虾仁海洋大虾送礼顺丰包邮</t>
        </is>
      </c>
      <c r="I218" t="inlineStr">
        <is>
          <t>690aeb7be379430001e686ac</t>
        </is>
      </c>
      <c r="J218" t="inlineStr">
        <is>
          <t/>
        </is>
      </c>
      <c r="K218" t="n">
        <v>0.0</v>
      </c>
      <c r="L218" t="n">
        <v>0.0</v>
      </c>
      <c r="M218" t="n">
        <v>5.0</v>
      </c>
      <c r="N218" t="inlineStr">
        <is>
          <t>0.07246376811594203</t>
        </is>
      </c>
      <c r="O218" t="n">
        <v>5.0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inlineStr">
        <is>
          <t/>
        </is>
      </c>
      <c r="X218" t="n">
        <v>0.0</v>
      </c>
      <c r="Y218" t="n">
        <v>1.0</v>
      </c>
      <c r="Z218" t="n">
        <v>0.0</v>
      </c>
      <c r="AA218" t="n">
        <v>0.0</v>
      </c>
      <c r="AB218" t="n">
        <v>0.0</v>
      </c>
      <c r="AC218" t="n">
        <v>0.0</v>
      </c>
      <c r="AD218" t="n">
        <v>69.0</v>
      </c>
      <c r="AE218" t="n">
        <v>2.0</v>
      </c>
      <c r="AF218" t="n">
        <v>0.0</v>
      </c>
      <c r="AG218" t="n">
        <v>0.0</v>
      </c>
      <c r="AH218" t="n">
        <v>1.0</v>
      </c>
      <c r="AI218" t="n">
        <v>0.0</v>
      </c>
      <c r="AJ218" t="n">
        <v>0.0</v>
      </c>
      <c r="AK218" t="n">
        <v>9.0</v>
      </c>
      <c r="AL218" t="inlineStr">
        <is>
          <t/>
        </is>
      </c>
    </row>
    <row r="219">
      <c r="A219" t="inlineStr">
        <is>
          <t>给孩子买了一整条三文鱼补营养！</t>
        </is>
      </c>
      <c r="B219" t="inlineStr">
        <is>
          <t>698aa5f5000000000903b245</t>
        </is>
      </c>
      <c r="C219" s="218" t="n">
        <f>HYPERLINK("https://www.xiaohongshu.com/explore/698aa5f5000000000903b245?xsec_token=TBG0mKfxVH0N0QJz26OSUyhYnNDz9X11dGMwAn1wQfsDs=&amp;xsec_source=pc_trdark","https://www.xiaohongshu.com/explore/698aa5f5000000000903b245?xsec_token=TBG0mKfxVH0N0QJz26OSUyhYnNDz9X11dGMwAn1wQfsDs=&amp;xsec_source=pc_trdark")</f>
        <v>0.0</v>
      </c>
      <c r="D219" t="inlineStr">
        <is>
          <t>鲜水湾甄选</t>
        </is>
      </c>
      <c r="E219" t="inlineStr">
        <is>
          <t>27401929161</t>
        </is>
      </c>
      <c r="F219" t="inlineStr">
        <is>
          <t>2026-02-10 11:28:53</t>
        </is>
      </c>
      <c r="G219" t="inlineStr">
        <is>
          <t>图文</t>
        </is>
      </c>
      <c r="H219" t="inlineStr">
        <is>
          <t>智利三文鱼切块·整条三文鱼·深海鱼一人食健康饮食</t>
        </is>
      </c>
      <c r="I219" t="inlineStr">
        <is>
          <t>691ac562a524ee0001b51d7b</t>
        </is>
      </c>
      <c r="J219" t="inlineStr">
        <is>
          <t/>
        </is>
      </c>
      <c r="K219" t="n">
        <v>0.0</v>
      </c>
      <c r="L219" t="n">
        <v>0.0</v>
      </c>
      <c r="M219" t="n">
        <v>3.0</v>
      </c>
      <c r="N219" t="inlineStr">
        <is>
          <t>0.043478260869565216</t>
        </is>
      </c>
      <c r="O219" t="n">
        <v>3.0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inlineStr">
        <is>
          <t/>
        </is>
      </c>
      <c r="X219" t="n">
        <v>0.0</v>
      </c>
      <c r="Y219" t="n">
        <v>0.0</v>
      </c>
      <c r="Z219" t="n">
        <v>1.0</v>
      </c>
      <c r="AA219" t="n">
        <v>0.0</v>
      </c>
      <c r="AB219" t="n">
        <v>0.0</v>
      </c>
      <c r="AC219" t="n">
        <v>0.0</v>
      </c>
      <c r="AD219" t="n">
        <v>69.0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9.347826086956522</v>
      </c>
      <c r="AL219" t="inlineStr">
        <is>
          <t/>
        </is>
      </c>
    </row>
    <row r="220">
      <c r="A220" t="inlineStr">
        <is>
          <t>听教练的！健身爬坡的姐妹都去吃高蛋白</t>
        </is>
      </c>
      <c r="B220" t="inlineStr">
        <is>
          <t>69846671000000002801fca8</t>
        </is>
      </c>
      <c r="C220" s="219" t="n">
        <f>HYPERLINK("https://www.xiaohongshu.com/explore/69846671000000002801fca8?xsec_token=TBn0ftdrPlwv37Gn1tDFpAI8Oa4NzhM1ITZJXQqcQILNs=&amp;xsec_source=pc_trdark","https://www.xiaohongshu.com/explore/69846671000000002801fca8?xsec_token=TBn0ftdrPlwv37Gn1tDFpAI8Oa4NzhM1ITZJXQqcQILNs=&amp;xsec_source=pc_trdark")</f>
        <v>0.0</v>
      </c>
      <c r="D220" t="inlineStr">
        <is>
          <t>鲜水湾</t>
        </is>
      </c>
      <c r="E220" t="inlineStr">
        <is>
          <t>49316638994</t>
        </is>
      </c>
      <c r="F220" t="inlineStr">
        <is>
          <t>2026-02-05 17:44:17</t>
        </is>
      </c>
      <c r="G220" t="inlineStr">
        <is>
          <t>图文</t>
        </is>
      </c>
      <c r="H220" t="inlineStr">
        <is>
          <t>智利三文鱼切块·整条三文鱼·深海鱼一人食健康饮食</t>
        </is>
      </c>
      <c r="I220" t="inlineStr">
        <is>
          <t>691ac562a524ee0001b51d7b</t>
        </is>
      </c>
      <c r="J220" t="inlineStr">
        <is>
          <t/>
        </is>
      </c>
      <c r="K220" t="n">
        <v>0.0</v>
      </c>
      <c r="L220" t="n">
        <v>0.0</v>
      </c>
      <c r="M220" t="n">
        <v>1.0</v>
      </c>
      <c r="N220" t="inlineStr">
        <is>
          <t>0.014705882352941176</t>
        </is>
      </c>
      <c r="O220" t="n">
        <v>1.0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inlineStr">
        <is>
          <t/>
        </is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68.0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8.441176470588236</v>
      </c>
      <c r="AL220" t="inlineStr">
        <is>
          <t/>
        </is>
      </c>
    </row>
    <row r="221">
      <c r="A221" t="inlineStr">
        <is>
          <t>天冷了，乳山生蚝一下子全肥了不可控…</t>
        </is>
      </c>
      <c r="B221" t="inlineStr">
        <is>
          <t>69742df6000000002800b39a</t>
        </is>
      </c>
      <c r="C221" s="220" t="n">
        <f>HYPERLINK("https://www.xiaohongshu.com/explore/69742df6000000002800b39a?xsec_token=TBnOcp8R1oAalfOSidaFfKvM0LA4ImtGhKNkltd-nkG58=&amp;xsec_source=pc_trdark","https://www.xiaohongshu.com/explore/69742df6000000002800b39a?xsec_token=TBnOcp8R1oAalfOSidaFfKvM0LA4ImtGhKNkltd-nkG58=&amp;xsec_source=pc_trdark")</f>
        <v>0.0</v>
      </c>
      <c r="D221" t="inlineStr">
        <is>
          <t>鲜水湾</t>
        </is>
      </c>
      <c r="E221" t="inlineStr">
        <is>
          <t>49316638994</t>
        </is>
      </c>
      <c r="F221" t="inlineStr">
        <is>
          <t>2026-01-24 10:27:02</t>
        </is>
      </c>
      <c r="G221" t="inlineStr">
        <is>
          <t>图文</t>
        </is>
      </c>
      <c r="H221" t="inlineStr">
        <is>
          <t>生蚝乳山生蚝海蛎子顺丰包邮</t>
        </is>
      </c>
      <c r="I221" t="inlineStr">
        <is>
          <t>690c70971b787900010866cc</t>
        </is>
      </c>
      <c r="J221" t="inlineStr">
        <is>
          <t/>
        </is>
      </c>
      <c r="K221" t="n">
        <v>0.0</v>
      </c>
      <c r="L221" t="n">
        <v>0.0</v>
      </c>
      <c r="M221" t="n">
        <v>4.0</v>
      </c>
      <c r="N221" t="inlineStr">
        <is>
          <t>0.058823529411764705</t>
        </is>
      </c>
      <c r="O221" t="n">
        <v>4.0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inlineStr">
        <is>
          <t/>
        </is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68.0</v>
      </c>
      <c r="AE221" t="n">
        <v>0.0</v>
      </c>
      <c r="AF221" t="n">
        <v>1.0</v>
      </c>
      <c r="AG221" t="n">
        <v>0.0</v>
      </c>
      <c r="AH221" t="n">
        <v>0.0</v>
      </c>
      <c r="AI221" t="n">
        <v>0.0</v>
      </c>
      <c r="AJ221" t="n">
        <v>0.0</v>
      </c>
      <c r="AK221" t="n">
        <v>10.970588235294118</v>
      </c>
      <c r="AL221" t="inlineStr">
        <is>
          <t/>
        </is>
      </c>
    </row>
    <row r="222">
      <c r="A222" t="inlineStr">
        <is>
          <t>100来块解决我半个月的上班带饭</t>
        </is>
      </c>
      <c r="B222" t="inlineStr">
        <is>
          <t>69ca07a600000000220243b5</t>
        </is>
      </c>
      <c r="C222" s="221" t="n">
        <f>HYPERLINK("https://www.xiaohongshu.com/explore/69ca07a600000000220243b5?xsec_token=TBZMwIQ43aS0K0DsaEHGlBqnSzVMVOKf_ZtO_Bf43xZRY=&amp;xsec_source=pc_trdark","https://www.xiaohongshu.com/explore/69ca07a600000000220243b5?xsec_token=TBZMwIQ43aS0K0DsaEHGlBqnSzVMVOKf_ZtO_Bf43xZRY=&amp;xsec_source=pc_trdark")</f>
        <v>0.0</v>
      </c>
      <c r="D222" t="inlineStr">
        <is>
          <t>婉婉上班吃什么</t>
        </is>
      </c>
      <c r="E222" t="inlineStr">
        <is>
          <t>11434449706</t>
        </is>
      </c>
      <c r="F222" t="inlineStr">
        <is>
          <t>2026-03-30 13:18:30</t>
        </is>
      </c>
      <c r="G222" t="inlineStr">
        <is>
          <t>图文</t>
        </is>
      </c>
      <c r="H222" t="inlineStr">
        <is>
          <t>手剥虾仁 无冰衣无添加 低脂餐一人食 上班带饭 顺丰包邮 5盒装</t>
        </is>
      </c>
      <c r="I222" t="inlineStr">
        <is>
          <t>694baba01d450d00013662f0</t>
        </is>
      </c>
      <c r="J222" t="inlineStr">
        <is>
          <t/>
        </is>
      </c>
      <c r="K222" t="n">
        <v>178.0</v>
      </c>
      <c r="L222" t="n">
        <v>1.0</v>
      </c>
      <c r="M222" t="n">
        <v>13.0</v>
      </c>
      <c r="N222" t="inlineStr">
        <is>
          <t>0.19402985074626866</t>
        </is>
      </c>
      <c r="O222" t="n">
        <v>9.0</v>
      </c>
      <c r="P222" t="n">
        <v>1.0</v>
      </c>
      <c r="Q222" t="inlineStr">
        <is>
          <t>0.07692307692307693</t>
        </is>
      </c>
      <c r="R222" t="n">
        <v>0.1111111111111111</v>
      </c>
      <c r="S222" t="n">
        <v>178.0</v>
      </c>
      <c r="T222" t="n">
        <v>1.0</v>
      </c>
      <c r="U222" t="n">
        <v>1.0</v>
      </c>
      <c r="V222" t="n">
        <v>178.0</v>
      </c>
      <c r="W222" t="n">
        <v>1.0</v>
      </c>
      <c r="X222" t="n">
        <v>1.0</v>
      </c>
      <c r="Y222" t="n">
        <v>1.0</v>
      </c>
      <c r="Z222" t="n">
        <v>3.0</v>
      </c>
      <c r="AA222" t="n">
        <v>0.0</v>
      </c>
      <c r="AB222" t="n">
        <v>0.0</v>
      </c>
      <c r="AC222" t="n">
        <v>0.0</v>
      </c>
      <c r="AD222" t="n">
        <v>67.0</v>
      </c>
      <c r="AE222" t="n">
        <v>2.0</v>
      </c>
      <c r="AF222" t="n">
        <v>0.0</v>
      </c>
      <c r="AG222" t="n">
        <v>0.0</v>
      </c>
      <c r="AH222" t="n">
        <v>1.0</v>
      </c>
      <c r="AI222" t="n">
        <v>0.0</v>
      </c>
      <c r="AJ222" t="n">
        <v>0.0</v>
      </c>
      <c r="AK222" t="n">
        <v>16.65671641791045</v>
      </c>
      <c r="AL222" t="inlineStr">
        <is>
          <t/>
        </is>
      </c>
    </row>
    <row r="223">
      <c r="A223" t="inlineStr">
        <is>
          <t>不得不说三文鱼真的是控体圣物</t>
        </is>
      </c>
      <c r="B223" t="inlineStr">
        <is>
          <t>69c103dd0000000023024919</t>
        </is>
      </c>
      <c r="C223" s="222" t="n">
        <f>HYPERLINK("https://www.xiaohongshu.com/explore/69c103dd0000000023024919?xsec_token=TBltfkQyXS0u_Ko7SgIzuBYqjCTDVpx7vRlKlXvsarIck=&amp;xsec_source=pc_trdark","https://www.xiaohongshu.com/explore/69c103dd0000000023024919?xsec_token=TBltfkQyXS0u_Ko7SgIzuBYqjCTDVpx7vRlKlXvsarIck=&amp;xsec_source=pc_trdark")</f>
        <v>0.0</v>
      </c>
      <c r="D223" t="inlineStr">
        <is>
          <t>鲜水湾甄选</t>
        </is>
      </c>
      <c r="E223" t="inlineStr">
        <is>
          <t>27401929161</t>
        </is>
      </c>
      <c r="F223" t="inlineStr">
        <is>
          <t>2026-03-23 17:11:57</t>
        </is>
      </c>
      <c r="G223" t="inlineStr">
        <is>
          <t>图文</t>
        </is>
      </c>
      <c r="H223" t="inlineStr">
        <is>
          <t>智利三文鱼切块·整条三文鱼·深海鱼一人食健康饮食</t>
        </is>
      </c>
      <c r="I223" t="inlineStr">
        <is>
          <t>691ac562a524ee0001b51d7b</t>
        </is>
      </c>
      <c r="J223" t="inlineStr">
        <is>
          <t/>
        </is>
      </c>
      <c r="K223" t="n">
        <v>0.0</v>
      </c>
      <c r="L223" t="n">
        <v>0.0</v>
      </c>
      <c r="M223" t="n">
        <v>12.0</v>
      </c>
      <c r="N223" t="n">
        <v>0.1791044776119403</v>
      </c>
      <c r="O223" t="n">
        <v>10.0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inlineStr">
        <is>
          <t/>
        </is>
      </c>
      <c r="X223" t="n">
        <v>0.0</v>
      </c>
      <c r="Y223" t="n">
        <v>0.0</v>
      </c>
      <c r="Z223" t="n">
        <v>1.0</v>
      </c>
      <c r="AA223" t="n">
        <v>0.0</v>
      </c>
      <c r="AB223" t="n">
        <v>0.0</v>
      </c>
      <c r="AC223" t="n">
        <v>0.0</v>
      </c>
      <c r="AD223" t="n">
        <v>67.0</v>
      </c>
      <c r="AE223" t="n">
        <v>1.0</v>
      </c>
      <c r="AF223" t="n">
        <v>0.0</v>
      </c>
      <c r="AG223" t="n">
        <v>0.0</v>
      </c>
      <c r="AH223" t="n">
        <v>1.0</v>
      </c>
      <c r="AI223" t="n">
        <v>0.0</v>
      </c>
      <c r="AJ223" t="n">
        <v>0.0</v>
      </c>
      <c r="AK223" t="n">
        <v>13.701492537313433</v>
      </c>
      <c r="AL223" t="inlineStr">
        <is>
          <t/>
        </is>
      </c>
    </row>
    <row r="224">
      <c r="A224" t="inlineStr">
        <is>
          <t>春日减脂，69块够我吃一周了</t>
        </is>
      </c>
      <c r="B224" t="inlineStr">
        <is>
          <t>69bb57b2000000001a0369f3</t>
        </is>
      </c>
      <c r="C224" s="223" t="n">
        <f>HYPERLINK("https://www.xiaohongshu.com/explore/69bb57b2000000001a0369f3?xsec_token=TBbjiHoA30T3IRnkbtYIm1O6t_vJADXNbv8MM3U1tuT9o=&amp;xsec_source=pc_trdark","https://www.xiaohongshu.com/explore/69bb57b2000000001a0369f3?xsec_token=TBbjiHoA30T3IRnkbtYIm1O6t_vJADXNbv8MM3U1tuT9o=&amp;xsec_source=pc_trdark")</f>
        <v>0.0</v>
      </c>
      <c r="D224" t="inlineStr">
        <is>
          <t>菲菲上班吃什么</t>
        </is>
      </c>
      <c r="E224" t="inlineStr">
        <is>
          <t>49936530607</t>
        </is>
      </c>
      <c r="F224" t="inlineStr">
        <is>
          <t>2026-03-19 09:56:02</t>
        </is>
      </c>
      <c r="G224" t="inlineStr">
        <is>
          <t>图文</t>
        </is>
      </c>
      <c r="H224" t="inlineStr">
        <is>
          <t>手剥虾仁 无冰衣无添加 低脂餐一人食 上班带饭 顺丰包邮 5盒装</t>
        </is>
      </c>
      <c r="I224" t="inlineStr">
        <is>
          <t>694baba01d450d00013662f0</t>
        </is>
      </c>
      <c r="J224" t="inlineStr">
        <is>
          <t/>
        </is>
      </c>
      <c r="K224" t="n">
        <v>0.0</v>
      </c>
      <c r="L224" t="n">
        <v>0.0</v>
      </c>
      <c r="M224" t="n">
        <v>7.0</v>
      </c>
      <c r="N224" t="n">
        <v>0.1044776119402985</v>
      </c>
      <c r="O224" t="n">
        <v>7.0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inlineStr">
        <is>
          <t/>
        </is>
      </c>
      <c r="X224" t="n">
        <v>0.0</v>
      </c>
      <c r="Y224" t="n">
        <v>1.0</v>
      </c>
      <c r="Z224" t="n">
        <v>2.0</v>
      </c>
      <c r="AA224" t="n">
        <v>0.0</v>
      </c>
      <c r="AB224" t="n">
        <v>0.0</v>
      </c>
      <c r="AC224" t="n">
        <v>0.0</v>
      </c>
      <c r="AD224" t="n">
        <v>67.0</v>
      </c>
      <c r="AE224" t="n">
        <v>1.0</v>
      </c>
      <c r="AF224" t="n">
        <v>0.0</v>
      </c>
      <c r="AG224" t="n">
        <v>0.0</v>
      </c>
      <c r="AH224" t="n">
        <v>1.0</v>
      </c>
      <c r="AI224" t="n">
        <v>0.0</v>
      </c>
      <c r="AJ224" t="n">
        <v>0.0</v>
      </c>
      <c r="AK224" t="n">
        <v>9.492537313432836</v>
      </c>
      <c r="AL224" t="inlineStr">
        <is>
          <t/>
        </is>
      </c>
    </row>
    <row r="225">
      <c r="A225" t="inlineStr">
        <is>
          <t>意外发现掉秤最快的方法…</t>
        </is>
      </c>
      <c r="B225" t="inlineStr">
        <is>
          <t>69a8041f000000002801cde5</t>
        </is>
      </c>
      <c r="C225" s="224" t="n">
        <f>HYPERLINK("https://www.xiaohongshu.com/explore/69a8041f000000002801cde5?xsec_token=TBoPbpeIhQUL4QR6_LMsKnIXDW501mqSBlE-zf_1ALmyI=&amp;xsec_source=pc_trdark","https://www.xiaohongshu.com/explore/69a8041f000000002801cde5?xsec_token=TBoPbpeIhQUL4QR6_LMsKnIXDW501mqSBlE-zf_1ALmyI=&amp;xsec_source=pc_trdark")</f>
        <v>0.0</v>
      </c>
      <c r="D225" t="inlineStr">
        <is>
          <t>鲜水湾</t>
        </is>
      </c>
      <c r="E225" t="inlineStr">
        <is>
          <t>49316638994</t>
        </is>
      </c>
      <c r="F225" t="inlineStr">
        <is>
          <t>2026-03-04 18:06:23</t>
        </is>
      </c>
      <c r="G225" t="inlineStr">
        <is>
          <t>图文</t>
        </is>
      </c>
      <c r="H225" t="inlineStr">
        <is>
          <t>大虾基围虾王牌大虾厄瓜多尔白虾盐冻虾仁海洋大虾送礼顺丰包邮</t>
        </is>
      </c>
      <c r="I225" t="inlineStr">
        <is>
          <t>690aeb7be379430001e686ac</t>
        </is>
      </c>
      <c r="J225" t="inlineStr">
        <is>
          <t/>
        </is>
      </c>
      <c r="K225" t="n">
        <v>0.0</v>
      </c>
      <c r="L225" t="n">
        <v>0.0</v>
      </c>
      <c r="M225" t="n">
        <v>5.0</v>
      </c>
      <c r="N225" t="inlineStr">
        <is>
          <t>0.07462686567164178</t>
        </is>
      </c>
      <c r="O225" t="n">
        <v>3.0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inlineStr">
        <is>
          <t/>
        </is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67.0</v>
      </c>
      <c r="AE225" t="n">
        <v>1.0</v>
      </c>
      <c r="AF225" t="n">
        <v>0.0</v>
      </c>
      <c r="AG225" t="n">
        <v>0.0</v>
      </c>
      <c r="AH225" t="n">
        <v>2.0</v>
      </c>
      <c r="AI225" t="n">
        <v>0.0</v>
      </c>
      <c r="AJ225" t="n">
        <v>0.0</v>
      </c>
      <c r="AK225" t="n">
        <v>7.656716417910448</v>
      </c>
      <c r="AL225" t="inlineStr">
        <is>
          <t/>
        </is>
      </c>
    </row>
    <row r="226">
      <c r="A226" t="inlineStr">
        <is>
          <t>感谢315，让我家虾仁被更多人看到🥹</t>
        </is>
      </c>
      <c r="B226" t="inlineStr">
        <is>
          <t>69c641a500000000230154c3</t>
        </is>
      </c>
      <c r="C226" s="225" t="n">
        <f>HYPERLINK("https://www.xiaohongshu.com/explore/69c641a500000000230154c3?xsec_token=TBR8u6ZWGQ_m04-W6r1rkZPJdloJzg5YnUrW5L2opzm_E=&amp;xsec_source=pc_trdark","https://www.xiaohongshu.com/explore/69c641a500000000230154c3?xsec_token=TBR8u6ZWGQ_m04-W6r1rkZPJdloJzg5YnUrW5L2opzm_E=&amp;xsec_source=pc_trdark")</f>
        <v>0.0</v>
      </c>
      <c r="D226" t="inlineStr">
        <is>
          <t>鲜水湾</t>
        </is>
      </c>
      <c r="E226" t="inlineStr">
        <is>
          <t>49316638994</t>
        </is>
      </c>
      <c r="F226" t="inlineStr">
        <is>
          <t>2026-03-27 16:36:53</t>
        </is>
      </c>
      <c r="G226" t="inlineStr">
        <is>
          <t>图文</t>
        </is>
      </c>
      <c r="H226" t="inlineStr">
        <is>
          <t>手剥虾仁 无冰衣无添加 低脂餐一人食 上班带饭 顺丰包邮 5盒装</t>
        </is>
      </c>
      <c r="I226" t="inlineStr">
        <is>
          <t>694baba01d450d00013662f0</t>
        </is>
      </c>
      <c r="J226" t="inlineStr">
        <is>
          <t/>
        </is>
      </c>
      <c r="K226" t="n">
        <v>247.0</v>
      </c>
      <c r="L226" t="n">
        <v>2.0</v>
      </c>
      <c r="M226" t="n">
        <v>14.0</v>
      </c>
      <c r="N226" t="inlineStr">
        <is>
          <t>0.21212121212121213</t>
        </is>
      </c>
      <c r="O226" t="n">
        <v>12.0</v>
      </c>
      <c r="P226" t="n">
        <v>2.0</v>
      </c>
      <c r="Q226" t="inlineStr">
        <is>
          <t>0.14285714285714285</t>
        </is>
      </c>
      <c r="R226" t="inlineStr">
        <is>
          <t>0.16666666666666666</t>
        </is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3.0</v>
      </c>
      <c r="Z226" t="n">
        <v>4.0</v>
      </c>
      <c r="AA226" t="n">
        <v>0.0</v>
      </c>
      <c r="AB226" t="n">
        <v>0.0</v>
      </c>
      <c r="AC226" t="n">
        <v>0.0</v>
      </c>
      <c r="AD226" t="n">
        <v>66.0</v>
      </c>
      <c r="AE226" t="n">
        <v>1.0</v>
      </c>
      <c r="AF226" t="n">
        <v>1.0</v>
      </c>
      <c r="AG226" t="n">
        <v>0.0</v>
      </c>
      <c r="AH226" t="n">
        <v>2.0</v>
      </c>
      <c r="AI226" t="n">
        <v>0.0</v>
      </c>
      <c r="AJ226" t="n">
        <v>0.0</v>
      </c>
      <c r="AK226" t="n">
        <v>9.803030303030303</v>
      </c>
      <c r="AL226" t="inlineStr">
        <is>
          <t/>
        </is>
      </c>
    </row>
    <row r="227">
      <c r="A227" t="inlineStr">
        <is>
          <t>别和⛰️姆的虾仁比，真的不够打！</t>
        </is>
      </c>
      <c r="B227" t="inlineStr">
        <is>
          <t>69c622f000000000220244c2</t>
        </is>
      </c>
      <c r="C227" s="226" t="n">
        <f>HYPERLINK("https://www.xiaohongshu.com/explore/69c622f000000000220244c2?xsec_token=TBR8u6ZWGQ_m04-W6r1rkZPM54ak1lcj086aCLu42wmOE=&amp;xsec_source=pc_trdark","https://www.xiaohongshu.com/explore/69c622f000000000220244c2?xsec_token=TBR8u6ZWGQ_m04-W6r1rkZPM54ak1lcj086aCLu42wmOE=&amp;xsec_source=pc_trdark")</f>
        <v>0.0</v>
      </c>
      <c r="D227" t="inlineStr">
        <is>
          <t>鲜水湾</t>
        </is>
      </c>
      <c r="E227" t="inlineStr">
        <is>
          <t>49316638994</t>
        </is>
      </c>
      <c r="F227" t="inlineStr">
        <is>
          <t>2026-03-27 14:25:52</t>
        </is>
      </c>
      <c r="G227" t="inlineStr">
        <is>
          <t>图文</t>
        </is>
      </c>
      <c r="H227" t="inlineStr">
        <is>
          <t>手剥虾仁 无冰衣无添加 低脂餐一人食 上班带饭 顺丰包邮 5盒装</t>
        </is>
      </c>
      <c r="I227" t="inlineStr">
        <is>
          <t>694baba01d450d00013662f0</t>
        </is>
      </c>
      <c r="J227" t="inlineStr">
        <is>
          <t/>
        </is>
      </c>
      <c r="K227" t="n">
        <v>0.0</v>
      </c>
      <c r="L227" t="n">
        <v>0.0</v>
      </c>
      <c r="M227" t="n">
        <v>11.0</v>
      </c>
      <c r="N227" t="inlineStr">
        <is>
          <t>0.16666666666666666</t>
        </is>
      </c>
      <c r="O227" t="n">
        <v>9.0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inlineStr">
        <is>
          <t/>
        </is>
      </c>
      <c r="X227" t="n">
        <v>0.0</v>
      </c>
      <c r="Y227" t="n">
        <v>1.0</v>
      </c>
      <c r="Z227" t="n">
        <v>3.0</v>
      </c>
      <c r="AA227" t="n">
        <v>0.0</v>
      </c>
      <c r="AB227" t="n">
        <v>0.0</v>
      </c>
      <c r="AC227" t="n">
        <v>0.0</v>
      </c>
      <c r="AD227" t="n">
        <v>66.0</v>
      </c>
      <c r="AE227" t="n">
        <v>0.0</v>
      </c>
      <c r="AF227" t="n">
        <v>0.0</v>
      </c>
      <c r="AG227" t="n">
        <v>0.0</v>
      </c>
      <c r="AH227" t="n">
        <v>2.0</v>
      </c>
      <c r="AI227" t="n">
        <v>0.0</v>
      </c>
      <c r="AJ227" t="n">
        <v>0.0</v>
      </c>
      <c r="AK227" t="n">
        <v>12.696969696969697</v>
      </c>
      <c r="AL227" t="inlineStr">
        <is>
          <t/>
        </is>
      </c>
    </row>
    <row r="228">
      <c r="A228" t="inlineStr">
        <is>
          <t>不是？昨天吃虾仁今天直接掉了快两斤！</t>
        </is>
      </c>
      <c r="B228" t="inlineStr">
        <is>
          <t>69bdfd49000000001a02f24c</t>
        </is>
      </c>
      <c r="C228" s="227" t="n">
        <f>HYPERLINK("https://www.xiaohongshu.com/explore/69bdfd49000000001a02f24c?xsec_token=TBRwbx0S6Y78qN5wWC1_PyBB0ikpbUAyfh-wmaMJ6rb20=&amp;xsec_source=pc_trdark","https://www.xiaohongshu.com/explore/69bdfd49000000001a02f24c?xsec_token=TBRwbx0S6Y78qN5wWC1_PyBB0ikpbUAyfh-wmaMJ6rb20=&amp;xsec_source=pc_trdark")</f>
        <v>0.0</v>
      </c>
      <c r="D228" t="inlineStr">
        <is>
          <t>菲菲上班吃什么</t>
        </is>
      </c>
      <c r="E228" t="inlineStr">
        <is>
          <t>49936530607</t>
        </is>
      </c>
      <c r="F228" t="inlineStr">
        <is>
          <t>2026-03-21 10:07:05</t>
        </is>
      </c>
      <c r="G228" t="inlineStr">
        <is>
          <t>图文</t>
        </is>
      </c>
      <c r="H228" t="inlineStr">
        <is>
          <t>手剥虾仁 无冰衣无添加 低脂餐一人食 上班带饭 顺丰包邮 5盒装</t>
        </is>
      </c>
      <c r="I228" t="inlineStr">
        <is>
          <t>694baba01d450d00013662f0</t>
        </is>
      </c>
      <c r="J228" t="inlineStr">
        <is>
          <t/>
        </is>
      </c>
      <c r="K228" t="n">
        <v>69.0</v>
      </c>
      <c r="L228" t="n">
        <v>1.0</v>
      </c>
      <c r="M228" t="n">
        <v>2.0</v>
      </c>
      <c r="N228" t="inlineStr">
        <is>
          <t>0.030303030303030304</t>
        </is>
      </c>
      <c r="O228" t="n">
        <v>2.0</v>
      </c>
      <c r="P228" t="n">
        <v>1.0</v>
      </c>
      <c r="Q228" t="n">
        <v>0.5</v>
      </c>
      <c r="R228" t="n">
        <v>0.5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1.0</v>
      </c>
      <c r="AA228" t="n">
        <v>0.0</v>
      </c>
      <c r="AB228" t="n">
        <v>0.0</v>
      </c>
      <c r="AC228" t="n">
        <v>0.0</v>
      </c>
      <c r="AD228" t="n">
        <v>66.0</v>
      </c>
      <c r="AE228" t="n">
        <v>0.0</v>
      </c>
      <c r="AF228" t="n">
        <v>0.0</v>
      </c>
      <c r="AG228" t="n">
        <v>0.0</v>
      </c>
      <c r="AH228" t="n">
        <v>1.0</v>
      </c>
      <c r="AI228" t="n">
        <v>0.0</v>
      </c>
      <c r="AJ228" t="n">
        <v>0.0</v>
      </c>
      <c r="AK228" t="n">
        <v>8.181818181818182</v>
      </c>
      <c r="AL228" t="inlineStr">
        <is>
          <t/>
        </is>
      </c>
    </row>
    <row r="229">
      <c r="A229" t="inlineStr">
        <is>
          <t>我也不想买啊🥹但69够我吃一周轻食餐的了</t>
        </is>
      </c>
      <c r="B229" t="inlineStr">
        <is>
          <t>69bbe275000000002800b6c0</t>
        </is>
      </c>
      <c r="C229" s="228" t="n">
        <f>HYPERLINK("https://www.xiaohongshu.com/explore/69bbe275000000002800b6c0?xsec_token=TBbjiHoA30T3IRnkbtYIm1O3l3hV-Xq7HfvCa3FsLTq84=&amp;xsec_source=pc_trdark","https://www.xiaohongshu.com/explore/69bbe275000000002800b6c0?xsec_token=TBbjiHoA30T3IRnkbtYIm1O3l3hV-Xq7HfvCa3FsLTq84=&amp;xsec_source=pc_trdark")</f>
        <v>0.0</v>
      </c>
      <c r="D229" t="inlineStr">
        <is>
          <t>菲菲上班吃什么</t>
        </is>
      </c>
      <c r="E229" t="inlineStr">
        <is>
          <t>49936530607</t>
        </is>
      </c>
      <c r="F229" t="inlineStr">
        <is>
          <t>2026-03-19 19:48:05</t>
        </is>
      </c>
      <c r="G229" t="inlineStr">
        <is>
          <t>图文</t>
        </is>
      </c>
      <c r="H229" t="inlineStr">
        <is>
          <t>手剥虾仁 无冰衣无添加 低脂餐一人食 上班带饭 顺丰包邮 5盒装</t>
        </is>
      </c>
      <c r="I229" t="inlineStr">
        <is>
          <t>694baba01d450d00013662f0</t>
        </is>
      </c>
      <c r="J229" t="inlineStr">
        <is>
          <t/>
        </is>
      </c>
      <c r="K229" t="n">
        <v>0.0</v>
      </c>
      <c r="L229" t="n">
        <v>0.0</v>
      </c>
      <c r="M229" t="n">
        <v>21.0</v>
      </c>
      <c r="N229" t="n">
        <v>0.3181818181818182</v>
      </c>
      <c r="O229" t="n">
        <v>19.0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inlineStr">
        <is>
          <t/>
        </is>
      </c>
      <c r="X229" t="n">
        <v>0.0</v>
      </c>
      <c r="Y229" t="n">
        <v>2.0</v>
      </c>
      <c r="Z229" t="n">
        <v>5.0</v>
      </c>
      <c r="AA229" t="n">
        <v>0.0</v>
      </c>
      <c r="AB229" t="n">
        <v>0.0</v>
      </c>
      <c r="AC229" t="n">
        <v>0.0</v>
      </c>
      <c r="AD229" t="n">
        <v>66.0</v>
      </c>
      <c r="AE229" t="n">
        <v>1.0</v>
      </c>
      <c r="AF229" t="n">
        <v>0.0</v>
      </c>
      <c r="AG229" t="n">
        <v>0.0</v>
      </c>
      <c r="AH229" t="n">
        <v>1.0</v>
      </c>
      <c r="AI229" t="n">
        <v>0.0</v>
      </c>
      <c r="AJ229" t="n">
        <v>0.0</v>
      </c>
      <c r="AK229" t="n">
        <v>16.40909090909091</v>
      </c>
      <c r="AL229" t="inlineStr">
        <is>
          <t/>
        </is>
      </c>
    </row>
    <row r="230">
      <c r="A230" t="inlineStr">
        <is>
          <t>奉劝身材管理期的姐妹不要低估70的购买力…</t>
        </is>
      </c>
      <c r="B230" t="inlineStr">
        <is>
          <t>69bbcbb3000000001f0005d1</t>
        </is>
      </c>
      <c r="C230" s="229" t="n">
        <f>HYPERLINK("https://www.xiaohongshu.com/explore/69bbcbb3000000001f0005d1?xsec_token=TBbjiHoA30T3IRnkbtYIm1O96Hn3_QPwjP4kUgptklzqw=&amp;xsec_source=pc_trdark","https://www.xiaohongshu.com/explore/69bbcbb3000000001f0005d1?xsec_token=TBbjiHoA30T3IRnkbtYIm1O96Hn3_QPwjP4kUgptklzqw=&amp;xsec_source=pc_trdark")</f>
        <v>0.0</v>
      </c>
      <c r="D230" t="inlineStr">
        <is>
          <t>鲜水湾</t>
        </is>
      </c>
      <c r="E230" t="inlineStr">
        <is>
          <t>49316638994</t>
        </is>
      </c>
      <c r="F230" t="inlineStr">
        <is>
          <t>2026-03-19 18:11:00</t>
        </is>
      </c>
      <c r="G230" t="inlineStr">
        <is>
          <t>图文</t>
        </is>
      </c>
      <c r="H230" t="inlineStr">
        <is>
          <t>手剥虾仁 无冰衣无添加 低脂餐一人食 上班带饭 顺丰包邮 5盒装</t>
        </is>
      </c>
      <c r="I230" t="inlineStr">
        <is>
          <t>694baba01d450d00013662f0</t>
        </is>
      </c>
      <c r="J230" t="inlineStr">
        <is>
          <t/>
        </is>
      </c>
      <c r="K230" t="n">
        <v>0.0</v>
      </c>
      <c r="L230" t="n">
        <v>0.0</v>
      </c>
      <c r="M230" t="n">
        <v>14.0</v>
      </c>
      <c r="N230" t="inlineStr">
        <is>
          <t>0.21212121212121213</t>
        </is>
      </c>
      <c r="O230" t="n">
        <v>11.0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inlineStr">
        <is>
          <t/>
        </is>
      </c>
      <c r="X230" t="n">
        <v>0.0</v>
      </c>
      <c r="Y230" t="n">
        <v>3.0</v>
      </c>
      <c r="Z230" t="n">
        <v>0.0</v>
      </c>
      <c r="AA230" t="n">
        <v>0.0</v>
      </c>
      <c r="AB230" t="n">
        <v>0.0</v>
      </c>
      <c r="AC230" t="n">
        <v>0.0</v>
      </c>
      <c r="AD230" t="n">
        <v>66.0</v>
      </c>
      <c r="AE230" t="n">
        <v>1.0</v>
      </c>
      <c r="AF230" t="n">
        <v>1.0</v>
      </c>
      <c r="AG230" t="n">
        <v>0.0</v>
      </c>
      <c r="AH230" t="n">
        <v>0.0</v>
      </c>
      <c r="AI230" t="n">
        <v>0.0</v>
      </c>
      <c r="AJ230" t="n">
        <v>0.0</v>
      </c>
      <c r="AK230" t="n">
        <v>13.590909090909092</v>
      </c>
      <c r="AL230" t="inlineStr">
        <is>
          <t/>
        </is>
      </c>
    </row>
    <row r="231">
      <c r="A231" t="inlineStr">
        <is>
          <t>为啥很少有人减脂主食吃虾呀</t>
        </is>
      </c>
      <c r="B231" t="inlineStr">
        <is>
          <t>69a79f18000000001a01c308</t>
        </is>
      </c>
      <c r="C231" s="230" t="n">
        <f>HYPERLINK("https://www.xiaohongshu.com/explore/69a79f18000000001a01c308?xsec_token=TBfaHJOfbObHzNAqAc3bkGM5wmdlu1k2lW06obbGvDPZ0=&amp;xsec_source=pc_trdark","https://www.xiaohongshu.com/explore/69a79f18000000001a01c308?xsec_token=TBfaHJOfbObHzNAqAc3bkGM5wmdlu1k2lW06obbGvDPZ0=&amp;xsec_source=pc_trdark")</f>
        <v>0.0</v>
      </c>
      <c r="D231" t="inlineStr">
        <is>
          <t>鲜水湾</t>
        </is>
      </c>
      <c r="E231" t="inlineStr">
        <is>
          <t>49316638994</t>
        </is>
      </c>
      <c r="F231" t="inlineStr">
        <is>
          <t>2026-03-04 10:55:20</t>
        </is>
      </c>
      <c r="G231" t="inlineStr">
        <is>
          <t>图文</t>
        </is>
      </c>
      <c r="H231" t="inlineStr">
        <is>
          <t>大虾基围虾王牌大虾厄瓜多尔白虾盐冻虾仁海洋大虾送礼顺丰包邮</t>
        </is>
      </c>
      <c r="I231" t="inlineStr">
        <is>
          <t>690aeb7be379430001e686ac</t>
        </is>
      </c>
      <c r="J231" t="inlineStr">
        <is>
          <t/>
        </is>
      </c>
      <c r="K231" t="n">
        <v>69.0</v>
      </c>
      <c r="L231" t="n">
        <v>1.0</v>
      </c>
      <c r="M231" t="n">
        <v>11.0</v>
      </c>
      <c r="N231" t="inlineStr">
        <is>
          <t>0.16666666666666666</t>
        </is>
      </c>
      <c r="O231" t="n">
        <v>9.0</v>
      </c>
      <c r="P231" t="n">
        <v>1.0</v>
      </c>
      <c r="Q231" t="inlineStr">
        <is>
          <t>0.09090909090909091</t>
        </is>
      </c>
      <c r="R231" t="n">
        <v>0.1111111111111111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1.0</v>
      </c>
      <c r="AA231" t="n">
        <v>0.0</v>
      </c>
      <c r="AB231" t="n">
        <v>0.0</v>
      </c>
      <c r="AC231" t="n">
        <v>0.0</v>
      </c>
      <c r="AD231" t="n">
        <v>66.0</v>
      </c>
      <c r="AE231" t="n">
        <v>0.0</v>
      </c>
      <c r="AF231" t="n">
        <v>0.0</v>
      </c>
      <c r="AG231" t="n">
        <v>1.0</v>
      </c>
      <c r="AH231" t="n">
        <v>0.0</v>
      </c>
      <c r="AI231" t="n">
        <v>0.0</v>
      </c>
      <c r="AJ231" t="n">
        <v>0.0</v>
      </c>
      <c r="AK231" t="n">
        <v>7.303030303030303</v>
      </c>
      <c r="AL231" t="inlineStr">
        <is>
          <t/>
        </is>
      </c>
    </row>
    <row r="232">
      <c r="A232" t="inlineStr">
        <is>
          <t>和老板商量后，推出春天控体一人食🥹</t>
        </is>
      </c>
      <c r="B232" t="inlineStr">
        <is>
          <t>69c9cf35000000001f004e36</t>
        </is>
      </c>
      <c r="C232" s="231" t="n">
        <f>HYPERLINK("https://www.xiaohongshu.com/explore/69c9cf35000000001f004e36?xsec_token=TBbpP5CiN94LtvLtPXlqbAxZ1ct7tFS1AiUXX52xaP1ZE=&amp;xsec_source=pc_trdark","https://www.xiaohongshu.com/explore/69c9cf35000000001f004e36?xsec_token=TBbpP5CiN94LtvLtPXlqbAxZ1ct7tFS1AiUXX52xaP1ZE=&amp;xsec_source=pc_trdark")</f>
        <v>0.0</v>
      </c>
      <c r="D232" t="inlineStr">
        <is>
          <t>鲜水湾</t>
        </is>
      </c>
      <c r="E232" t="inlineStr">
        <is>
          <t>49316638994</t>
        </is>
      </c>
      <c r="F232" t="inlineStr">
        <is>
          <t>2026-03-30 09:17:41</t>
        </is>
      </c>
      <c r="G232" t="inlineStr">
        <is>
          <t>图文</t>
        </is>
      </c>
      <c r="H232" t="inlineStr">
        <is>
          <t>手剥虾仁 无冰衣无添加 低脂餐一人食 上班带饭 顺丰包邮 5盒装</t>
        </is>
      </c>
      <c r="I232" t="inlineStr">
        <is>
          <t>694baba01d450d00013662f0</t>
        </is>
      </c>
      <c r="J232" t="inlineStr">
        <is>
          <t/>
        </is>
      </c>
      <c r="K232" t="n">
        <v>69.0</v>
      </c>
      <c r="L232" t="n">
        <v>1.0</v>
      </c>
      <c r="M232" t="n">
        <v>13.0</v>
      </c>
      <c r="N232" t="n">
        <v>0.2</v>
      </c>
      <c r="O232" t="n">
        <v>10.0</v>
      </c>
      <c r="P232" t="n">
        <v>1.0</v>
      </c>
      <c r="Q232" t="inlineStr">
        <is>
          <t>0.07692307692307693</t>
        </is>
      </c>
      <c r="R232" t="n">
        <v>0.1</v>
      </c>
      <c r="S232" t="n">
        <v>69.0</v>
      </c>
      <c r="T232" t="n">
        <v>1.0</v>
      </c>
      <c r="U232" t="n">
        <v>1.0</v>
      </c>
      <c r="V232" t="n">
        <v>69.0</v>
      </c>
      <c r="W232" t="n">
        <v>1.0</v>
      </c>
      <c r="X232" t="n">
        <v>1.0</v>
      </c>
      <c r="Y232" t="n">
        <v>4.0</v>
      </c>
      <c r="Z232" t="n">
        <v>0.0</v>
      </c>
      <c r="AA232" t="n">
        <v>0.0</v>
      </c>
      <c r="AB232" t="n">
        <v>0.0</v>
      </c>
      <c r="AC232" t="n">
        <v>0.0</v>
      </c>
      <c r="AD232" t="n">
        <v>65.0</v>
      </c>
      <c r="AE232" t="n">
        <v>1.0</v>
      </c>
      <c r="AF232" t="n">
        <v>0.0</v>
      </c>
      <c r="AG232" t="n">
        <v>0.0</v>
      </c>
      <c r="AH232" t="n">
        <v>2.0</v>
      </c>
      <c r="AI232" t="n">
        <v>0.0</v>
      </c>
      <c r="AJ232" t="n">
        <v>0.0</v>
      </c>
      <c r="AK232" t="n">
        <v>10.815384615384616</v>
      </c>
      <c r="AL232" t="inlineStr">
        <is>
          <t/>
        </is>
      </c>
    </row>
    <row r="233">
      <c r="A233" t="inlineStr">
        <is>
          <t>和老爸商量后推出减脂人小包装</t>
        </is>
      </c>
      <c r="B233" t="inlineStr">
        <is>
          <t>69c8866f000000002301e9d9</t>
        </is>
      </c>
      <c r="C233" s="232" t="n">
        <f>HYPERLINK("https://www.xiaohongshu.com/explore/69c8866f000000002301e9d9?xsec_token=TBSs0bsvi6YGXB042lLCz_JEQuDtIIoe5JEOSGrClQEtA=&amp;xsec_source=pc_trdark","https://www.xiaohongshu.com/explore/69c8866f000000002301e9d9?xsec_token=TBSs0bsvi6YGXB042lLCz_JEQuDtIIoe5JEOSGrClQEtA=&amp;xsec_source=pc_trdark")</f>
        <v>0.0</v>
      </c>
      <c r="D233" t="inlineStr">
        <is>
          <t>鲜水湾</t>
        </is>
      </c>
      <c r="E233" t="inlineStr">
        <is>
          <t>49316638994</t>
        </is>
      </c>
      <c r="F233" t="inlineStr">
        <is>
          <t>2026-03-29 09:54:55</t>
        </is>
      </c>
      <c r="G233" t="inlineStr">
        <is>
          <t>图文</t>
        </is>
      </c>
      <c r="H233" t="inlineStr">
        <is>
          <t>手剥虾仁 无冰衣无添加 低脂餐一人食 上班带饭 顺丰包邮 5盒装</t>
        </is>
      </c>
      <c r="I233" t="inlineStr">
        <is>
          <t>694baba01d450d00013662f0</t>
        </is>
      </c>
      <c r="J233" t="inlineStr">
        <is>
          <t/>
        </is>
      </c>
      <c r="K233" t="n">
        <v>0.0</v>
      </c>
      <c r="L233" t="n">
        <v>0.0</v>
      </c>
      <c r="M233" t="n">
        <v>24.0</v>
      </c>
      <c r="N233" t="inlineStr">
        <is>
          <t>0.36923076923076925</t>
        </is>
      </c>
      <c r="O233" t="n">
        <v>24.0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inlineStr">
        <is>
          <t/>
        </is>
      </c>
      <c r="X233" t="n">
        <v>0.0</v>
      </c>
      <c r="Y233" t="n">
        <v>5.0</v>
      </c>
      <c r="Z233" t="n">
        <v>6.0</v>
      </c>
      <c r="AA233" t="n">
        <v>0.0</v>
      </c>
      <c r="AB233" t="n">
        <v>0.0</v>
      </c>
      <c r="AC233" t="n">
        <v>0.0</v>
      </c>
      <c r="AD233" t="n">
        <v>65.0</v>
      </c>
      <c r="AE233" t="n">
        <v>1.0</v>
      </c>
      <c r="AF233" t="n">
        <v>0.0</v>
      </c>
      <c r="AG233" t="n">
        <v>2.0</v>
      </c>
      <c r="AH233" t="n">
        <v>2.0</v>
      </c>
      <c r="AI233" t="n">
        <v>0.0</v>
      </c>
      <c r="AJ233" t="n">
        <v>0.0</v>
      </c>
      <c r="AK233" t="n">
        <v>12.615384615384615</v>
      </c>
      <c r="AL233" t="inlineStr">
        <is>
          <t/>
        </is>
      </c>
    </row>
    <row r="234">
      <c r="A234" t="inlineStr">
        <is>
          <t>和老爸商量后，为独居姐妹推出的专属小包</t>
        </is>
      </c>
      <c r="B234" t="inlineStr">
        <is>
          <t>69bac2e4000000001a035f20</t>
        </is>
      </c>
      <c r="C234" s="233" t="n">
        <f>HYPERLINK("https://www.xiaohongshu.com/explore/69bac2e4000000001a035f20?xsec_token=TBgJVNruMKjnZKfHBYiZtZCXmcQ9fxS8dCHo8xRSRGNOU=&amp;xsec_source=pc_trdark","https://www.xiaohongshu.com/explore/69bac2e4000000001a035f20?xsec_token=TBgJVNruMKjnZKfHBYiZtZCXmcQ9fxS8dCHo8xRSRGNOU=&amp;xsec_source=pc_trdark")</f>
        <v>0.0</v>
      </c>
      <c r="D234" t="inlineStr">
        <is>
          <t>鲜水湾</t>
        </is>
      </c>
      <c r="E234" t="inlineStr">
        <is>
          <t>49316638994</t>
        </is>
      </c>
      <c r="F234" t="inlineStr">
        <is>
          <t>2026-03-18 23:21:08</t>
        </is>
      </c>
      <c r="G234" t="inlineStr">
        <is>
          <t>图文</t>
        </is>
      </c>
      <c r="H234" t="inlineStr">
        <is>
          <t>手剥虾仁 无冰衣无添加 低脂餐一人食 上班带饭 顺丰包邮 5盒装</t>
        </is>
      </c>
      <c r="I234" t="inlineStr">
        <is>
          <t>694baba01d450d00013662f0</t>
        </is>
      </c>
      <c r="J234" t="inlineStr">
        <is>
          <t/>
        </is>
      </c>
      <c r="K234" t="n">
        <v>0.0</v>
      </c>
      <c r="L234" t="n">
        <v>0.0</v>
      </c>
      <c r="M234" t="n">
        <v>9.0</v>
      </c>
      <c r="N234" t="inlineStr">
        <is>
          <t>0.13846153846153847</t>
        </is>
      </c>
      <c r="O234" t="n">
        <v>9.0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inlineStr">
        <is>
          <t/>
        </is>
      </c>
      <c r="X234" t="n">
        <v>0.0</v>
      </c>
      <c r="Y234" t="n">
        <v>3.0</v>
      </c>
      <c r="Z234" t="n">
        <v>0.0</v>
      </c>
      <c r="AA234" t="n">
        <v>0.0</v>
      </c>
      <c r="AB234" t="n">
        <v>0.0</v>
      </c>
      <c r="AC234" t="n">
        <v>0.0</v>
      </c>
      <c r="AD234" t="n">
        <v>65.0</v>
      </c>
      <c r="AE234" t="n">
        <v>1.0</v>
      </c>
      <c r="AF234" t="n">
        <v>0.0</v>
      </c>
      <c r="AG234" t="n">
        <v>0.0</v>
      </c>
      <c r="AH234" t="n">
        <v>1.0</v>
      </c>
      <c r="AI234" t="n">
        <v>0.0</v>
      </c>
      <c r="AJ234" t="n">
        <v>0.0</v>
      </c>
      <c r="AK234" t="n">
        <v>8.092307692307692</v>
      </c>
      <c r="AL234" t="inlineStr">
        <is>
          <t/>
        </is>
      </c>
    </row>
    <row r="235">
      <c r="A235" t="inlineStr">
        <is>
          <t>不愧是健身教练推荐的！抗炎神器</t>
        </is>
      </c>
      <c r="B235" t="inlineStr">
        <is>
          <t>693ad1d4000000001e02025e</t>
        </is>
      </c>
      <c r="C235" s="234" t="n">
        <f>HYPERLINK("https://www.xiaohongshu.com/explore/693ad1d4000000001e02025e?xsec_token=TBSe-eT4tPFhzXSmwZAcjHHyafMYmfcrkSqIihNjLOj3Q=&amp;xsec_source=pc_trdark","https://www.xiaohongshu.com/explore/693ad1d4000000001e02025e?xsec_token=TBSe-eT4tPFhzXSmwZAcjHHyafMYmfcrkSqIihNjLOj3Q=&amp;xsec_source=pc_trdark")</f>
        <v>0.0</v>
      </c>
      <c r="D235" t="inlineStr">
        <is>
          <t>鲜水湾</t>
        </is>
      </c>
      <c r="E235" t="inlineStr">
        <is>
          <t>49316638994</t>
        </is>
      </c>
      <c r="F235" t="inlineStr">
        <is>
          <t>2025-12-11 22:14:44</t>
        </is>
      </c>
      <c r="G235" t="inlineStr">
        <is>
          <t>图文</t>
        </is>
      </c>
      <c r="H235" t="inlineStr">
        <is>
          <t>智利三文鱼切块·整条三文鱼·深海鱼一人食健康饮食</t>
        </is>
      </c>
      <c r="I235" t="inlineStr">
        <is>
          <t>691ac562a524ee0001b51d7b</t>
        </is>
      </c>
      <c r="J235" t="inlineStr">
        <is>
          <t/>
        </is>
      </c>
      <c r="K235" t="n">
        <v>179.0</v>
      </c>
      <c r="L235" t="n">
        <v>2.0</v>
      </c>
      <c r="M235" t="n">
        <v>7.0</v>
      </c>
      <c r="N235" t="n">
        <v>0.1076923076923077</v>
      </c>
      <c r="O235" t="n">
        <v>6.0</v>
      </c>
      <c r="P235" t="n">
        <v>2.0</v>
      </c>
      <c r="Q235" t="n">
        <v>0.2857142857142857</v>
      </c>
      <c r="R235" t="n">
        <v>0.3333333333333333</v>
      </c>
      <c r="S235" t="n">
        <v>61.0</v>
      </c>
      <c r="T235" t="n">
        <v>1.0</v>
      </c>
      <c r="U235" t="n">
        <v>1.0</v>
      </c>
      <c r="V235" t="n">
        <v>61.0</v>
      </c>
      <c r="W235" t="n">
        <v>0.3407821229050279</v>
      </c>
      <c r="X235" t="n">
        <v>1.0</v>
      </c>
      <c r="Y235" t="n">
        <v>1.0</v>
      </c>
      <c r="Z235" t="n">
        <v>2.0</v>
      </c>
      <c r="AA235" t="n">
        <v>0.0</v>
      </c>
      <c r="AB235" t="n">
        <v>0.0</v>
      </c>
      <c r="AC235" t="n">
        <v>0.0</v>
      </c>
      <c r="AD235" t="n">
        <v>65.0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9.123076923076923</v>
      </c>
      <c r="AL235" t="inlineStr">
        <is>
          <t/>
        </is>
      </c>
    </row>
    <row r="236">
      <c r="A236" t="inlineStr">
        <is>
          <t>因为上班带饭被同事误以为家境拮据…</t>
        </is>
      </c>
      <c r="B236" t="inlineStr">
        <is>
          <t>69c627150000000023006d2e</t>
        </is>
      </c>
      <c r="C236" s="235" t="n">
        <f>HYPERLINK("https://www.xiaohongshu.com/explore/69c627150000000023006d2e?xsec_token=TBR8u6ZWGQ_m04-W6r1rkZPHdEc13tXva5z2A-caBz_A4=&amp;xsec_source=pc_trdark","https://www.xiaohongshu.com/explore/69c627150000000023006d2e?xsec_token=TBR8u6ZWGQ_m04-W6r1rkZPHdEc13tXva5z2A-caBz_A4=&amp;xsec_source=pc_trdark")</f>
        <v>0.0</v>
      </c>
      <c r="D236" t="inlineStr">
        <is>
          <t>菲菲上班吃什么</t>
        </is>
      </c>
      <c r="E236" t="inlineStr">
        <is>
          <t>49936530607</t>
        </is>
      </c>
      <c r="F236" t="inlineStr">
        <is>
          <t>2026-03-27 14:43:33</t>
        </is>
      </c>
      <c r="G236" t="inlineStr">
        <is>
          <t>图文</t>
        </is>
      </c>
      <c r="H236" t="inlineStr">
        <is>
          <t>手剥虾仁 无冰衣无添加 低脂餐一人食 上班带饭 顺丰包邮 5盒装</t>
        </is>
      </c>
      <c r="I236" t="inlineStr">
        <is>
          <t>694baba01d450d00013662f0</t>
        </is>
      </c>
      <c r="J236" t="inlineStr">
        <is>
          <t/>
        </is>
      </c>
      <c r="K236" t="n">
        <v>0.0</v>
      </c>
      <c r="L236" t="n">
        <v>0.0</v>
      </c>
      <c r="M236" t="n">
        <v>7.0</v>
      </c>
      <c r="N236" t="n">
        <v>0.109375</v>
      </c>
      <c r="O236" t="n">
        <v>6.0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inlineStr">
        <is>
          <t/>
        </is>
      </c>
      <c r="X236" t="n">
        <v>0.0</v>
      </c>
      <c r="Y236" t="n">
        <v>3.0</v>
      </c>
      <c r="Z236" t="n">
        <v>0.0</v>
      </c>
      <c r="AA236" t="n">
        <v>0.0</v>
      </c>
      <c r="AB236" t="n">
        <v>0.0</v>
      </c>
      <c r="AC236" t="n">
        <v>0.0</v>
      </c>
      <c r="AD236" t="n">
        <v>64.0</v>
      </c>
      <c r="AE236" t="n">
        <v>0.0</v>
      </c>
      <c r="AF236" t="n">
        <v>1.0</v>
      </c>
      <c r="AG236" t="n">
        <v>0.0</v>
      </c>
      <c r="AH236" t="n">
        <v>1.0</v>
      </c>
      <c r="AI236" t="n">
        <v>0.0</v>
      </c>
      <c r="AJ236" t="n">
        <v>0.0</v>
      </c>
      <c r="AK236" t="n">
        <v>13.15625</v>
      </c>
      <c r="AL236" t="inlineStr">
        <is>
          <t/>
        </is>
      </c>
    </row>
    <row r="237">
      <c r="A237" t="inlineStr">
        <is>
          <t>自律期吃虾仁，等夏天惊艳所有人✨</t>
        </is>
      </c>
      <c r="B237" t="inlineStr">
        <is>
          <t>69c3ab55000000002003b156</t>
        </is>
      </c>
      <c r="C237" s="236" t="n">
        <f>HYPERLINK("https://www.xiaohongshu.com/explore/69c3ab55000000002003b156?xsec_token=TBedSEQ7qtT06AlsylOAiUw193Xer2MO19pY6OYqhmB-I=&amp;xsec_source=pc_trdark","https://www.xiaohongshu.com/explore/69c3ab55000000002003b156?xsec_token=TBedSEQ7qtT06AlsylOAiUw193Xer2MO19pY6OYqhmB-I=&amp;xsec_source=pc_trdark")</f>
        <v>0.0</v>
      </c>
      <c r="D237" t="inlineStr">
        <is>
          <t>婉婉上班吃什么</t>
        </is>
      </c>
      <c r="E237" t="inlineStr">
        <is>
          <t>11434449706</t>
        </is>
      </c>
      <c r="F237" t="inlineStr">
        <is>
          <t>2026-03-25 17:31:01</t>
        </is>
      </c>
      <c r="G237" t="inlineStr">
        <is>
          <t>图文</t>
        </is>
      </c>
      <c r="H237" t="inlineStr">
        <is>
          <t>手剥虾仁 无冰衣无添加 低脂餐一人食 上班带饭 顺丰包邮 5盒装</t>
        </is>
      </c>
      <c r="I237" t="inlineStr">
        <is>
          <t>694baba01d450d00013662f0</t>
        </is>
      </c>
      <c r="J237" t="inlineStr">
        <is>
          <t/>
        </is>
      </c>
      <c r="K237" t="n">
        <v>197.0</v>
      </c>
      <c r="L237" t="n">
        <v>2.0</v>
      </c>
      <c r="M237" t="n">
        <v>9.0</v>
      </c>
      <c r="N237" t="n">
        <v>0.140625</v>
      </c>
      <c r="O237" t="n">
        <v>9.0</v>
      </c>
      <c r="P237" t="n">
        <v>2.0</v>
      </c>
      <c r="Q237" t="n">
        <v>0.2222222222222222</v>
      </c>
      <c r="R237" t="n">
        <v>0.2222222222222222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3.0</v>
      </c>
      <c r="Z237" t="n">
        <v>1.0</v>
      </c>
      <c r="AA237" t="n">
        <v>0.0</v>
      </c>
      <c r="AB237" t="n">
        <v>0.0</v>
      </c>
      <c r="AC237" t="n">
        <v>0.0</v>
      </c>
      <c r="AD237" t="n">
        <v>64.0</v>
      </c>
      <c r="AE237" t="n">
        <v>1.0</v>
      </c>
      <c r="AF237" t="n">
        <v>1.0</v>
      </c>
      <c r="AG237" t="n">
        <v>0.0</v>
      </c>
      <c r="AH237" t="n">
        <v>1.0</v>
      </c>
      <c r="AI237" t="n">
        <v>0.0</v>
      </c>
      <c r="AJ237" t="n">
        <v>0.0</v>
      </c>
      <c r="AK237" t="n">
        <v>8.875</v>
      </c>
      <c r="AL237" t="inlineStr">
        <is>
          <t/>
        </is>
      </c>
    </row>
    <row r="238">
      <c r="A238" t="inlineStr">
        <is>
          <t>同事以为我每天吃虾仁很奢侈…</t>
        </is>
      </c>
      <c r="B238" t="inlineStr">
        <is>
          <t>69c64f8d000000001a02f457</t>
        </is>
      </c>
      <c r="C238" s="237" t="n">
        <f>HYPERLINK("https://www.xiaohongshu.com/explore/69c64f8d000000001a02f457?xsec_token=TBR8u6ZWGQ_m04-W6r1rkZPKSUNbykKgeuPy9jsIVA_VU=&amp;xsec_source=pc_trdark","https://www.xiaohongshu.com/explore/69c64f8d000000001a02f457?xsec_token=TBR8u6ZWGQ_m04-W6r1rkZPKSUNbykKgeuPy9jsIVA_VU=&amp;xsec_source=pc_trdark")</f>
        <v>0.0</v>
      </c>
      <c r="D238" t="inlineStr">
        <is>
          <t>婉婉上班吃什么</t>
        </is>
      </c>
      <c r="E238" t="inlineStr">
        <is>
          <t>11434449706</t>
        </is>
      </c>
      <c r="F238" t="inlineStr">
        <is>
          <t>2026-03-27 17:36:13</t>
        </is>
      </c>
      <c r="G238" t="inlineStr">
        <is>
          <t>图文</t>
        </is>
      </c>
      <c r="H238" t="inlineStr">
        <is>
          <t>手剥虾仁 无冰衣无添加 低脂餐一人食 上班带饭 顺丰包邮 5盒装</t>
        </is>
      </c>
      <c r="I238" t="inlineStr">
        <is>
          <t>694baba01d450d00013662f0</t>
        </is>
      </c>
      <c r="J238" t="inlineStr">
        <is>
          <t/>
        </is>
      </c>
      <c r="K238" t="n">
        <v>0.0</v>
      </c>
      <c r="L238" t="n">
        <v>0.0</v>
      </c>
      <c r="M238" t="n">
        <v>11.0</v>
      </c>
      <c r="N238" t="n">
        <v>0.1746031746031746</v>
      </c>
      <c r="O238" t="n">
        <v>10.0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inlineStr">
        <is>
          <t/>
        </is>
      </c>
      <c r="X238" t="n">
        <v>0.0</v>
      </c>
      <c r="Y238" t="n">
        <v>1.0</v>
      </c>
      <c r="Z238" t="n">
        <v>1.0</v>
      </c>
      <c r="AA238" t="n">
        <v>0.0</v>
      </c>
      <c r="AB238" t="n">
        <v>0.0</v>
      </c>
      <c r="AC238" t="n">
        <v>0.0</v>
      </c>
      <c r="AD238" t="n">
        <v>63.0</v>
      </c>
      <c r="AE238" t="n">
        <v>2.0</v>
      </c>
      <c r="AF238" t="n">
        <v>1.0</v>
      </c>
      <c r="AG238" t="n">
        <v>0.0</v>
      </c>
      <c r="AH238" t="n">
        <v>2.0</v>
      </c>
      <c r="AI238" t="n">
        <v>0.0</v>
      </c>
      <c r="AJ238" t="n">
        <v>0.0</v>
      </c>
      <c r="AK238" t="n">
        <v>13.936507936507937</v>
      </c>
      <c r="AL238" t="inlineStr">
        <is>
          <t/>
        </is>
      </c>
    </row>
    <row r="239">
      <c r="A239" t="inlineStr">
        <is>
          <t>和老爸商量后，推出专为独居人做的小包装☺️</t>
        </is>
      </c>
      <c r="B239" t="inlineStr">
        <is>
          <t>69b9219800000000230168d4</t>
        </is>
      </c>
      <c r="C239" s="238" t="n">
        <f>HYPERLINK("https://www.xiaohongshu.com/explore/69b9219800000000230168d4?xsec_token=TBgv0wN35T_w0yZx7fmvlvfFtmFlrH1OoZBVlPBnU5iRE=&amp;xsec_source=pc_trdark","https://www.xiaohongshu.com/explore/69b9219800000000230168d4?xsec_token=TBgv0wN35T_w0yZx7fmvlvfFtmFlrH1OoZBVlPBnU5iRE=&amp;xsec_source=pc_trdark")</f>
        <v>0.0</v>
      </c>
      <c r="D239" t="inlineStr">
        <is>
          <t>鲜水湾</t>
        </is>
      </c>
      <c r="E239" t="inlineStr">
        <is>
          <t>49316638994</t>
        </is>
      </c>
      <c r="F239" t="inlineStr">
        <is>
          <t>2026-03-17 17:40:40</t>
        </is>
      </c>
      <c r="G239" t="inlineStr">
        <is>
          <t>图文</t>
        </is>
      </c>
      <c r="H239" t="inlineStr">
        <is>
          <t>手剥虾仁 无冰衣无添加 低脂餐一人食 上班带饭 顺丰包邮 5盒装</t>
        </is>
      </c>
      <c r="I239" t="inlineStr">
        <is>
          <t>694baba01d450d00013662f0</t>
        </is>
      </c>
      <c r="J239" t="inlineStr">
        <is>
          <t/>
        </is>
      </c>
      <c r="K239" t="n">
        <v>138.0</v>
      </c>
      <c r="L239" t="n">
        <v>1.0</v>
      </c>
      <c r="M239" t="n">
        <v>10.0</v>
      </c>
      <c r="N239" t="inlineStr">
        <is>
          <t>0.15873015873015872</t>
        </is>
      </c>
      <c r="O239" t="n">
        <v>10.0</v>
      </c>
      <c r="P239" t="n">
        <v>1.0</v>
      </c>
      <c r="Q239" t="n">
        <v>0.1</v>
      </c>
      <c r="R239" t="n">
        <v>0.1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2.0</v>
      </c>
      <c r="AA239" t="n">
        <v>0.0</v>
      </c>
      <c r="AB239" t="n">
        <v>0.0</v>
      </c>
      <c r="AC239" t="n">
        <v>0.0</v>
      </c>
      <c r="AD239" t="n">
        <v>63.0</v>
      </c>
      <c r="AE239" t="n">
        <v>2.0</v>
      </c>
      <c r="AF239" t="n">
        <v>0.0</v>
      </c>
      <c r="AG239" t="n">
        <v>0.0</v>
      </c>
      <c r="AH239" t="n">
        <v>2.0</v>
      </c>
      <c r="AI239" t="n">
        <v>0.0</v>
      </c>
      <c r="AJ239" t="n">
        <v>0.0</v>
      </c>
      <c r="AK239" t="n">
        <v>8.714285714285714</v>
      </c>
      <c r="AL239" t="inlineStr">
        <is>
          <t/>
        </is>
      </c>
    </row>
    <row r="240">
      <c r="A240" t="inlineStr">
        <is>
          <t>我的老天奶！40多买的乳山生蚝太好吃了！</t>
        </is>
      </c>
      <c r="B240" t="inlineStr">
        <is>
          <t>69367592000000001f00b9d5</t>
        </is>
      </c>
      <c r="C240" s="239" t="n">
        <f>HYPERLINK("https://www.xiaohongshu.com/explore/69367592000000001f00b9d5?xsec_token=TBlR01uRP0dY963Q_AxX8vHHkdu4G-K6XHvFrldCgAvmE=&amp;xsec_source=pc_trdark","https://www.xiaohongshu.com/explore/69367592000000001f00b9d5?xsec_token=TBlR01uRP0dY963Q_AxX8vHHkdu4G-K6XHvFrldCgAvmE=&amp;xsec_source=pc_trdark")</f>
        <v>0.0</v>
      </c>
      <c r="D240" t="inlineStr">
        <is>
          <t>婉婉上班吃什么</t>
        </is>
      </c>
      <c r="E240" t="inlineStr">
        <is>
          <t>11434449706</t>
        </is>
      </c>
      <c r="F240" t="inlineStr">
        <is>
          <t>2025-12-08 14:52:02</t>
        </is>
      </c>
      <c r="G240" t="inlineStr">
        <is>
          <t>视频</t>
        </is>
      </c>
      <c r="H240" t="inlineStr">
        <is>
          <t>生蚝乳山生蚝海蛎子顺丰包邮</t>
        </is>
      </c>
      <c r="I240" t="inlineStr">
        <is>
          <t>690c70971b787900010866cc</t>
        </is>
      </c>
      <c r="J240" t="n">
        <v>37.0</v>
      </c>
      <c r="K240" t="n">
        <v>0.0</v>
      </c>
      <c r="L240" t="n">
        <v>0.0</v>
      </c>
      <c r="M240" t="n">
        <v>2.0</v>
      </c>
      <c r="N240" t="inlineStr">
        <is>
          <t>0.031746031746031744</t>
        </is>
      </c>
      <c r="O240" t="n">
        <v>1.0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inlineStr">
        <is>
          <t/>
        </is>
      </c>
      <c r="X240" t="n">
        <v>0.0</v>
      </c>
      <c r="Y240" t="n">
        <v>1.0</v>
      </c>
      <c r="Z240" t="n">
        <v>0.0</v>
      </c>
      <c r="AA240" t="n">
        <v>0.0</v>
      </c>
      <c r="AB240" t="n">
        <v>0.0</v>
      </c>
      <c r="AC240" t="n">
        <v>0.0</v>
      </c>
      <c r="AD240" t="n">
        <v>63.0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8.984126984126984</v>
      </c>
      <c r="AL240" t="inlineStr">
        <is>
          <t>0.09859154929577464</t>
        </is>
      </c>
    </row>
    <row r="241">
      <c r="A241" t="inlineStr">
        <is>
          <t>真的没想到！一人食小包装虾仁这么受欢迎😭</t>
        </is>
      </c>
      <c r="B241" t="inlineStr">
        <is>
          <t>69ba465a000000002301dc1f</t>
        </is>
      </c>
      <c r="C241" s="240" t="n">
        <f>HYPERLINK("https://www.xiaohongshu.com/explore/69ba465a000000002301dc1f?xsec_token=TBgJVNruMKjnZKfHBYiZtZCbBsNppxh3-fD4mtEuooqns=&amp;xsec_source=pc_trdark","https://www.xiaohongshu.com/explore/69ba465a000000002301dc1f?xsec_token=TBgJVNruMKjnZKfHBYiZtZCbBsNppxh3-fD4mtEuooqns=&amp;xsec_source=pc_trdark")</f>
        <v>0.0</v>
      </c>
      <c r="D241" t="inlineStr">
        <is>
          <t>鲜水湾</t>
        </is>
      </c>
      <c r="E241" t="inlineStr">
        <is>
          <t>49316638994</t>
        </is>
      </c>
      <c r="F241" t="inlineStr">
        <is>
          <t>2026-03-18 14:29:46</t>
        </is>
      </c>
      <c r="G241" t="inlineStr">
        <is>
          <t>图文</t>
        </is>
      </c>
      <c r="H241" t="inlineStr">
        <is>
          <t>手剥虾仁 无冰衣无添加 低脂餐一人食 上班带饭 顺丰包邮 5盒装</t>
        </is>
      </c>
      <c r="I241" t="inlineStr">
        <is>
          <t>694baba01d450d00013662f0</t>
        </is>
      </c>
      <c r="J241" t="inlineStr">
        <is>
          <t/>
        </is>
      </c>
      <c r="K241" t="n">
        <v>0.0</v>
      </c>
      <c r="L241" t="n">
        <v>0.0</v>
      </c>
      <c r="M241" t="n">
        <v>7.0</v>
      </c>
      <c r="N241" t="inlineStr">
        <is>
          <t>0.11290322580645161</t>
        </is>
      </c>
      <c r="O241" t="n">
        <v>5.0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inlineStr">
        <is>
          <t/>
        </is>
      </c>
      <c r="X241" t="n">
        <v>0.0</v>
      </c>
      <c r="Y241" t="n">
        <v>1.0</v>
      </c>
      <c r="Z241" t="n">
        <v>5.0</v>
      </c>
      <c r="AA241" t="n">
        <v>0.0</v>
      </c>
      <c r="AB241" t="n">
        <v>0.0</v>
      </c>
      <c r="AC241" t="n">
        <v>0.0</v>
      </c>
      <c r="AD241" t="n">
        <v>62.0</v>
      </c>
      <c r="AE241" t="n">
        <v>0.0</v>
      </c>
      <c r="AF241" t="n">
        <v>0.0</v>
      </c>
      <c r="AG241" t="n">
        <v>1.0</v>
      </c>
      <c r="AH241" t="n">
        <v>3.0</v>
      </c>
      <c r="AI241" t="n">
        <v>0.0</v>
      </c>
      <c r="AJ241" t="n">
        <v>0.0</v>
      </c>
      <c r="AK241" t="n">
        <v>8.03225806451613</v>
      </c>
      <c r="AL241" t="inlineStr">
        <is>
          <t/>
        </is>
      </c>
    </row>
    <row r="242">
      <c r="A242" t="inlineStr">
        <is>
          <t>冬天限定！再过几天就没有头籽甜虾了</t>
        </is>
      </c>
      <c r="B242" t="inlineStr">
        <is>
          <t>697c62c2000000000a02a1c5</t>
        </is>
      </c>
      <c r="C242" s="241" t="n">
        <f>HYPERLINK("https://www.xiaohongshu.com/explore/697c62c2000000000a02a1c5?xsec_token=TBV-62_c6Sms9X18ENcOcpiOVbebQibHJCA9_5tI9Ghlw=&amp;xsec_source=pc_trdark","https://www.xiaohongshu.com/explore/697c62c2000000000a02a1c5?xsec_token=TBV-62_c6Sms9X18ENcOcpiOVbebQibHJCA9_5tI9Ghlw=&amp;xsec_source=pc_trdark")</f>
        <v>0.0</v>
      </c>
      <c r="D242" t="inlineStr">
        <is>
          <t>鲜水湾甄选</t>
        </is>
      </c>
      <c r="E242" t="inlineStr">
        <is>
          <t>27401929161</t>
        </is>
      </c>
      <c r="F242" t="inlineStr">
        <is>
          <t>2026-01-30 15:50:27</t>
        </is>
      </c>
      <c r="G242" t="inlineStr">
        <is>
          <t>视频</t>
        </is>
      </c>
      <c r="H242" t="inlineStr">
        <is>
          <t>北极甜虾头籽甜虾元宝虾北极熊冰虾孕妈妈宝宝辅食顺丰</t>
        </is>
      </c>
      <c r="I242" t="inlineStr">
        <is>
          <t>6953717eb8f0bb000115158d</t>
        </is>
      </c>
      <c r="J242" t="n">
        <v>60.0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inlineStr">
        <is>
          <t/>
        </is>
      </c>
      <c r="R242" t="inlineStr">
        <is>
          <t/>
        </is>
      </c>
      <c r="S242" t="n">
        <v>0.0</v>
      </c>
      <c r="T242" t="n">
        <v>0.0</v>
      </c>
      <c r="U242" t="n">
        <v>0.0</v>
      </c>
      <c r="V242" t="n">
        <v>0.0</v>
      </c>
      <c r="W242" t="inlineStr">
        <is>
          <t/>
        </is>
      </c>
      <c r="X242" t="n">
        <v>0.0</v>
      </c>
      <c r="Y242" t="n">
        <v>0.0</v>
      </c>
      <c r="Z242" t="n">
        <v>2.0</v>
      </c>
      <c r="AA242" t="n">
        <v>0.0</v>
      </c>
      <c r="AB242" t="n">
        <v>0.0</v>
      </c>
      <c r="AC242" t="n">
        <v>0.0</v>
      </c>
      <c r="AD242" t="n">
        <v>62.0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6.870967741935484</v>
      </c>
      <c r="AL242" t="inlineStr">
        <is>
          <t>0.030303030303030304</t>
        </is>
      </c>
    </row>
    <row r="243">
      <c r="A243" t="inlineStr">
        <is>
          <t>每天带一袋虾仁上班，90后同事说我太招摇</t>
        </is>
      </c>
      <c r="B243" t="inlineStr">
        <is>
          <t>69c0baf300000000230064ec</t>
        </is>
      </c>
      <c r="C243" s="242" t="n">
        <f>HYPERLINK("https://www.xiaohongshu.com/explore/69c0baf300000000230064ec?xsec_token=TBlSRAgxB_sBYkF02kEEKO5424175FyiH5cUQ-EBrTGwY=&amp;xsec_source=pc_trdark","https://www.xiaohongshu.com/explore/69c0baf300000000230064ec?xsec_token=TBlSRAgxB_sBYkF02kEEKO5424175FyiH5cUQ-EBrTGwY=&amp;xsec_source=pc_trdark")</f>
        <v>0.0</v>
      </c>
      <c r="D243" t="inlineStr">
        <is>
          <t>婉婉上班吃什么</t>
        </is>
      </c>
      <c r="E243" t="inlineStr">
        <is>
          <t>11434449706</t>
        </is>
      </c>
      <c r="F243" t="inlineStr">
        <is>
          <t>2026-03-23 12:00:51</t>
        </is>
      </c>
      <c r="G243" t="inlineStr">
        <is>
          <t>图文</t>
        </is>
      </c>
      <c r="H243" t="inlineStr">
        <is>
          <t>手剥虾仁 无冰衣无添加 低脂餐一人食 上班带饭 顺丰包邮 5盒装</t>
        </is>
      </c>
      <c r="I243" t="inlineStr">
        <is>
          <t>694baba01d450d00013662f0</t>
        </is>
      </c>
      <c r="J243" t="inlineStr">
        <is>
          <t/>
        </is>
      </c>
      <c r="K243" t="n">
        <v>0.0</v>
      </c>
      <c r="L243" t="n">
        <v>0.0</v>
      </c>
      <c r="M243" t="n">
        <v>10.0</v>
      </c>
      <c r="N243" t="inlineStr">
        <is>
          <t>0.16393442622950818</t>
        </is>
      </c>
      <c r="O243" t="n">
        <v>9.0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inlineStr">
        <is>
          <t/>
        </is>
      </c>
      <c r="X243" t="n">
        <v>0.0</v>
      </c>
      <c r="Y243" t="n">
        <v>0.0</v>
      </c>
      <c r="Z243" t="n">
        <v>1.0</v>
      </c>
      <c r="AA243" t="n">
        <v>0.0</v>
      </c>
      <c r="AB243" t="n">
        <v>0.0</v>
      </c>
      <c r="AC243" t="n">
        <v>0.0</v>
      </c>
      <c r="AD243" t="n">
        <v>61.0</v>
      </c>
      <c r="AE243" t="n">
        <v>1.0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19.901639344262296</v>
      </c>
      <c r="AL243" t="inlineStr">
        <is>
          <t/>
        </is>
      </c>
    </row>
    <row r="244">
      <c r="A244" t="inlineStr">
        <is>
          <t>区区69块，结果够我吃一周的了</t>
        </is>
      </c>
      <c r="B244" t="inlineStr">
        <is>
          <t>69ba0fb1000000001f005381</t>
        </is>
      </c>
      <c r="C244" s="243" t="n">
        <f>HYPERLINK("https://www.xiaohongshu.com/explore/69ba0fb1000000001f005381?xsec_token=TBgJVNruMKjnZKfHBYiZtZCZeV6hh32MT_5euYEDW_-1E=&amp;xsec_source=pc_trdark","https://www.xiaohongshu.com/explore/69ba0fb1000000001f005381?xsec_token=TBgJVNruMKjnZKfHBYiZtZCZeV6hh32MT_5euYEDW_-1E=&amp;xsec_source=pc_trdark")</f>
        <v>0.0</v>
      </c>
      <c r="D244" t="inlineStr">
        <is>
          <t>婉婉上班吃什么</t>
        </is>
      </c>
      <c r="E244" t="inlineStr">
        <is>
          <t>11434449706</t>
        </is>
      </c>
      <c r="F244" t="inlineStr">
        <is>
          <t>2026-03-18 10:36:33</t>
        </is>
      </c>
      <c r="G244" t="inlineStr">
        <is>
          <t>图文</t>
        </is>
      </c>
      <c r="H244" t="inlineStr">
        <is>
          <t>手剥虾仁 无冰衣无添加 低脂餐一人食 上班带饭 顺丰包邮 5盒装</t>
        </is>
      </c>
      <c r="I244" t="inlineStr">
        <is>
          <t>694baba01d450d00013662f0</t>
        </is>
      </c>
      <c r="J244" t="inlineStr">
        <is>
          <t/>
        </is>
      </c>
      <c r="K244" t="n">
        <v>0.0</v>
      </c>
      <c r="L244" t="n">
        <v>0.0</v>
      </c>
      <c r="M244" t="n">
        <v>8.0</v>
      </c>
      <c r="N244" t="inlineStr">
        <is>
          <t>0.13114754098360656</t>
        </is>
      </c>
      <c r="O244" t="n">
        <v>7.0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inlineStr">
        <is>
          <t/>
        </is>
      </c>
      <c r="X244" t="n">
        <v>0.0</v>
      </c>
      <c r="Y244" t="n">
        <v>2.0</v>
      </c>
      <c r="Z244" t="n">
        <v>0.0</v>
      </c>
      <c r="AA244" t="n">
        <v>0.0</v>
      </c>
      <c r="AB244" t="n">
        <v>0.0</v>
      </c>
      <c r="AC244" t="n">
        <v>0.0</v>
      </c>
      <c r="AD244" t="n">
        <v>61.0</v>
      </c>
      <c r="AE244" t="n">
        <v>2.0</v>
      </c>
      <c r="AF244" t="n">
        <v>0.0</v>
      </c>
      <c r="AG244" t="n">
        <v>0.0</v>
      </c>
      <c r="AH244" t="n">
        <v>1.0</v>
      </c>
      <c r="AI244" t="n">
        <v>0.0</v>
      </c>
      <c r="AJ244" t="n">
        <v>0.0</v>
      </c>
      <c r="AK244" t="n">
        <v>11.508196721311476</v>
      </c>
      <c r="AL244" t="inlineStr">
        <is>
          <t/>
        </is>
      </c>
    </row>
    <row r="245">
      <c r="A245" t="inlineStr">
        <is>
          <t>马上过年了来一箱生蚝全家一起吃</t>
        </is>
      </c>
      <c r="B245" t="inlineStr">
        <is>
          <t>69896f05000000002800accd</t>
        </is>
      </c>
      <c r="C245" s="244" t="n">
        <f>HYPERLINK("https://www.xiaohongshu.com/explore/69896f05000000002800accd?xsec_token=TBeAeWMkLJ9etYlFDlK3pguayI_bIPdxe0qcX9AP1RpLY=&amp;xsec_source=pc_trdark","https://www.xiaohongshu.com/explore/69896f05000000002800accd?xsec_token=TBeAeWMkLJ9etYlFDlK3pguayI_bIPdxe0qcX9AP1RpLY=&amp;xsec_source=pc_trdark")</f>
        <v>0.0</v>
      </c>
      <c r="D245" t="inlineStr">
        <is>
          <t>婉婉上班吃什么</t>
        </is>
      </c>
      <c r="E245" t="inlineStr">
        <is>
          <t>11434449706</t>
        </is>
      </c>
      <c r="F245" t="inlineStr">
        <is>
          <t>2026-02-09 13:22:13</t>
        </is>
      </c>
      <c r="G245" t="inlineStr">
        <is>
          <t>视频</t>
        </is>
      </c>
      <c r="H245" t="inlineStr">
        <is>
          <t>生蚝乳山生蚝海蛎子顺丰包邮</t>
        </is>
      </c>
      <c r="I245" t="inlineStr">
        <is>
          <t>690c70971b787900010866cc</t>
        </is>
      </c>
      <c r="J245" t="n">
        <v>12.0</v>
      </c>
      <c r="K245" t="n">
        <v>0.0</v>
      </c>
      <c r="L245" t="n">
        <v>0.0</v>
      </c>
      <c r="M245" t="n">
        <v>2.0</v>
      </c>
      <c r="N245" t="inlineStr">
        <is>
          <t>0.03278688524590164</t>
        </is>
      </c>
      <c r="O245" t="n">
        <v>2.0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inlineStr">
        <is>
          <t/>
        </is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61.0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3.1475409836065573</v>
      </c>
      <c r="AL245" t="inlineStr">
        <is>
          <t>0.12121212121212122</t>
        </is>
      </c>
    </row>
    <row r="246">
      <c r="A246" t="inlineStr">
        <is>
          <t>现在人严重低估了100块的购买力</t>
        </is>
      </c>
      <c r="B246" t="inlineStr">
        <is>
          <t>69c231ef000000002301fef2</t>
        </is>
      </c>
      <c r="C246" s="245" t="n">
        <f>HYPERLINK("https://www.xiaohongshu.com/explore/69c231ef000000002301fef2?xsec_token=TBUqBR5MVQnv6JPS0VJV95uKcvaOCUaNsDhqhRqFK7EVA=&amp;xsec_source=pc_trdark","https://www.xiaohongshu.com/explore/69c231ef000000002301fef2?xsec_token=TBUqBR5MVQnv6JPS0VJV95uKcvaOCUaNsDhqhRqFK7EVA=&amp;xsec_source=pc_trdark")</f>
        <v>0.0</v>
      </c>
      <c r="D246" t="inlineStr">
        <is>
          <t>婉婉上班吃什么</t>
        </is>
      </c>
      <c r="E246" t="inlineStr">
        <is>
          <t>11434449706</t>
        </is>
      </c>
      <c r="F246" t="inlineStr">
        <is>
          <t>2026-03-24 14:40:47</t>
        </is>
      </c>
      <c r="G246" t="inlineStr">
        <is>
          <t>图文</t>
        </is>
      </c>
      <c r="H246" t="inlineStr">
        <is>
          <t>手剥虾仁 无冰衣无添加 低脂餐一人食 上班带饭 顺丰包邮 5盒装</t>
        </is>
      </c>
      <c r="I246" t="inlineStr">
        <is>
          <t>694baba01d450d00013662f0</t>
        </is>
      </c>
      <c r="J246" t="inlineStr">
        <is>
          <t/>
        </is>
      </c>
      <c r="K246" t="n">
        <v>0.0</v>
      </c>
      <c r="L246" t="n">
        <v>0.0</v>
      </c>
      <c r="M246" t="n">
        <v>6.0</v>
      </c>
      <c r="N246" t="n">
        <v>0.1</v>
      </c>
      <c r="O246" t="n">
        <v>6.0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inlineStr">
        <is>
          <t/>
        </is>
      </c>
      <c r="X246" t="n">
        <v>0.0</v>
      </c>
      <c r="Y246" t="n">
        <v>1.0</v>
      </c>
      <c r="Z246" t="n">
        <v>1.0</v>
      </c>
      <c r="AA246" t="n">
        <v>0.0</v>
      </c>
      <c r="AB246" t="n">
        <v>0.0</v>
      </c>
      <c r="AC246" t="n">
        <v>0.0</v>
      </c>
      <c r="AD246" t="n">
        <v>60.0</v>
      </c>
      <c r="AE246" t="n">
        <v>1.0</v>
      </c>
      <c r="AF246" t="n">
        <v>1.0</v>
      </c>
      <c r="AG246" t="n">
        <v>0.0</v>
      </c>
      <c r="AH246" t="n">
        <v>1.0</v>
      </c>
      <c r="AI246" t="n">
        <v>0.0</v>
      </c>
      <c r="AJ246" t="n">
        <v>0.0</v>
      </c>
      <c r="AK246" t="n">
        <v>9.766666666666667</v>
      </c>
      <c r="AL246" t="inlineStr">
        <is>
          <t/>
        </is>
      </c>
    </row>
    <row r="247">
      <c r="A247" t="inlineStr">
        <is>
          <t>凭一己之力带动办公室买了十多份虾仁</t>
        </is>
      </c>
      <c r="B247" t="inlineStr">
        <is>
          <t>69b9472a0000000022025bf2</t>
        </is>
      </c>
      <c r="C247" s="246" t="n">
        <f>HYPERLINK("https://www.xiaohongshu.com/explore/69b9472a0000000022025bf2?xsec_token=TBgv0wN35T_w0yZx7fmvlvfJ95GX-t98GW-KsHLUAYymo=&amp;xsec_source=pc_trdark","https://www.xiaohongshu.com/explore/69b9472a0000000022025bf2?xsec_token=TBgv0wN35T_w0yZx7fmvlvfJ95GX-t98GW-KsHLUAYymo=&amp;xsec_source=pc_trdark")</f>
        <v>0.0</v>
      </c>
      <c r="D247" t="inlineStr">
        <is>
          <t>婉婉上班吃什么</t>
        </is>
      </c>
      <c r="E247" t="inlineStr">
        <is>
          <t>11434449706</t>
        </is>
      </c>
      <c r="F247" t="inlineStr">
        <is>
          <t>2026-03-17 20:20:58</t>
        </is>
      </c>
      <c r="G247" t="inlineStr">
        <is>
          <t>图文</t>
        </is>
      </c>
      <c r="H247" t="inlineStr">
        <is>
          <t>手剥虾仁 无冰衣无添加 低脂餐一人食 上班带饭 顺丰包邮 5盒装</t>
        </is>
      </c>
      <c r="I247" t="inlineStr">
        <is>
          <t>694baba01d450d00013662f0</t>
        </is>
      </c>
      <c r="J247" t="inlineStr">
        <is>
          <t/>
        </is>
      </c>
      <c r="K247" t="n">
        <v>69.0</v>
      </c>
      <c r="L247" t="n">
        <v>1.0</v>
      </c>
      <c r="M247" t="n">
        <v>7.0</v>
      </c>
      <c r="N247" t="inlineStr">
        <is>
          <t>0.11666666666666667</t>
        </is>
      </c>
      <c r="O247" t="n">
        <v>7.0</v>
      </c>
      <c r="P247" t="n">
        <v>1.0</v>
      </c>
      <c r="Q247" t="inlineStr">
        <is>
          <t>0.14285714285714285</t>
        </is>
      </c>
      <c r="R247" t="inlineStr">
        <is>
          <t>0.14285714285714285</t>
        </is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3.0</v>
      </c>
      <c r="Z247" t="n">
        <v>5.0</v>
      </c>
      <c r="AA247" t="n">
        <v>0.0</v>
      </c>
      <c r="AB247" t="n">
        <v>0.0</v>
      </c>
      <c r="AC247" t="n">
        <v>0.0</v>
      </c>
      <c r="AD247" t="n">
        <v>60.0</v>
      </c>
      <c r="AE247" t="n">
        <v>0.0</v>
      </c>
      <c r="AF247" t="n">
        <v>0.0</v>
      </c>
      <c r="AG247" t="n">
        <v>0.0</v>
      </c>
      <c r="AH247" t="n">
        <v>2.0</v>
      </c>
      <c r="AI247" t="n">
        <v>0.0</v>
      </c>
      <c r="AJ247" t="n">
        <v>0.0</v>
      </c>
      <c r="AK247" t="n">
        <v>10.816666666666666</v>
      </c>
      <c r="AL247" t="inlineStr">
        <is>
          <t/>
        </is>
      </c>
    </row>
    <row r="248">
      <c r="A248" t="inlineStr">
        <is>
          <t>瘦子同事带的饭一天比一天离谱</t>
        </is>
      </c>
      <c r="B248" t="inlineStr">
        <is>
          <t>69ab9111000000001a033291</t>
        </is>
      </c>
      <c r="C248" s="247" t="n">
        <f>HYPERLINK("https://www.xiaohongshu.com/explore/69ab9111000000001a033291?xsec_token=TBjk1R4L6FFMBESMYKkkhLfGlEQrOsvgjaGPFJO3HRj7U=&amp;xsec_source=pc_trdark","https://www.xiaohongshu.com/explore/69ab9111000000001a033291?xsec_token=TBjk1R4L6FFMBESMYKkkhLfGlEQrOsvgjaGPFJO3HRj7U=&amp;xsec_source=pc_trdark")</f>
        <v>0.0</v>
      </c>
      <c r="D248" t="inlineStr">
        <is>
          <t>鲜水湾</t>
        </is>
      </c>
      <c r="E248" t="inlineStr">
        <is>
          <t>49316638994</t>
        </is>
      </c>
      <c r="F248" t="inlineStr">
        <is>
          <t>2026-03-07 10:44:33</t>
        </is>
      </c>
      <c r="G248" t="inlineStr">
        <is>
          <t>图文</t>
        </is>
      </c>
      <c r="H248" t="inlineStr">
        <is>
          <t>大虾基围虾王牌大虾厄瓜多尔白虾盐冻虾仁海洋大虾送礼顺丰包邮</t>
        </is>
      </c>
      <c r="I248" t="inlineStr">
        <is>
          <t>690aeb7be379430001e686ac</t>
        </is>
      </c>
      <c r="J248" t="inlineStr">
        <is>
          <t/>
        </is>
      </c>
      <c r="K248" t="n">
        <v>0.0</v>
      </c>
      <c r="L248" t="n">
        <v>0.0</v>
      </c>
      <c r="M248" t="n">
        <v>7.0</v>
      </c>
      <c r="N248" t="inlineStr">
        <is>
          <t>0.11666666666666667</t>
        </is>
      </c>
      <c r="O248" t="n">
        <v>6.0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inlineStr">
        <is>
          <t/>
        </is>
      </c>
      <c r="X248" t="n">
        <v>0.0</v>
      </c>
      <c r="Y248" t="n">
        <v>1.0</v>
      </c>
      <c r="Z248" t="n">
        <v>2.0</v>
      </c>
      <c r="AA248" t="n">
        <v>0.0</v>
      </c>
      <c r="AB248" t="n">
        <v>0.0</v>
      </c>
      <c r="AC248" t="n">
        <v>0.0</v>
      </c>
      <c r="AD248" t="n">
        <v>60.0</v>
      </c>
      <c r="AE248" t="n">
        <v>0.0</v>
      </c>
      <c r="AF248" t="n">
        <v>0.0</v>
      </c>
      <c r="AG248" t="n">
        <v>0.0</v>
      </c>
      <c r="AH248" t="n">
        <v>2.0</v>
      </c>
      <c r="AI248" t="n">
        <v>0.0</v>
      </c>
      <c r="AJ248" t="n">
        <v>0.0</v>
      </c>
      <c r="AK248" t="n">
        <v>7.266666666666667</v>
      </c>
      <c r="AL248" t="inlineStr">
        <is>
          <t/>
        </is>
      </c>
    </row>
    <row r="249">
      <c r="A249" t="inlineStr">
        <is>
          <t>年后减脂真花不了几个钱，98够吃一周了</t>
        </is>
      </c>
      <c r="B249" t="inlineStr">
        <is>
          <t>69a50939000000000d009d8a</t>
        </is>
      </c>
      <c r="C249" s="248" t="n">
        <f>HYPERLINK("https://www.xiaohongshu.com/explore/69a50939000000000d009d8a?xsec_token=TBYlw7GbYDMDbP_5WWJv6Kp7mEVeZNQ4uyp_1MnQ0_B58=&amp;xsec_source=pc_trdark","https://www.xiaohongshu.com/explore/69a50939000000000d009d8a?xsec_token=TBYlw7GbYDMDbP_5WWJv6Kp7mEVeZNQ4uyp_1MnQ0_B58=&amp;xsec_source=pc_trdark")</f>
        <v>0.0</v>
      </c>
      <c r="D249" t="inlineStr">
        <is>
          <t>鲜水湾</t>
        </is>
      </c>
      <c r="E249" t="inlineStr">
        <is>
          <t>49316638994</t>
        </is>
      </c>
      <c r="F249" t="inlineStr">
        <is>
          <t>2026-03-02 11:51:21</t>
        </is>
      </c>
      <c r="G249" t="inlineStr">
        <is>
          <t>图文</t>
        </is>
      </c>
      <c r="H249" t="inlineStr">
        <is>
          <t>手剥虾仁 无冰衣无添加 低脂餐一人食 上班带饭 顺丰包邮 5盒装</t>
        </is>
      </c>
      <c r="I249" t="inlineStr">
        <is>
          <t>694baba01d450d00013662f0</t>
        </is>
      </c>
      <c r="J249" t="inlineStr">
        <is>
          <t/>
        </is>
      </c>
      <c r="K249" t="n">
        <v>98.0</v>
      </c>
      <c r="L249" t="n">
        <v>1.0</v>
      </c>
      <c r="M249" t="n">
        <v>9.0</v>
      </c>
      <c r="N249" t="n">
        <v>0.15</v>
      </c>
      <c r="O249" t="n">
        <v>8.0</v>
      </c>
      <c r="P249" t="n">
        <v>1.0</v>
      </c>
      <c r="Q249" t="n">
        <v>0.1111111111111111</v>
      </c>
      <c r="R249" t="n">
        <v>0.125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1.0</v>
      </c>
      <c r="Z249" t="n">
        <v>1.0</v>
      </c>
      <c r="AA249" t="n">
        <v>0.0</v>
      </c>
      <c r="AB249" t="n">
        <v>0.0</v>
      </c>
      <c r="AC249" t="n">
        <v>0.0</v>
      </c>
      <c r="AD249" t="n">
        <v>60.0</v>
      </c>
      <c r="AE249" t="n">
        <v>1.0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11.133333333333333</v>
      </c>
      <c r="AL249" t="inlineStr">
        <is>
          <t/>
        </is>
      </c>
    </row>
    <row r="250">
      <c r="A250" t="inlineStr">
        <is>
          <t>感谢315！终于让大家认识无保水剂虾仁🙏</t>
        </is>
      </c>
      <c r="B250" t="inlineStr">
        <is>
          <t>69ca0e530000000022025ec0</t>
        </is>
      </c>
      <c r="C250" s="249" t="n">
        <f>HYPERLINK("https://www.xiaohongshu.com/explore/69ca0e530000000022025ec0?xsec_token=TBZMwIQ43aS0K0DsaEHGlBqhhKgiVyCr3Q8easCS383gA=&amp;xsec_source=pc_trdark","https://www.xiaohongshu.com/explore/69ca0e530000000022025ec0?xsec_token=TBZMwIQ43aS0K0DsaEHGlBqhhKgiVyCr3Q8easCS383gA=&amp;xsec_source=pc_trdark")</f>
        <v>0.0</v>
      </c>
      <c r="D250" t="inlineStr">
        <is>
          <t>鲜水湾</t>
        </is>
      </c>
      <c r="E250" t="inlineStr">
        <is>
          <t>49316638994</t>
        </is>
      </c>
      <c r="F250" t="inlineStr">
        <is>
          <t>2026-03-30 13:46:59</t>
        </is>
      </c>
      <c r="G250" t="inlineStr">
        <is>
          <t>图文</t>
        </is>
      </c>
      <c r="H250" t="inlineStr">
        <is>
          <t>手剥虾仁 无冰衣无添加 低脂餐一人食 上班带饭 顺丰包邮 5盒装</t>
        </is>
      </c>
      <c r="I250" t="inlineStr">
        <is>
          <t>694baba01d450d00013662f0</t>
        </is>
      </c>
      <c r="J250" t="inlineStr">
        <is>
          <t/>
        </is>
      </c>
      <c r="K250" t="n">
        <v>0.0</v>
      </c>
      <c r="L250" t="n">
        <v>0.0</v>
      </c>
      <c r="M250" t="n">
        <v>9.0</v>
      </c>
      <c r="N250" t="inlineStr">
        <is>
          <t>0.15254237288135594</t>
        </is>
      </c>
      <c r="O250" t="n">
        <v>9.0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inlineStr">
        <is>
          <t/>
        </is>
      </c>
      <c r="X250" t="n">
        <v>0.0</v>
      </c>
      <c r="Y250" t="n">
        <v>3.0</v>
      </c>
      <c r="Z250" t="n">
        <v>1.0</v>
      </c>
      <c r="AA250" t="n">
        <v>0.0</v>
      </c>
      <c r="AB250" t="n">
        <v>0.0</v>
      </c>
      <c r="AC250" t="n">
        <v>0.0</v>
      </c>
      <c r="AD250" t="n">
        <v>59.0</v>
      </c>
      <c r="AE250" t="n">
        <v>1.0</v>
      </c>
      <c r="AF250" t="n">
        <v>0.0</v>
      </c>
      <c r="AG250" t="n">
        <v>0.0</v>
      </c>
      <c r="AH250" t="n">
        <v>3.0</v>
      </c>
      <c r="AI250" t="n">
        <v>0.0</v>
      </c>
      <c r="AJ250" t="n">
        <v>0.0</v>
      </c>
      <c r="AK250" t="n">
        <v>7.220338983050848</v>
      </c>
      <c r="AL250" t="inlineStr">
        <is>
          <t/>
        </is>
      </c>
    </row>
    <row r="251">
      <c r="A251" t="inlineStr">
        <is>
          <t>谁还去超市买虾呀，小红书买的便宜又好吃</t>
        </is>
      </c>
      <c r="B251" t="inlineStr">
        <is>
          <t>69bcd6740000000023004715</t>
        </is>
      </c>
      <c r="C251" s="250" t="n">
        <f>HYPERLINK("https://www.xiaohongshu.com/explore/69bcd6740000000023004715?xsec_token=TBfIJFVzszocpn5U7ogutYTXvwd83yVWY4mdrR6sbSuLc=&amp;xsec_source=pc_trdark","https://www.xiaohongshu.com/explore/69bcd6740000000023004715?xsec_token=TBfIJFVzszocpn5U7ogutYTXvwd83yVWY4mdrR6sbSuLc=&amp;xsec_source=pc_trdark")</f>
        <v>0.0</v>
      </c>
      <c r="D251" t="inlineStr">
        <is>
          <t>鲜水湾</t>
        </is>
      </c>
      <c r="E251" t="inlineStr">
        <is>
          <t>49316638994</t>
        </is>
      </c>
      <c r="F251" t="inlineStr">
        <is>
          <t>2026-03-20 13:09:08</t>
        </is>
      </c>
      <c r="G251" t="inlineStr">
        <is>
          <t>图文</t>
        </is>
      </c>
      <c r="H251" t="inlineStr">
        <is>
          <t>大虾基围虾王牌大虾厄瓜多尔白虾盐冻虾仁海洋大虾送礼顺丰包邮</t>
        </is>
      </c>
      <c r="I251" t="inlineStr">
        <is>
          <t>690aeb7be379430001e686ac</t>
        </is>
      </c>
      <c r="J251" t="inlineStr">
        <is>
          <t/>
        </is>
      </c>
      <c r="K251" t="n">
        <v>79.0</v>
      </c>
      <c r="L251" t="n">
        <v>1.0</v>
      </c>
      <c r="M251" t="n">
        <v>10.0</v>
      </c>
      <c r="N251" t="n">
        <v>0.1694915254237288</v>
      </c>
      <c r="O251" t="n">
        <v>9.0</v>
      </c>
      <c r="P251" t="n">
        <v>1.0</v>
      </c>
      <c r="Q251" t="n">
        <v>0.1</v>
      </c>
      <c r="R251" t="n">
        <v>0.1111111111111111</v>
      </c>
      <c r="S251" t="n">
        <v>79.0</v>
      </c>
      <c r="T251" t="n">
        <v>1.0</v>
      </c>
      <c r="U251" t="n">
        <v>1.0</v>
      </c>
      <c r="V251" t="n">
        <v>79.0</v>
      </c>
      <c r="W251" t="n">
        <v>1.0</v>
      </c>
      <c r="X251" t="n">
        <v>1.0</v>
      </c>
      <c r="Y251" t="n">
        <v>1.0</v>
      </c>
      <c r="Z251" t="n">
        <v>0.0</v>
      </c>
      <c r="AA251" t="n">
        <v>0.0</v>
      </c>
      <c r="AB251" t="n">
        <v>0.0</v>
      </c>
      <c r="AC251" t="n">
        <v>0.0</v>
      </c>
      <c r="AD251" t="n">
        <v>59.0</v>
      </c>
      <c r="AE251" t="n">
        <v>2.0</v>
      </c>
      <c r="AF251" t="n">
        <v>0.0</v>
      </c>
      <c r="AG251" t="n">
        <v>0.0</v>
      </c>
      <c r="AH251" t="n">
        <v>2.0</v>
      </c>
      <c r="AI251" t="n">
        <v>0.0</v>
      </c>
      <c r="AJ251" t="n">
        <v>0.0</v>
      </c>
      <c r="AK251" t="n">
        <v>10.423728813559322</v>
      </c>
      <c r="AL251" t="inlineStr">
        <is>
          <t/>
        </is>
      </c>
    </row>
    <row r="252">
      <c r="A252" t="inlineStr">
        <is>
          <t>和老爸商量后，为减脂姐妹推出的专属小包</t>
        </is>
      </c>
      <c r="B252" t="inlineStr">
        <is>
          <t>69bab98f000000001e00ed7f</t>
        </is>
      </c>
      <c r="C252" s="251" t="n">
        <f>HYPERLINK("https://www.xiaohongshu.com/explore/69bab98f000000001e00ed7f?xsec_token=TBgJVNruMKjnZKfHBYiZtZCfVT2O1BN2ZUonsdjPGghDw=&amp;xsec_source=pc_trdark","https://www.xiaohongshu.com/explore/69bab98f000000001e00ed7f?xsec_token=TBgJVNruMKjnZKfHBYiZtZCfVT2O1BN2ZUonsdjPGghDw=&amp;xsec_source=pc_trdark")</f>
        <v>0.0</v>
      </c>
      <c r="D252" t="inlineStr">
        <is>
          <t>婉婉上班吃什么</t>
        </is>
      </c>
      <c r="E252" t="inlineStr">
        <is>
          <t>11434449706</t>
        </is>
      </c>
      <c r="F252" t="inlineStr">
        <is>
          <t>2026-03-18 22:41:19</t>
        </is>
      </c>
      <c r="G252" t="inlineStr">
        <is>
          <t>图文</t>
        </is>
      </c>
      <c r="H252" t="inlineStr">
        <is>
          <t>手剥虾仁 无冰衣无添加 低脂餐一人食 上班带饭 顺丰包邮 5盒装</t>
        </is>
      </c>
      <c r="I252" t="inlineStr">
        <is>
          <t>694baba01d450d00013662f0</t>
        </is>
      </c>
      <c r="J252" t="inlineStr">
        <is>
          <t/>
        </is>
      </c>
      <c r="K252" t="n">
        <v>69.0</v>
      </c>
      <c r="L252" t="n">
        <v>1.0</v>
      </c>
      <c r="M252" t="n">
        <v>8.0</v>
      </c>
      <c r="N252" t="inlineStr">
        <is>
          <t>0.13559322033898305</t>
        </is>
      </c>
      <c r="O252" t="n">
        <v>8.0</v>
      </c>
      <c r="P252" t="n">
        <v>1.0</v>
      </c>
      <c r="Q252" t="n">
        <v>0.125</v>
      </c>
      <c r="R252" t="n">
        <v>0.125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3.0</v>
      </c>
      <c r="Z252" t="n">
        <v>9.0</v>
      </c>
      <c r="AA252" t="n">
        <v>0.0</v>
      </c>
      <c r="AB252" t="n">
        <v>0.0</v>
      </c>
      <c r="AC252" t="n">
        <v>0.0</v>
      </c>
      <c r="AD252" t="n">
        <v>59.0</v>
      </c>
      <c r="AE252" t="n">
        <v>1.0</v>
      </c>
      <c r="AF252" t="n">
        <v>0.0</v>
      </c>
      <c r="AG252" t="n">
        <v>0.0</v>
      </c>
      <c r="AH252" t="n">
        <v>2.0</v>
      </c>
      <c r="AI252" t="n">
        <v>1.0</v>
      </c>
      <c r="AJ252" t="n">
        <v>0.0</v>
      </c>
      <c r="AK252" t="n">
        <v>9.440677966101696</v>
      </c>
      <c r="AL252" t="inlineStr">
        <is>
          <t/>
        </is>
      </c>
    </row>
    <row r="253">
      <c r="A253" t="inlineStr">
        <is>
          <t>凭一己之力💪带动全公司人吃虾！</t>
        </is>
      </c>
      <c r="B253" t="inlineStr">
        <is>
          <t>69b76136000000002003883f</t>
        </is>
      </c>
      <c r="C253" s="252" t="n">
        <f>HYPERLINK("https://www.xiaohongshu.com/explore/69b76136000000002003883f?xsec_token=TBioiHaRPpzHnl86RCtCFk9lNX20ql0E9ZLSA5gm9UkZA=&amp;xsec_source=pc_trdark","https://www.xiaohongshu.com/explore/69b76136000000002003883f?xsec_token=TBioiHaRPpzHnl86RCtCFk9lNX20ql0E9ZLSA5gm9UkZA=&amp;xsec_source=pc_trdark")</f>
        <v>0.0</v>
      </c>
      <c r="D253" t="inlineStr">
        <is>
          <t>婉婉上班吃什么</t>
        </is>
      </c>
      <c r="E253" t="inlineStr">
        <is>
          <t>11434449706</t>
        </is>
      </c>
      <c r="F253" t="inlineStr">
        <is>
          <t>2026-03-16 09:47:34</t>
        </is>
      </c>
      <c r="G253" t="inlineStr">
        <is>
          <t>图文</t>
        </is>
      </c>
      <c r="H253" t="inlineStr">
        <is>
          <t>手剥虾仁 无冰衣无添加 低脂餐一人食 上班带饭 顺丰包邮 5盒装</t>
        </is>
      </c>
      <c r="I253" t="inlineStr">
        <is>
          <t>694baba01d450d00013662f0</t>
        </is>
      </c>
      <c r="J253" t="inlineStr">
        <is>
          <t/>
        </is>
      </c>
      <c r="K253" t="n">
        <v>0.0</v>
      </c>
      <c r="L253" t="n">
        <v>0.0</v>
      </c>
      <c r="M253" t="n">
        <v>6.0</v>
      </c>
      <c r="N253" t="n">
        <v>0.1016949152542373</v>
      </c>
      <c r="O253" t="n">
        <v>6.0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inlineStr">
        <is>
          <t/>
        </is>
      </c>
      <c r="X253" t="n">
        <v>0.0</v>
      </c>
      <c r="Y253" t="n">
        <v>0.0</v>
      </c>
      <c r="Z253" t="n">
        <v>1.0</v>
      </c>
      <c r="AA253" t="n">
        <v>0.0</v>
      </c>
      <c r="AB253" t="n">
        <v>0.0</v>
      </c>
      <c r="AC253" t="n">
        <v>0.0</v>
      </c>
      <c r="AD253" t="n">
        <v>59.0</v>
      </c>
      <c r="AE253" t="n">
        <v>0.0</v>
      </c>
      <c r="AF253" t="n">
        <v>0.0</v>
      </c>
      <c r="AG253" t="n">
        <v>0.0</v>
      </c>
      <c r="AH253" t="n">
        <v>2.0</v>
      </c>
      <c r="AI253" t="n">
        <v>0.0</v>
      </c>
      <c r="AJ253" t="n">
        <v>0.0</v>
      </c>
      <c r="AK253" t="n">
        <v>11.745762711864407</v>
      </c>
      <c r="AL253" t="inlineStr">
        <is>
          <t/>
        </is>
      </c>
    </row>
    <row r="254">
      <c r="A254" t="inlineStr">
        <is>
          <t>吃的干净才能长得干净</t>
        </is>
      </c>
      <c r="B254" t="inlineStr">
        <is>
          <t>69b41ebb000000001b0209b6</t>
        </is>
      </c>
      <c r="C254" s="253" t="n">
        <f>HYPERLINK("https://www.xiaohongshu.com/explore/69b41ebb000000001b0209b6?xsec_token=TB4dy4zP2Sasn_cYXEm_KMIz4vByKyrQNORKTebuvEDk4=&amp;xsec_source=pc_trdark","https://www.xiaohongshu.com/explore/69b41ebb000000001b0209b6?xsec_token=TB4dy4zP2Sasn_cYXEm_KMIz4vByKyrQNORKTebuvEDk4=&amp;xsec_source=pc_trdark")</f>
        <v>0.0</v>
      </c>
      <c r="D254" t="inlineStr">
        <is>
          <t>鲜水湾</t>
        </is>
      </c>
      <c r="E254" t="inlineStr">
        <is>
          <t>49316638994</t>
        </is>
      </c>
      <c r="F254" t="inlineStr">
        <is>
          <t>2026-03-13 22:27:07</t>
        </is>
      </c>
      <c r="G254" t="inlineStr">
        <is>
          <t>图文</t>
        </is>
      </c>
      <c r="H254" t="inlineStr">
        <is>
          <t>智利三文鱼切块·整条三文鱼·深海鱼一人食健康饮食</t>
        </is>
      </c>
      <c r="I254" t="inlineStr">
        <is>
          <t>691ac562a524ee0001b51d7b</t>
        </is>
      </c>
      <c r="J254" t="inlineStr">
        <is>
          <t/>
        </is>
      </c>
      <c r="K254" t="n">
        <v>0.0</v>
      </c>
      <c r="L254" t="n">
        <v>0.0</v>
      </c>
      <c r="M254" t="n">
        <v>13.0</v>
      </c>
      <c r="N254" t="inlineStr">
        <is>
          <t>0.22033898305084745</t>
        </is>
      </c>
      <c r="O254" t="n">
        <v>13.0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inlineStr">
        <is>
          <t/>
        </is>
      </c>
      <c r="X254" t="n">
        <v>0.0</v>
      </c>
      <c r="Y254" t="n">
        <v>2.0</v>
      </c>
      <c r="Z254" t="n">
        <v>1.0</v>
      </c>
      <c r="AA254" t="n">
        <v>0.0</v>
      </c>
      <c r="AB254" t="n">
        <v>0.0</v>
      </c>
      <c r="AC254" t="n">
        <v>0.0</v>
      </c>
      <c r="AD254" t="n">
        <v>59.0</v>
      </c>
      <c r="AE254" t="n">
        <v>0.0</v>
      </c>
      <c r="AF254" t="n">
        <v>0.0</v>
      </c>
      <c r="AG254" t="n">
        <v>0.0</v>
      </c>
      <c r="AH254" t="n">
        <v>1.0</v>
      </c>
      <c r="AI254" t="n">
        <v>0.0</v>
      </c>
      <c r="AJ254" t="n">
        <v>0.0</v>
      </c>
      <c r="AK254" t="n">
        <v>10.830508474576272</v>
      </c>
      <c r="AL254" t="inlineStr">
        <is>
          <t/>
        </is>
      </c>
    </row>
    <row r="255">
      <c r="A255" t="inlineStr">
        <is>
          <t>节后减脂无限回购，鲜水湾家的大虾</t>
        </is>
      </c>
      <c r="B255" t="inlineStr">
        <is>
          <t>69ae55a2000000000d00820d</t>
        </is>
      </c>
      <c r="C255" s="254" t="n">
        <f>HYPERLINK("https://www.xiaohongshu.com/explore/69ae55a2000000000d00820d?xsec_token=TBy3i3TfmyKE7XGojG_cT9hdf9pfpU21itFxSZePV62fE=&amp;xsec_source=pc_trdark","https://www.xiaohongshu.com/explore/69ae55a2000000000d00820d?xsec_token=TBy3i3TfmyKE7XGojG_cT9hdf9pfpU21itFxSZePV62fE=&amp;xsec_source=pc_trdark")</f>
        <v>0.0</v>
      </c>
      <c r="D255" t="inlineStr">
        <is>
          <t>婉婉上班吃什么</t>
        </is>
      </c>
      <c r="E255" t="inlineStr">
        <is>
          <t>11434449706</t>
        </is>
      </c>
      <c r="F255" t="inlineStr">
        <is>
          <t>2026-03-09 13:07:46</t>
        </is>
      </c>
      <c r="G255" t="inlineStr">
        <is>
          <t>图文</t>
        </is>
      </c>
      <c r="H255" t="inlineStr">
        <is>
          <t>大虾基围虾王牌大虾厄瓜多尔白虾盐冻虾仁海洋大虾送礼顺丰包邮</t>
        </is>
      </c>
      <c r="I255" t="inlineStr">
        <is>
          <t>690aeb7be379430001e686ac</t>
        </is>
      </c>
      <c r="J255" t="inlineStr">
        <is>
          <t/>
        </is>
      </c>
      <c r="K255" t="n">
        <v>0.0</v>
      </c>
      <c r="L255" t="n">
        <v>0.0</v>
      </c>
      <c r="M255" t="n">
        <v>11.0</v>
      </c>
      <c r="N255" t="n">
        <v>0.1864406779661017</v>
      </c>
      <c r="O255" t="n">
        <v>10.0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inlineStr">
        <is>
          <t/>
        </is>
      </c>
      <c r="X255" t="n">
        <v>0.0</v>
      </c>
      <c r="Y255" t="n">
        <v>1.0</v>
      </c>
      <c r="Z255" t="n">
        <v>0.0</v>
      </c>
      <c r="AA255" t="n">
        <v>0.0</v>
      </c>
      <c r="AB255" t="n">
        <v>0.0</v>
      </c>
      <c r="AC255" t="n">
        <v>0.0</v>
      </c>
      <c r="AD255" t="n">
        <v>59.0</v>
      </c>
      <c r="AE255" t="n">
        <v>0.0</v>
      </c>
      <c r="AF255" t="n">
        <v>0.0</v>
      </c>
      <c r="AG255" t="n">
        <v>0.0</v>
      </c>
      <c r="AH255" t="n">
        <v>2.0</v>
      </c>
      <c r="AI255" t="n">
        <v>0.0</v>
      </c>
      <c r="AJ255" t="n">
        <v>0.0</v>
      </c>
      <c r="AK255" t="n">
        <v>7.084745762711864</v>
      </c>
      <c r="AL255" t="inlineStr">
        <is>
          <t/>
        </is>
      </c>
    </row>
    <row r="256">
      <c r="A256" t="inlineStr">
        <is>
          <t>上班带饭！我推荐这款8斤整条三文鱼</t>
        </is>
      </c>
      <c r="B256" t="inlineStr">
        <is>
          <t>69a7e033000000002202f15e</t>
        </is>
      </c>
      <c r="C256" s="255" t="n">
        <f>HYPERLINK("https://www.xiaohongshu.com/explore/69a7e033000000002202f15e?xsec_token=TBfaHJOfbObHzNAqAc3bkGM63pso5-p8oM0ORzbfiCt-8=&amp;xsec_source=pc_trdark","https://www.xiaohongshu.com/explore/69a7e033000000002202f15e?xsec_token=TBfaHJOfbObHzNAqAc3bkGM63pso5-p8oM0ORzbfiCt-8=&amp;xsec_source=pc_trdark")</f>
        <v>0.0</v>
      </c>
      <c r="D256" t="inlineStr">
        <is>
          <t>鲜水湾甄选</t>
        </is>
      </c>
      <c r="E256" t="inlineStr">
        <is>
          <t>27401929161</t>
        </is>
      </c>
      <c r="F256" t="inlineStr">
        <is>
          <t>2026-03-04 15:33:07</t>
        </is>
      </c>
      <c r="G256" t="inlineStr">
        <is>
          <t>图文</t>
        </is>
      </c>
      <c r="H256" t="inlineStr">
        <is>
          <t>智利三文鱼切块·整条三文鱼·深海鱼一人食健康饮食</t>
        </is>
      </c>
      <c r="I256" t="inlineStr">
        <is>
          <t>691ac562a524ee0001b51d7b</t>
        </is>
      </c>
      <c r="J256" t="inlineStr">
        <is>
          <t/>
        </is>
      </c>
      <c r="K256" t="n">
        <v>0.0</v>
      </c>
      <c r="L256" t="n">
        <v>0.0</v>
      </c>
      <c r="M256" t="n">
        <v>18.0</v>
      </c>
      <c r="N256" t="n">
        <v>0.3050847457627119</v>
      </c>
      <c r="O256" t="n">
        <v>15.0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inlineStr">
        <is>
          <t/>
        </is>
      </c>
      <c r="X256" t="n">
        <v>0.0</v>
      </c>
      <c r="Y256" t="n">
        <v>5.0</v>
      </c>
      <c r="Z256" t="n">
        <v>3.0</v>
      </c>
      <c r="AA256" t="n">
        <v>0.0</v>
      </c>
      <c r="AB256" t="n">
        <v>0.0</v>
      </c>
      <c r="AC256" t="n">
        <v>0.0</v>
      </c>
      <c r="AD256" t="n">
        <v>59.0</v>
      </c>
      <c r="AE256" t="n">
        <v>1.0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10.915254237288135</v>
      </c>
      <c r="AL256" t="inlineStr">
        <is>
          <t/>
        </is>
      </c>
    </row>
    <row r="257">
      <c r="A257" t="inlineStr">
        <is>
          <t>减脂人真的不要低估69块钱的购买力....</t>
        </is>
      </c>
      <c r="B257" t="inlineStr">
        <is>
          <t>69cb8c790000000020038236</t>
        </is>
      </c>
      <c r="C257" s="256" t="n">
        <f>HYPERLINK("https://www.xiaohongshu.com/explore/69cb8c790000000020038236?xsec_token=TBNvk7eB588c7ey-qUUMF7OYRh0m9zbo1YxB5eFME8wK0=&amp;xsec_source=pc_trdark","https://www.xiaohongshu.com/explore/69cb8c790000000020038236?xsec_token=TBNvk7eB588c7ey-qUUMF7OYRh0m9zbo1YxB5eFME8wK0=&amp;xsec_source=pc_trdark")</f>
        <v>0.0</v>
      </c>
      <c r="D257" t="inlineStr">
        <is>
          <t>婉婉上班吃什么</t>
        </is>
      </c>
      <c r="E257" t="inlineStr">
        <is>
          <t>11434449706</t>
        </is>
      </c>
      <c r="F257" t="inlineStr">
        <is>
          <t>2026-03-31 16:57:30</t>
        </is>
      </c>
      <c r="G257" t="inlineStr">
        <is>
          <t>图文</t>
        </is>
      </c>
      <c r="H257" t="inlineStr">
        <is>
          <t>手剥虾仁 无冰衣无添加 低脂餐一人食 上班带饭 顺丰包邮 5盒装</t>
        </is>
      </c>
      <c r="I257" t="inlineStr">
        <is>
          <t>694baba01d450d00013662f0</t>
        </is>
      </c>
      <c r="J257" t="inlineStr">
        <is>
          <t/>
        </is>
      </c>
      <c r="K257" t="n">
        <v>0.0</v>
      </c>
      <c r="L257" t="n">
        <v>0.0</v>
      </c>
      <c r="M257" t="n">
        <v>8.0</v>
      </c>
      <c r="N257" t="inlineStr">
        <is>
          <t>0.13793103448275862</t>
        </is>
      </c>
      <c r="O257" t="n">
        <v>7.0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inlineStr">
        <is>
          <t/>
        </is>
      </c>
      <c r="X257" t="n">
        <v>0.0</v>
      </c>
      <c r="Y257" t="n">
        <v>1.0</v>
      </c>
      <c r="Z257" t="n">
        <v>0.0</v>
      </c>
      <c r="AA257" t="n">
        <v>0.0</v>
      </c>
      <c r="AB257" t="n">
        <v>0.0</v>
      </c>
      <c r="AC257" t="n">
        <v>0.0</v>
      </c>
      <c r="AD257" t="n">
        <v>58.0</v>
      </c>
      <c r="AE257" t="n">
        <v>2.0</v>
      </c>
      <c r="AF257" t="n">
        <v>1.0</v>
      </c>
      <c r="AG257" t="n">
        <v>0.0</v>
      </c>
      <c r="AH257" t="n">
        <v>2.0</v>
      </c>
      <c r="AI257" t="n">
        <v>0.0</v>
      </c>
      <c r="AJ257" t="n">
        <v>0.0</v>
      </c>
      <c r="AK257" t="n">
        <v>12.793103448275861</v>
      </c>
      <c r="AL257" t="inlineStr">
        <is>
          <t/>
        </is>
      </c>
    </row>
    <row r="258">
      <c r="A258" t="inlineStr">
        <is>
          <t>爸妈总说我天天吃虾仁太奢侈！</t>
        </is>
      </c>
      <c r="B258" t="inlineStr">
        <is>
          <t>69bcb440000000001f00573b</t>
        </is>
      </c>
      <c r="C258" s="257" t="n">
        <f>HYPERLINK("https://www.xiaohongshu.com/explore/69bcb440000000001f00573b?xsec_token=TBfIJFVzszocpn5U7ogutYTcHoqKvrLfOuSp-MkrScpAY=&amp;xsec_source=pc_trdark","https://www.xiaohongshu.com/explore/69bcb440000000001f00573b?xsec_token=TBfIJFVzszocpn5U7ogutYTcHoqKvrLfOuSp-MkrScpAY=&amp;xsec_source=pc_trdark")</f>
        <v>0.0</v>
      </c>
      <c r="D258" t="inlineStr">
        <is>
          <t>婉婉上班吃什么</t>
        </is>
      </c>
      <c r="E258" t="inlineStr">
        <is>
          <t>11434449706</t>
        </is>
      </c>
      <c r="F258" t="inlineStr">
        <is>
          <t>2026-03-20 10:43:12</t>
        </is>
      </c>
      <c r="G258" t="inlineStr">
        <is>
          <t>图文</t>
        </is>
      </c>
      <c r="H258" t="inlineStr">
        <is>
          <t>手剥虾仁 无冰衣无添加 低脂餐一人食 上班带饭 顺丰包邮 5盒装</t>
        </is>
      </c>
      <c r="I258" t="inlineStr">
        <is>
          <t>694baba01d450d00013662f0</t>
        </is>
      </c>
      <c r="J258" t="inlineStr">
        <is>
          <t/>
        </is>
      </c>
      <c r="K258" t="n">
        <v>0.0</v>
      </c>
      <c r="L258" t="n">
        <v>0.0</v>
      </c>
      <c r="M258" t="n">
        <v>7.0</v>
      </c>
      <c r="N258" t="n">
        <v>0.1206896551724138</v>
      </c>
      <c r="O258" t="n">
        <v>6.0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inlineStr">
        <is>
          <t/>
        </is>
      </c>
      <c r="X258" t="n">
        <v>0.0</v>
      </c>
      <c r="Y258" t="n">
        <v>1.0</v>
      </c>
      <c r="Z258" t="n">
        <v>1.0</v>
      </c>
      <c r="AA258" t="n">
        <v>0.0</v>
      </c>
      <c r="AB258" t="n">
        <v>0.0</v>
      </c>
      <c r="AC258" t="n">
        <v>0.0</v>
      </c>
      <c r="AD258" t="n">
        <v>58.0</v>
      </c>
      <c r="AE258" t="n">
        <v>2.0</v>
      </c>
      <c r="AF258" t="n">
        <v>1.0</v>
      </c>
      <c r="AG258" t="n">
        <v>0.0</v>
      </c>
      <c r="AH258" t="n">
        <v>1.0</v>
      </c>
      <c r="AI258" t="n">
        <v>0.0</v>
      </c>
      <c r="AJ258" t="n">
        <v>0.0</v>
      </c>
      <c r="AK258" t="n">
        <v>12.793103448275861</v>
      </c>
      <c r="AL258" t="inlineStr">
        <is>
          <t/>
        </is>
      </c>
    </row>
    <row r="259">
      <c r="A259" t="inlineStr">
        <is>
          <t>唯一缺点：每年冬天才能吃到巅峰状态！</t>
        </is>
      </c>
      <c r="B259" t="inlineStr">
        <is>
          <t>6965fec9000000001a02b1ff</t>
        </is>
      </c>
      <c r="C259" s="258" t="n">
        <f>HYPERLINK("https://www.xiaohongshu.com/explore/6965fec9000000001a02b1ff?xsec_token=TBE9WU_urHEsXnQ8_LNO6gIQDV7v5DHA9yxliHE0F7npA=&amp;xsec_source=pc_trdark","https://www.xiaohongshu.com/explore/6965fec9000000001a02b1ff?xsec_token=TBE9WU_urHEsXnQ8_LNO6gIQDV7v5DHA9yxliHE0F7npA=&amp;xsec_source=pc_trdark")</f>
        <v>0.0</v>
      </c>
      <c r="D259" t="inlineStr">
        <is>
          <t>婉婉上班吃什么</t>
        </is>
      </c>
      <c r="E259" t="inlineStr">
        <is>
          <t>11434449706</t>
        </is>
      </c>
      <c r="F259" t="inlineStr">
        <is>
          <t>2026-01-13 16:14:01</t>
        </is>
      </c>
      <c r="G259" t="inlineStr">
        <is>
          <t>视频</t>
        </is>
      </c>
      <c r="H259" t="inlineStr">
        <is>
          <t>生蚝乳山生蚝海蛎子顺丰包邮</t>
        </is>
      </c>
      <c r="I259" t="inlineStr">
        <is>
          <t>690c70971b787900010866cc</t>
        </is>
      </c>
      <c r="J259" t="n">
        <v>23.0</v>
      </c>
      <c r="K259" t="n">
        <v>0.0</v>
      </c>
      <c r="L259" t="n">
        <v>0.0</v>
      </c>
      <c r="M259" t="n">
        <v>3.0</v>
      </c>
      <c r="N259" t="inlineStr">
        <is>
          <t>0.05172413793103448</t>
        </is>
      </c>
      <c r="O259" t="n">
        <v>3.0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inlineStr">
        <is>
          <t/>
        </is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58.0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4.655172413793103</v>
      </c>
      <c r="AL259" t="inlineStr">
        <is>
          <t>0.05084745762711865</t>
        </is>
      </c>
    </row>
    <row r="260">
      <c r="A260" t="inlineStr">
        <is>
          <t>和大家讨论后🥹，推出一人食小包装虾仁</t>
        </is>
      </c>
      <c r="B260" t="inlineStr">
        <is>
          <t>69bb985400000000280085d7</t>
        </is>
      </c>
      <c r="C260" s="259" t="n">
        <f>HYPERLINK("https://www.xiaohongshu.com/explore/69bb985400000000280085d7?xsec_token=TBbjiHoA30T3IRnkbtYIm1O9XndBCjbnmoVMLYAwJVTWQ=&amp;xsec_source=pc_trdark","https://www.xiaohongshu.com/explore/69bb985400000000280085d7?xsec_token=TBbjiHoA30T3IRnkbtYIm1O9XndBCjbnmoVMLYAwJVTWQ=&amp;xsec_source=pc_trdark")</f>
        <v>0.0</v>
      </c>
      <c r="D260" t="inlineStr">
        <is>
          <t>鲜水湾</t>
        </is>
      </c>
      <c r="E260" t="inlineStr">
        <is>
          <t>49316638994</t>
        </is>
      </c>
      <c r="F260" t="inlineStr">
        <is>
          <t>2026-03-19 14:31:48</t>
        </is>
      </c>
      <c r="G260" t="inlineStr">
        <is>
          <t>图文</t>
        </is>
      </c>
      <c r="H260" t="inlineStr">
        <is>
          <t>手剥虾仁 无冰衣无添加 低脂餐一人食 上班带饭 顺丰包邮 5盒装</t>
        </is>
      </c>
      <c r="I260" t="inlineStr">
        <is>
          <t>694baba01d450d00013662f0</t>
        </is>
      </c>
      <c r="J260" t="inlineStr">
        <is>
          <t/>
        </is>
      </c>
      <c r="K260" t="n">
        <v>0.0</v>
      </c>
      <c r="L260" t="n">
        <v>0.0</v>
      </c>
      <c r="M260" t="n">
        <v>19.0</v>
      </c>
      <c r="N260" t="n">
        <v>0.3333333333333333</v>
      </c>
      <c r="O260" t="n">
        <v>18.0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inlineStr">
        <is>
          <t/>
        </is>
      </c>
      <c r="X260" t="n">
        <v>0.0</v>
      </c>
      <c r="Y260" t="n">
        <v>2.0</v>
      </c>
      <c r="Z260" t="n">
        <v>2.0</v>
      </c>
      <c r="AA260" t="n">
        <v>0.0</v>
      </c>
      <c r="AB260" t="n">
        <v>0.0</v>
      </c>
      <c r="AC260" t="n">
        <v>0.0</v>
      </c>
      <c r="AD260" t="n">
        <v>57.0</v>
      </c>
      <c r="AE260" t="n">
        <v>2.0</v>
      </c>
      <c r="AF260" t="n">
        <v>0.0</v>
      </c>
      <c r="AG260" t="n">
        <v>0.0</v>
      </c>
      <c r="AH260" t="n">
        <v>2.0</v>
      </c>
      <c r="AI260" t="n">
        <v>0.0</v>
      </c>
      <c r="AJ260" t="n">
        <v>0.0</v>
      </c>
      <c r="AK260" t="n">
        <v>10.403508771929825</v>
      </c>
      <c r="AL260" t="inlineStr">
        <is>
          <t/>
        </is>
      </c>
    </row>
    <row r="261">
      <c r="A261" t="inlineStr">
        <is>
          <t>管理期巨抗饿！69直接承包一周减脂餐💯</t>
        </is>
      </c>
      <c r="B261" t="inlineStr">
        <is>
          <t>69b7cd93000000001a0363fa</t>
        </is>
      </c>
      <c r="C261" s="260" t="n">
        <f>HYPERLINK("https://www.xiaohongshu.com/explore/69b7cd93000000001a0363fa?xsec_token=TBioiHaRPpzHnl86RCtCFk9rpA-PT3cKcTumJnGGjWQx4=&amp;xsec_source=pc_trdark","https://www.xiaohongshu.com/explore/69b7cd93000000001a0363fa?xsec_token=TBioiHaRPpzHnl86RCtCFk9rpA-PT3cKcTumJnGGjWQx4=&amp;xsec_source=pc_trdark")</f>
        <v>0.0</v>
      </c>
      <c r="D261" t="inlineStr">
        <is>
          <t>婉婉上班吃什么</t>
        </is>
      </c>
      <c r="E261" t="inlineStr">
        <is>
          <t>11434449706</t>
        </is>
      </c>
      <c r="F261" t="inlineStr">
        <is>
          <t>2026-03-16 17:29:55</t>
        </is>
      </c>
      <c r="G261" t="inlineStr">
        <is>
          <t>图文</t>
        </is>
      </c>
      <c r="H261" t="inlineStr">
        <is>
          <t>手剥虾仁 无冰衣无添加 低脂餐一人食 上班带饭 顺丰包邮 5盒装</t>
        </is>
      </c>
      <c r="I261" t="inlineStr">
        <is>
          <t>694baba01d450d00013662f0</t>
        </is>
      </c>
      <c r="J261" t="inlineStr">
        <is>
          <t/>
        </is>
      </c>
      <c r="K261" t="n">
        <v>69.0</v>
      </c>
      <c r="L261" t="n">
        <v>1.0</v>
      </c>
      <c r="M261" t="n">
        <v>6.0</v>
      </c>
      <c r="N261" t="inlineStr">
        <is>
          <t>0.10526315789473684</t>
        </is>
      </c>
      <c r="O261" t="n">
        <v>5.0</v>
      </c>
      <c r="P261" t="n">
        <v>1.0</v>
      </c>
      <c r="Q261" t="inlineStr">
        <is>
          <t>0.16666666666666666</t>
        </is>
      </c>
      <c r="R261" t="n">
        <v>0.2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1.0</v>
      </c>
      <c r="Z261" t="n">
        <v>4.0</v>
      </c>
      <c r="AA261" t="n">
        <v>0.0</v>
      </c>
      <c r="AB261" t="n">
        <v>0.0</v>
      </c>
      <c r="AC261" t="n">
        <v>0.0</v>
      </c>
      <c r="AD261" t="n">
        <v>57.0</v>
      </c>
      <c r="AE261" t="n">
        <v>1.0</v>
      </c>
      <c r="AF261" t="n">
        <v>0.0</v>
      </c>
      <c r="AG261" t="n">
        <v>0.0</v>
      </c>
      <c r="AH261" t="n">
        <v>1.0</v>
      </c>
      <c r="AI261" t="n">
        <v>0.0</v>
      </c>
      <c r="AJ261" t="n">
        <v>0.0</v>
      </c>
      <c r="AK261" t="n">
        <v>7.2105263157894735</v>
      </c>
      <c r="AL261" t="inlineStr">
        <is>
          <t/>
        </is>
      </c>
    </row>
    <row r="262">
      <c r="A262" t="inlineStr">
        <is>
          <t>控体坠🐮搭配，一个月掉78斤</t>
        </is>
      </c>
      <c r="B262" t="inlineStr">
        <is>
          <t>69abb78e000000001a02c24b</t>
        </is>
      </c>
      <c r="C262" s="261" t="n">
        <f>HYPERLINK("https://www.xiaohongshu.com/explore/69abb78e000000001a02c24b?xsec_token=TBjk1R4L6FFMBESMYKkkhLfEs5m3KVOuDoaWmbjqtEyQs=&amp;xsec_source=pc_trdark","https://www.xiaohongshu.com/explore/69abb78e000000001a02c24b?xsec_token=TBjk1R4L6FFMBESMYKkkhLfEs5m3KVOuDoaWmbjqtEyQs=&amp;xsec_source=pc_trdark")</f>
        <v>0.0</v>
      </c>
      <c r="D262" t="inlineStr">
        <is>
          <t>婉婉上班吃什么</t>
        </is>
      </c>
      <c r="E262" t="inlineStr">
        <is>
          <t>11434449706</t>
        </is>
      </c>
      <c r="F262" t="inlineStr">
        <is>
          <t>2026-03-07 13:28:46</t>
        </is>
      </c>
      <c r="G262" t="inlineStr">
        <is>
          <t>图文</t>
        </is>
      </c>
      <c r="H262" t="inlineStr">
        <is>
          <t>手剥虾仁 无冰衣无添加 低脂餐一人食 上班带饭 顺丰包邮 5盒装</t>
        </is>
      </c>
      <c r="I262" t="inlineStr">
        <is>
          <t>694baba01d450d00013662f0</t>
        </is>
      </c>
      <c r="J262" t="inlineStr">
        <is>
          <t/>
        </is>
      </c>
      <c r="K262" t="n">
        <v>0.0</v>
      </c>
      <c r="L262" t="n">
        <v>0.0</v>
      </c>
      <c r="M262" t="n">
        <v>4.0</v>
      </c>
      <c r="N262" t="inlineStr">
        <is>
          <t>0.07017543859649122</t>
        </is>
      </c>
      <c r="O262" t="n">
        <v>3.0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inlineStr">
        <is>
          <t/>
        </is>
      </c>
      <c r="X262" t="n">
        <v>0.0</v>
      </c>
      <c r="Y262" t="n">
        <v>1.0</v>
      </c>
      <c r="Z262" t="n">
        <v>1.0</v>
      </c>
      <c r="AA262" t="n">
        <v>0.0</v>
      </c>
      <c r="AB262" t="n">
        <v>0.0</v>
      </c>
      <c r="AC262" t="n">
        <v>0.0</v>
      </c>
      <c r="AD262" t="n">
        <v>57.0</v>
      </c>
      <c r="AE262" t="n">
        <v>1.0</v>
      </c>
      <c r="AF262" t="n">
        <v>0.0</v>
      </c>
      <c r="AG262" t="n">
        <v>0.0</v>
      </c>
      <c r="AH262" t="n">
        <v>1.0</v>
      </c>
      <c r="AI262" t="n">
        <v>0.0</v>
      </c>
      <c r="AJ262" t="n">
        <v>0.0</v>
      </c>
      <c r="AK262" t="n">
        <v>11.508771929824562</v>
      </c>
      <c r="AL262" t="inlineStr">
        <is>
          <t/>
        </is>
      </c>
    </row>
    <row r="263">
      <c r="A263" t="inlineStr">
        <is>
          <t>这么大的乳山生蚝你能吃几个？</t>
        </is>
      </c>
      <c r="B263" t="inlineStr">
        <is>
          <t>69226d6e000000001d03ec8c</t>
        </is>
      </c>
      <c r="C263" s="262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263" t="inlineStr">
        <is>
          <t>婉婉上班吃什么</t>
        </is>
      </c>
      <c r="E263" t="inlineStr">
        <is>
          <t>11434449706</t>
        </is>
      </c>
      <c r="F263" t="inlineStr">
        <is>
          <t>2025-11-23 10:11:58</t>
        </is>
      </c>
      <c r="G263" t="inlineStr">
        <is>
          <t>视频</t>
        </is>
      </c>
      <c r="H263" t="inlineStr">
        <is>
          <t>生蚝乳山生蚝海蛎子顺丰包邮</t>
        </is>
      </c>
      <c r="I263" t="inlineStr">
        <is>
          <t>690c70971b787900010866cc</t>
        </is>
      </c>
      <c r="J263" t="n">
        <v>16.0</v>
      </c>
      <c r="K263" t="n">
        <v>0.0</v>
      </c>
      <c r="L263" t="n">
        <v>0.0</v>
      </c>
      <c r="M263" t="n">
        <v>1.0</v>
      </c>
      <c r="N263" t="inlineStr">
        <is>
          <t>0.017543859649122806</t>
        </is>
      </c>
      <c r="O263" t="n">
        <v>1.0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inlineStr">
        <is>
          <t/>
        </is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57.0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8.263157894736842</v>
      </c>
      <c r="AL263" t="inlineStr">
        <is>
          <t>0.18571428571428572</t>
        </is>
      </c>
    </row>
    <row r="264">
      <c r="A264" t="inlineStr">
        <is>
          <t>在小红书买的！一人食小包装虾仁🍤</t>
        </is>
      </c>
      <c r="B264" t="inlineStr">
        <is>
          <t>69babd40000000002302116a</t>
        </is>
      </c>
      <c r="C264" s="263" t="n">
        <f>HYPERLINK("https://www.xiaohongshu.com/explore/69babd40000000002302116a?xsec_token=TBgJVNruMKjnZKfHBYiZtZCSfHKszfRzVYvjHLoPCVc9c=&amp;xsec_source=pc_trdark","https://www.xiaohongshu.com/explore/69babd40000000002302116a?xsec_token=TBgJVNruMKjnZKfHBYiZtZCSfHKszfRzVYvjHLoPCVc9c=&amp;xsec_source=pc_trdark")</f>
        <v>0.0</v>
      </c>
      <c r="D264" t="inlineStr">
        <is>
          <t>鲜水湾甄选</t>
        </is>
      </c>
      <c r="E264" t="inlineStr">
        <is>
          <t>27401929161</t>
        </is>
      </c>
      <c r="F264" t="inlineStr">
        <is>
          <t>2026-03-18 22:57:04</t>
        </is>
      </c>
      <c r="G264" t="inlineStr">
        <is>
          <t>图文</t>
        </is>
      </c>
      <c r="H264" t="inlineStr">
        <is>
          <t>手剥虾仁 无冰衣无添加 低脂餐一人食 上班带饭 顺丰包邮 5盒装</t>
        </is>
      </c>
      <c r="I264" t="inlineStr">
        <is>
          <t>694baba01d450d00013662f0</t>
        </is>
      </c>
      <c r="J264" t="inlineStr">
        <is>
          <t/>
        </is>
      </c>
      <c r="K264" t="n">
        <v>0.0</v>
      </c>
      <c r="L264" t="n">
        <v>0.0</v>
      </c>
      <c r="M264" t="n">
        <v>10.0</v>
      </c>
      <c r="N264" t="inlineStr">
        <is>
          <t>0.17857142857142858</t>
        </is>
      </c>
      <c r="O264" t="n">
        <v>10.0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inlineStr">
        <is>
          <t/>
        </is>
      </c>
      <c r="X264" t="n">
        <v>0.0</v>
      </c>
      <c r="Y264" t="n">
        <v>3.0</v>
      </c>
      <c r="Z264" t="n">
        <v>1.0</v>
      </c>
      <c r="AA264" t="n">
        <v>0.0</v>
      </c>
      <c r="AB264" t="n">
        <v>0.0</v>
      </c>
      <c r="AC264" t="n">
        <v>0.0</v>
      </c>
      <c r="AD264" t="n">
        <v>56.0</v>
      </c>
      <c r="AE264" t="n">
        <v>0.0</v>
      </c>
      <c r="AF264" t="n">
        <v>1.0</v>
      </c>
      <c r="AG264" t="n">
        <v>0.0</v>
      </c>
      <c r="AH264" t="n">
        <v>1.0</v>
      </c>
      <c r="AI264" t="n">
        <v>0.0</v>
      </c>
      <c r="AJ264" t="n">
        <v>0.0</v>
      </c>
      <c r="AK264" t="n">
        <v>8.410714285714286</v>
      </c>
      <c r="AL264" t="inlineStr">
        <is>
          <t/>
        </is>
      </c>
    </row>
    <row r="265">
      <c r="A265" t="inlineStr">
        <is>
          <t>春日减脂，区区69块够我吃一周了</t>
        </is>
      </c>
      <c r="B265" t="inlineStr">
        <is>
          <t>69ba7578000000001f002c39</t>
        </is>
      </c>
      <c r="C265" s="264" t="n">
        <f>HYPERLINK("https://www.xiaohongshu.com/explore/69ba7578000000001f002c39?xsec_token=TBgJVNruMKjnZKfHBYiZtZCY9CC4nsdsGps32PrUEX_ic=&amp;xsec_source=pc_trdark","https://www.xiaohongshu.com/explore/69ba7578000000001f002c39?xsec_token=TBgJVNruMKjnZKfHBYiZtZCY9CC4nsdsGps32PrUEX_ic=&amp;xsec_source=pc_trdark")</f>
        <v>0.0</v>
      </c>
      <c r="D265" t="inlineStr">
        <is>
          <t>婉婉上班吃什么</t>
        </is>
      </c>
      <c r="E265" t="inlineStr">
        <is>
          <t>11434449706</t>
        </is>
      </c>
      <c r="F265" t="inlineStr">
        <is>
          <t>2026-03-18 17:50:48</t>
        </is>
      </c>
      <c r="G265" t="inlineStr">
        <is>
          <t>图文</t>
        </is>
      </c>
      <c r="H265" t="inlineStr">
        <is>
          <t>手剥虾仁 无冰衣无添加 低脂餐一人食 上班带饭 顺丰包邮 5盒装</t>
        </is>
      </c>
      <c r="I265" t="inlineStr">
        <is>
          <t>694baba01d450d00013662f0</t>
        </is>
      </c>
      <c r="J265" t="inlineStr">
        <is>
          <t/>
        </is>
      </c>
      <c r="K265" t="n">
        <v>69.0</v>
      </c>
      <c r="L265" t="n">
        <v>1.0</v>
      </c>
      <c r="M265" t="n">
        <v>7.0</v>
      </c>
      <c r="N265" t="n">
        <v>0.125</v>
      </c>
      <c r="O265" t="n">
        <v>7.0</v>
      </c>
      <c r="P265" t="n">
        <v>1.0</v>
      </c>
      <c r="Q265" t="inlineStr">
        <is>
          <t>0.14285714285714285</t>
        </is>
      </c>
      <c r="R265" t="inlineStr">
        <is>
          <t>0.14285714285714285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2.0</v>
      </c>
      <c r="Z265" t="n">
        <v>0.0</v>
      </c>
      <c r="AA265" t="n">
        <v>0.0</v>
      </c>
      <c r="AB265" t="n">
        <v>0.0</v>
      </c>
      <c r="AC265" t="n">
        <v>0.0</v>
      </c>
      <c r="AD265" t="n">
        <v>56.0</v>
      </c>
      <c r="AE265" t="n">
        <v>2.0</v>
      </c>
      <c r="AF265" t="n">
        <v>0.0</v>
      </c>
      <c r="AG265" t="n">
        <v>0.0</v>
      </c>
      <c r="AH265" t="n">
        <v>1.0</v>
      </c>
      <c r="AI265" t="n">
        <v>0.0</v>
      </c>
      <c r="AJ265" t="n">
        <v>0.0</v>
      </c>
      <c r="AK265" t="n">
        <v>8.803571428571429</v>
      </c>
      <c r="AL265" t="inlineStr">
        <is>
          <t/>
        </is>
      </c>
    </row>
    <row r="266">
      <c r="A266" t="inlineStr">
        <is>
          <t>说一个撑死人但热量很低的东西！</t>
        </is>
      </c>
      <c r="B266" t="inlineStr">
        <is>
          <t>69b8ea03000000001b020297</t>
        </is>
      </c>
      <c r="C266" s="265" t="n">
        <f>HYPERLINK("https://www.xiaohongshu.com/explore/69b8ea03000000001b020297?xsec_token=TBfbAEHpo8FSFeopDu7XYUighbZEYDNDpuTDowyyB4z_c=&amp;xsec_source=pc_trdark","https://www.xiaohongshu.com/explore/69b8ea03000000001b020297?xsec_token=TBfbAEHpo8FSFeopDu7XYUighbZEYDNDpuTDowyyB4z_c=&amp;xsec_source=pc_trdark")</f>
        <v>0.0</v>
      </c>
      <c r="D266" t="inlineStr">
        <is>
          <t>婉婉上班吃什么</t>
        </is>
      </c>
      <c r="E266" t="inlineStr">
        <is>
          <t>11434449706</t>
        </is>
      </c>
      <c r="F266" t="inlineStr">
        <is>
          <t>2026-03-17 13:43:31</t>
        </is>
      </c>
      <c r="G266" t="inlineStr">
        <is>
          <t>图文</t>
        </is>
      </c>
      <c r="H266" t="inlineStr">
        <is>
          <t>手剥虾仁 无冰衣无添加 低脂餐一人食 上班带饭 顺丰包邮 5盒装</t>
        </is>
      </c>
      <c r="I266" t="inlineStr">
        <is>
          <t>694baba01d450d00013662f0</t>
        </is>
      </c>
      <c r="J266" t="inlineStr">
        <is>
          <t/>
        </is>
      </c>
      <c r="K266" t="n">
        <v>0.0</v>
      </c>
      <c r="L266" t="n">
        <v>0.0</v>
      </c>
      <c r="M266" t="n">
        <v>5.0</v>
      </c>
      <c r="N266" t="inlineStr">
        <is>
          <t>0.08928571428571429</t>
        </is>
      </c>
      <c r="O266" t="n">
        <v>4.0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inlineStr">
        <is>
          <t/>
        </is>
      </c>
      <c r="X266" t="n">
        <v>0.0</v>
      </c>
      <c r="Y266" t="n">
        <v>1.0</v>
      </c>
      <c r="Z266" t="n">
        <v>0.0</v>
      </c>
      <c r="AA266" t="n">
        <v>0.0</v>
      </c>
      <c r="AB266" t="n">
        <v>0.0</v>
      </c>
      <c r="AC266" t="n">
        <v>0.0</v>
      </c>
      <c r="AD266" t="n">
        <v>56.0</v>
      </c>
      <c r="AE266" t="n">
        <v>2.0</v>
      </c>
      <c r="AF266" t="n">
        <v>0.0</v>
      </c>
      <c r="AG266" t="n">
        <v>0.0</v>
      </c>
      <c r="AH266" t="n">
        <v>2.0</v>
      </c>
      <c r="AI266" t="n">
        <v>0.0</v>
      </c>
      <c r="AJ266" t="n">
        <v>0.0</v>
      </c>
      <c r="AK266" t="n">
        <v>6.946428571428571</v>
      </c>
      <c r="AL266" t="inlineStr">
        <is>
          <t/>
        </is>
      </c>
    </row>
    <row r="267">
      <c r="A267" t="inlineStr">
        <is>
          <t>健身以来花过最值的一笔钱，就是囤了大虾！</t>
        </is>
      </c>
      <c r="B267" t="inlineStr">
        <is>
          <t>69ae5c94000000002202f0c1</t>
        </is>
      </c>
      <c r="C267" s="266" t="n">
        <f>HYPERLINK("https://www.xiaohongshu.com/explore/69ae5c94000000002202f0c1?xsec_token=TBy3i3TfmyKE7XGojG_cT9hXFo39SthA_RPX7BBgXVbNc=&amp;xsec_source=pc_trdark","https://www.xiaohongshu.com/explore/69ae5c94000000002202f0c1?xsec_token=TBy3i3TfmyKE7XGojG_cT9hXFo39SthA_RPX7BBgXVbNc=&amp;xsec_source=pc_trdark")</f>
        <v>0.0</v>
      </c>
      <c r="D267" t="inlineStr">
        <is>
          <t>鲜水湾甄选</t>
        </is>
      </c>
      <c r="E267" t="inlineStr">
        <is>
          <t>27401929161</t>
        </is>
      </c>
      <c r="F267" t="inlineStr">
        <is>
          <t>2026-03-09 13:37:24</t>
        </is>
      </c>
      <c r="G267" t="inlineStr">
        <is>
          <t>图文</t>
        </is>
      </c>
      <c r="H267" t="inlineStr">
        <is>
          <t>大虾基围虾王牌大虾厄瓜多尔白虾盐冻虾仁海洋大虾送礼顺丰包邮</t>
        </is>
      </c>
      <c r="I267" t="inlineStr">
        <is>
          <t>690aeb7be379430001e686ac</t>
        </is>
      </c>
      <c r="J267" t="inlineStr">
        <is>
          <t/>
        </is>
      </c>
      <c r="K267" t="n">
        <v>0.0</v>
      </c>
      <c r="L267" t="n">
        <v>0.0</v>
      </c>
      <c r="M267" t="n">
        <v>11.0</v>
      </c>
      <c r="N267" t="inlineStr">
        <is>
          <t>0.19642857142857142</t>
        </is>
      </c>
      <c r="O267" t="n">
        <v>10.0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inlineStr">
        <is>
          <t/>
        </is>
      </c>
      <c r="X267" t="n">
        <v>0.0</v>
      </c>
      <c r="Y267" t="n">
        <v>0.0</v>
      </c>
      <c r="Z267" t="n">
        <v>1.0</v>
      </c>
      <c r="AA267" t="n">
        <v>0.0</v>
      </c>
      <c r="AB267" t="n">
        <v>0.0</v>
      </c>
      <c r="AC267" t="n">
        <v>0.0</v>
      </c>
      <c r="AD267" t="n">
        <v>56.0</v>
      </c>
      <c r="AE267" t="n">
        <v>0.0</v>
      </c>
      <c r="AF267" t="n">
        <v>0.0</v>
      </c>
      <c r="AG267" t="n">
        <v>1.0</v>
      </c>
      <c r="AH267" t="n">
        <v>1.0</v>
      </c>
      <c r="AI267" t="n">
        <v>0.0</v>
      </c>
      <c r="AJ267" t="n">
        <v>0.0</v>
      </c>
      <c r="AK267" t="n">
        <v>10.553571428571429</v>
      </c>
      <c r="AL267" t="inlineStr">
        <is>
          <t/>
        </is>
      </c>
    </row>
    <row r="268">
      <c r="A268" t="inlineStr">
        <is>
          <t>以为60来块没多少，结果够我吃一周的了</t>
        </is>
      </c>
      <c r="B268" t="inlineStr">
        <is>
          <t>69903b7a000000000e00eba9</t>
        </is>
      </c>
      <c r="C268" s="267" t="n">
        <f>HYPERLINK("https://www.xiaohongshu.com/explore/69903b7a000000000e00eba9?xsec_token=TBvdoWEZvj97Maw3nORHajeuQ9YR957T33JrIp2XRoEbs=&amp;xsec_source=pc_trdark","https://www.xiaohongshu.com/explore/69903b7a000000000e00eba9?xsec_token=TBvdoWEZvj97Maw3nORHajeuQ9YR957T33JrIp2XRoEbs=&amp;xsec_source=pc_trdark")</f>
        <v>0.0</v>
      </c>
      <c r="D268" t="inlineStr">
        <is>
          <t>鲜水湾</t>
        </is>
      </c>
      <c r="E268" t="inlineStr">
        <is>
          <t>49316638994</t>
        </is>
      </c>
      <c r="F268" t="inlineStr">
        <is>
          <t>2026-02-14 17:08:10</t>
        </is>
      </c>
      <c r="G268" t="inlineStr">
        <is>
          <t>图文</t>
        </is>
      </c>
      <c r="H268" t="inlineStr">
        <is>
          <t>大虾基围虾王牌大虾厄瓜多尔白虾盐冻虾仁海洋大虾送礼顺丰包邮</t>
        </is>
      </c>
      <c r="I268" t="inlineStr">
        <is>
          <t>690aeb7be379430001e686ac</t>
        </is>
      </c>
      <c r="J268" t="inlineStr">
        <is>
          <t/>
        </is>
      </c>
      <c r="K268" t="n">
        <v>0.0</v>
      </c>
      <c r="L268" t="n">
        <v>0.0</v>
      </c>
      <c r="M268" t="n">
        <v>15.0</v>
      </c>
      <c r="N268" t="inlineStr">
        <is>
          <t>0.26785714285714285</t>
        </is>
      </c>
      <c r="O268" t="n">
        <v>15.0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inlineStr">
        <is>
          <t/>
        </is>
      </c>
      <c r="X268" t="n">
        <v>0.0</v>
      </c>
      <c r="Y268" t="n">
        <v>1.0</v>
      </c>
      <c r="Z268" t="n">
        <v>6.0</v>
      </c>
      <c r="AA268" t="n">
        <v>0.0</v>
      </c>
      <c r="AB268" t="n">
        <v>0.0</v>
      </c>
      <c r="AC268" t="n">
        <v>0.0</v>
      </c>
      <c r="AD268" t="n">
        <v>56.0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10.642857142857142</v>
      </c>
      <c r="AL268" t="inlineStr">
        <is>
          <t/>
        </is>
      </c>
    </row>
    <row r="269">
      <c r="A269" t="inlineStr">
        <is>
          <t>以为69没多少，结果够我吃一周的了</t>
        </is>
      </c>
      <c r="B269" t="inlineStr">
        <is>
          <t>69c4f9c9000000001e00e8e3</t>
        </is>
      </c>
      <c r="C269" s="268" t="n">
        <f>HYPERLINK("https://www.xiaohongshu.com/explore/69c4f9c9000000001e00e8e3?xsec_token=TBIVv4KG_Is8XT8uyOgDE1R4ZzRS7gfs94AovulihXZUU=&amp;xsec_source=pc_trdark","https://www.xiaohongshu.com/explore/69c4f9c9000000001e00e8e3?xsec_token=TBIVv4KG_Is8XT8uyOgDE1R4ZzRS7gfs94AovulihXZUU=&amp;xsec_source=pc_trdark")</f>
        <v>0.0</v>
      </c>
      <c r="D269" t="inlineStr">
        <is>
          <t>婉婉上班吃什么</t>
        </is>
      </c>
      <c r="E269" t="inlineStr">
        <is>
          <t>11434449706</t>
        </is>
      </c>
      <c r="F269" t="inlineStr">
        <is>
          <t>2026-03-26 17:18:01</t>
        </is>
      </c>
      <c r="G269" t="inlineStr">
        <is>
          <t>图文</t>
        </is>
      </c>
      <c r="H269" t="inlineStr">
        <is>
          <t>手剥虾仁 无冰衣无添加 低脂餐一人食 上班带饭 顺丰包邮 5盒装</t>
        </is>
      </c>
      <c r="I269" t="inlineStr">
        <is>
          <t>694baba01d450d00013662f0</t>
        </is>
      </c>
      <c r="J269" t="inlineStr">
        <is>
          <t/>
        </is>
      </c>
      <c r="K269" t="n">
        <v>138.0</v>
      </c>
      <c r="L269" t="n">
        <v>2.0</v>
      </c>
      <c r="M269" t="n">
        <v>11.0</v>
      </c>
      <c r="N269" t="n">
        <v>0.2</v>
      </c>
      <c r="O269" t="n">
        <v>9.0</v>
      </c>
      <c r="P269" t="n">
        <v>2.0</v>
      </c>
      <c r="Q269" t="inlineStr">
        <is>
          <t>0.18181818181818182</t>
        </is>
      </c>
      <c r="R269" t="n">
        <v>0.2222222222222222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55.0</v>
      </c>
      <c r="AE269" t="n">
        <v>0.0</v>
      </c>
      <c r="AF269" t="n">
        <v>0.0</v>
      </c>
      <c r="AG269" t="n">
        <v>0.0</v>
      </c>
      <c r="AH269" t="n">
        <v>1.0</v>
      </c>
      <c r="AI269" t="n">
        <v>0.0</v>
      </c>
      <c r="AJ269" t="n">
        <v>0.0</v>
      </c>
      <c r="AK269" t="n">
        <v>10.163636363636364</v>
      </c>
      <c r="AL269" t="inlineStr">
        <is>
          <t/>
        </is>
      </c>
    </row>
    <row r="270">
      <c r="A270" t="inlineStr">
        <is>
          <t>老妈说，69一盒试试水，1000单走起...!!</t>
        </is>
      </c>
      <c r="B270" t="inlineStr">
        <is>
          <t>69afc1be000000000503398c</t>
        </is>
      </c>
      <c r="C270" s="269" t="n">
        <f>HYPERLINK("https://www.xiaohongshu.com/explore/69afc1be000000000503398c?xsec_token=TBvA7Hz6ko-xGwfQy35gan6anf3Ydkyzie5X1MyAnE6Xo=&amp;xsec_source=pc_trdark","https://www.xiaohongshu.com/explore/69afc1be000000000503398c?xsec_token=TBvA7Hz6ko-xGwfQy35gan6anf3Ydkyzie5X1MyAnE6Xo=&amp;xsec_source=pc_trdark")</f>
        <v>0.0</v>
      </c>
      <c r="D270" t="inlineStr">
        <is>
          <t>鲜水湾</t>
        </is>
      </c>
      <c r="E270" t="inlineStr">
        <is>
          <t>49316638994</t>
        </is>
      </c>
      <c r="F270" t="inlineStr">
        <is>
          <t>2026-03-10 15:01:18</t>
        </is>
      </c>
      <c r="G270" t="inlineStr">
        <is>
          <t>图文</t>
        </is>
      </c>
      <c r="H270" t="inlineStr">
        <is>
          <t>大虾基围虾王牌大虾厄瓜多尔白虾盐冻虾仁海洋大虾送礼顺丰包邮</t>
        </is>
      </c>
      <c r="I270" t="inlineStr">
        <is>
          <t>690aeb7be379430001e686ac</t>
        </is>
      </c>
      <c r="J270" t="inlineStr">
        <is>
          <t/>
        </is>
      </c>
      <c r="K270" t="n">
        <v>0.0</v>
      </c>
      <c r="L270" t="n">
        <v>0.0</v>
      </c>
      <c r="M270" t="n">
        <v>18.0</v>
      </c>
      <c r="N270" t="inlineStr">
        <is>
          <t>0.32727272727272727</t>
        </is>
      </c>
      <c r="O270" t="n">
        <v>17.0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inlineStr">
        <is>
          <t/>
        </is>
      </c>
      <c r="X270" t="n">
        <v>0.0</v>
      </c>
      <c r="Y270" t="n">
        <v>1.0</v>
      </c>
      <c r="Z270" t="n">
        <v>1.0</v>
      </c>
      <c r="AA270" t="n">
        <v>0.0</v>
      </c>
      <c r="AB270" t="n">
        <v>0.0</v>
      </c>
      <c r="AC270" t="n">
        <v>0.0</v>
      </c>
      <c r="AD270" t="n">
        <v>55.0</v>
      </c>
      <c r="AE270" t="n">
        <v>1.0</v>
      </c>
      <c r="AF270" t="n">
        <v>0.0</v>
      </c>
      <c r="AG270" t="n">
        <v>0.0</v>
      </c>
      <c r="AH270" t="n">
        <v>2.0</v>
      </c>
      <c r="AI270" t="n">
        <v>0.0</v>
      </c>
      <c r="AJ270" t="n">
        <v>0.0</v>
      </c>
      <c r="AK270" t="n">
        <v>10.618181818181819</v>
      </c>
      <c r="AL270" t="inlineStr">
        <is>
          <t/>
        </is>
      </c>
    </row>
    <row r="271">
      <c r="A271" t="inlineStr">
        <is>
          <t>蛋白质健身教练推荐我吃三文鱼排</t>
        </is>
      </c>
      <c r="B271" t="inlineStr">
        <is>
          <t>699ec98d000000001a01ed96</t>
        </is>
      </c>
      <c r="C271" s="270" t="n">
        <f>HYPERLINK("https://www.xiaohongshu.com/explore/699ec98d000000001a01ed96?xsec_token=TBggKgSP0tIUAtqBAPfP3mLdlGNOXhAv0abcSVh7WkQrk=&amp;xsec_source=pc_trdark","https://www.xiaohongshu.com/explore/699ec98d000000001a01ed96?xsec_token=TBggKgSP0tIUAtqBAPfP3mLdlGNOXhAv0abcSVh7WkQrk=&amp;xsec_source=pc_trdark")</f>
        <v>0.0</v>
      </c>
      <c r="D271" t="inlineStr">
        <is>
          <t>鲜水湾</t>
        </is>
      </c>
      <c r="E271" t="inlineStr">
        <is>
          <t>49316638994</t>
        </is>
      </c>
      <c r="F271" t="inlineStr">
        <is>
          <t>2026-02-25 18:06:05</t>
        </is>
      </c>
      <c r="G271" t="inlineStr">
        <is>
          <t>图文</t>
        </is>
      </c>
      <c r="H271" t="inlineStr">
        <is>
          <t>智利三文鱼切块·整条三文鱼·深海鱼一人食健康饮食</t>
        </is>
      </c>
      <c r="I271" t="inlineStr">
        <is>
          <t>691ac562a524ee0001b51d7b</t>
        </is>
      </c>
      <c r="J271" t="inlineStr">
        <is>
          <t/>
        </is>
      </c>
      <c r="K271" t="n">
        <v>0.0</v>
      </c>
      <c r="L271" t="n">
        <v>0.0</v>
      </c>
      <c r="M271" t="n">
        <v>2.0</v>
      </c>
      <c r="N271" t="inlineStr">
        <is>
          <t>0.03636363636363636</t>
        </is>
      </c>
      <c r="O271" t="n">
        <v>1.0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inlineStr">
        <is>
          <t/>
        </is>
      </c>
      <c r="X271" t="n">
        <v>0.0</v>
      </c>
      <c r="Y271" t="n">
        <v>1.0</v>
      </c>
      <c r="Z271" t="n">
        <v>3.0</v>
      </c>
      <c r="AA271" t="n">
        <v>0.0</v>
      </c>
      <c r="AB271" t="n">
        <v>0.0</v>
      </c>
      <c r="AC271" t="n">
        <v>0.0</v>
      </c>
      <c r="AD271" t="n">
        <v>55.0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7.036363636363636</v>
      </c>
      <c r="AL271" t="inlineStr">
        <is>
          <t/>
        </is>
      </c>
    </row>
    <row r="272">
      <c r="A272" t="inlineStr">
        <is>
          <t>男朋友过了30，一定要多吃这个乳山生蚝</t>
        </is>
      </c>
      <c r="B272" t="inlineStr">
        <is>
          <t>694c99e0000000001f00e958</t>
        </is>
      </c>
      <c r="C272" s="271" t="n">
        <f>HYPERLINK("https://www.xiaohongshu.com/explore/694c99e0000000001f00e958?xsec_token=TBxptwG9J_WafnJLanMiOzJBcoP6xceBzUm8ylc3RpDV8=&amp;xsec_source=pc_trdark","https://www.xiaohongshu.com/explore/694c99e0000000001f00e958?xsec_token=TBxptwG9J_WafnJLanMiOzJBcoP6xceBzUm8ylc3RpDV8=&amp;xsec_source=pc_trdark")</f>
        <v>0.0</v>
      </c>
      <c r="D272" t="inlineStr">
        <is>
          <t>婉婉上班吃什么</t>
        </is>
      </c>
      <c r="E272" t="inlineStr">
        <is>
          <t>11434449706</t>
        </is>
      </c>
      <c r="F272" t="inlineStr">
        <is>
          <t>2025-12-25 09:56:48</t>
        </is>
      </c>
      <c r="G272" t="inlineStr">
        <is>
          <t>图文</t>
        </is>
      </c>
      <c r="H272" t="inlineStr">
        <is>
          <t>生蚝乳山生蚝海蛎子顺丰包邮</t>
        </is>
      </c>
      <c r="I272" t="inlineStr">
        <is>
          <t>690c70971b787900010866cc</t>
        </is>
      </c>
      <c r="J272" t="inlineStr">
        <is>
          <t/>
        </is>
      </c>
      <c r="K272" t="n">
        <v>0.0</v>
      </c>
      <c r="L272" t="n">
        <v>0.0</v>
      </c>
      <c r="M272" t="n">
        <v>1.0</v>
      </c>
      <c r="N272" t="inlineStr">
        <is>
          <t>0.01818181818181818</t>
        </is>
      </c>
      <c r="O272" t="n">
        <v>1.0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inlineStr">
        <is>
          <t/>
        </is>
      </c>
      <c r="X272" t="n">
        <v>0.0</v>
      </c>
      <c r="Y272" t="n">
        <v>0.0</v>
      </c>
      <c r="Z272" t="n">
        <v>1.0</v>
      </c>
      <c r="AA272" t="n">
        <v>0.0</v>
      </c>
      <c r="AB272" t="n">
        <v>0.0</v>
      </c>
      <c r="AC272" t="n">
        <v>0.0</v>
      </c>
      <c r="AD272" t="n">
        <v>55.0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21.381818181818183</v>
      </c>
      <c r="AL272" t="inlineStr">
        <is>
          <t/>
        </is>
      </c>
    </row>
    <row r="273">
      <c r="A273" t="inlineStr">
        <is>
          <t>吃吧吃吧，海边人推荐的虾仁准不会错！🍤</t>
        </is>
      </c>
      <c r="B273" t="inlineStr">
        <is>
          <t>69bea57e000000002301cb49</t>
        </is>
      </c>
      <c r="C273" s="272" t="n">
        <f>HYPERLINK("https://www.xiaohongshu.com/explore/69bea57e000000002301cb49?xsec_token=TBEV1jCaY14J6usHdX26xRKE-78_r3X9QMVpW1RjWxo0k=&amp;xsec_source=pc_trdark","https://www.xiaohongshu.com/explore/69bea57e000000002301cb49?xsec_token=TBEV1jCaY14J6usHdX26xRKE-78_r3X9QMVpW1RjWxo0k=&amp;xsec_source=pc_trdark")</f>
        <v>0.0</v>
      </c>
      <c r="D273" t="inlineStr">
        <is>
          <t>鲜水湾</t>
        </is>
      </c>
      <c r="E273" t="inlineStr">
        <is>
          <t>49316638994</t>
        </is>
      </c>
      <c r="F273" t="inlineStr">
        <is>
          <t>2026-03-21 22:04:46</t>
        </is>
      </c>
      <c r="G273" t="inlineStr">
        <is>
          <t>图文</t>
        </is>
      </c>
      <c r="H273" t="inlineStr">
        <is>
          <t>手剥虾仁 无冰衣无添加 低脂餐一人食 上班带饭 顺丰包邮 5盒装</t>
        </is>
      </c>
      <c r="I273" t="inlineStr">
        <is>
          <t>694baba01d450d00013662f0</t>
        </is>
      </c>
      <c r="J273" t="inlineStr">
        <is>
          <t/>
        </is>
      </c>
      <c r="K273" t="n">
        <v>0.0</v>
      </c>
      <c r="L273" t="n">
        <v>0.0</v>
      </c>
      <c r="M273" t="n">
        <v>5.0</v>
      </c>
      <c r="N273" t="inlineStr">
        <is>
          <t>0.09259259259259259</t>
        </is>
      </c>
      <c r="O273" t="n">
        <v>4.0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inlineStr">
        <is>
          <t/>
        </is>
      </c>
      <c r="X273" t="n">
        <v>0.0</v>
      </c>
      <c r="Y273" t="n">
        <v>0.0</v>
      </c>
      <c r="Z273" t="n">
        <v>1.0</v>
      </c>
      <c r="AA273" t="n">
        <v>0.0</v>
      </c>
      <c r="AB273" t="n">
        <v>0.0</v>
      </c>
      <c r="AC273" t="n">
        <v>0.0</v>
      </c>
      <c r="AD273" t="n">
        <v>54.0</v>
      </c>
      <c r="AE273" t="n">
        <v>2.0</v>
      </c>
      <c r="AF273" t="n">
        <v>0.0</v>
      </c>
      <c r="AG273" t="n">
        <v>1.0</v>
      </c>
      <c r="AH273" t="n">
        <v>3.0</v>
      </c>
      <c r="AI273" t="n">
        <v>0.0</v>
      </c>
      <c r="AJ273" t="n">
        <v>0.0</v>
      </c>
      <c r="AK273" t="n">
        <v>9.24074074074074</v>
      </c>
      <c r="AL273" t="inlineStr">
        <is>
          <t/>
        </is>
      </c>
    </row>
    <row r="274">
      <c r="A274" t="inlineStr">
        <is>
          <t>请教教我爸无添加虾仁怎么在网上卖出去😭</t>
        </is>
      </c>
      <c r="B274" t="inlineStr">
        <is>
          <t>69be4653000000002202a9a5</t>
        </is>
      </c>
      <c r="C274" s="273" t="n">
        <f>HYPERLINK("https://www.xiaohongshu.com/explore/69be4653000000002202a9a5?xsec_token=TBEV1jCaY14J6usHdX26xRKFoxZuZe6v7l4sEqC3HXtAE=&amp;xsec_source=pc_trdark","https://www.xiaohongshu.com/explore/69be4653000000002202a9a5?xsec_token=TBEV1jCaY14J6usHdX26xRKFoxZuZe6v7l4sEqC3HXtAE=&amp;xsec_source=pc_trdark")</f>
        <v>0.0</v>
      </c>
      <c r="D274" t="inlineStr">
        <is>
          <t>鲜水湾</t>
        </is>
      </c>
      <c r="E274" t="inlineStr">
        <is>
          <t>49316638994</t>
        </is>
      </c>
      <c r="F274" t="inlineStr">
        <is>
          <t>2026-03-21 15:18:43</t>
        </is>
      </c>
      <c r="G274" t="inlineStr">
        <is>
          <t>图文</t>
        </is>
      </c>
      <c r="H274" t="inlineStr">
        <is>
          <t>手剥虾仁 无冰衣无添加 低脂餐一人食 上班带饭 顺丰包邮 5盒装</t>
        </is>
      </c>
      <c r="I274" t="inlineStr">
        <is>
          <t>694baba01d450d00013662f0</t>
        </is>
      </c>
      <c r="J274" t="inlineStr">
        <is>
          <t/>
        </is>
      </c>
      <c r="K274" t="n">
        <v>0.0</v>
      </c>
      <c r="L274" t="n">
        <v>0.0</v>
      </c>
      <c r="M274" t="n">
        <v>4.0</v>
      </c>
      <c r="N274" t="inlineStr">
        <is>
          <t>0.07547169811320754</t>
        </is>
      </c>
      <c r="O274" t="n">
        <v>4.0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inlineStr">
        <is>
          <t/>
        </is>
      </c>
      <c r="X274" t="n">
        <v>0.0</v>
      </c>
      <c r="Y274" t="n">
        <v>1.0</v>
      </c>
      <c r="Z274" t="n">
        <v>0.0</v>
      </c>
      <c r="AA274" t="n">
        <v>0.0</v>
      </c>
      <c r="AB274" t="n">
        <v>0.0</v>
      </c>
      <c r="AC274" t="n">
        <v>0.0</v>
      </c>
      <c r="AD274" t="n">
        <v>53.0</v>
      </c>
      <c r="AE274" t="n">
        <v>1.0</v>
      </c>
      <c r="AF274" t="n">
        <v>2.0</v>
      </c>
      <c r="AG274" t="n">
        <v>1.0</v>
      </c>
      <c r="AH274" t="n">
        <v>2.0</v>
      </c>
      <c r="AI274" t="n">
        <v>0.0</v>
      </c>
      <c r="AJ274" t="n">
        <v>0.0</v>
      </c>
      <c r="AK274" t="n">
        <v>9.49056603773585</v>
      </c>
      <c r="AL274" t="inlineStr">
        <is>
          <t/>
        </is>
      </c>
    </row>
    <row r="275">
      <c r="A275" t="inlineStr">
        <is>
          <t>讲真…69一大盒虾，太适合打工人带饭了</t>
        </is>
      </c>
      <c r="B275" t="inlineStr">
        <is>
          <t>69b4bd9b000000001a02f455</t>
        </is>
      </c>
      <c r="C275" s="274" t="n">
        <f>HYPERLINK("https://www.xiaohongshu.com/explore/69b4bd9b000000001a02f455?xsec_token=TB4dy4zP2Sasn_cYXEm_KMIwZX42LhinmM0bSIqGNM7aU=&amp;xsec_source=pc_trdark","https://www.xiaohongshu.com/explore/69b4bd9b000000001a02f455?xsec_token=TB4dy4zP2Sasn_cYXEm_KMIwZX42LhinmM0bSIqGNM7aU=&amp;xsec_source=pc_trdark")</f>
        <v>0.0</v>
      </c>
      <c r="D275" t="inlineStr">
        <is>
          <t>鲜水湾</t>
        </is>
      </c>
      <c r="E275" t="inlineStr">
        <is>
          <t>49316638994</t>
        </is>
      </c>
      <c r="F275" t="inlineStr">
        <is>
          <t>2026-03-14 09:44:59</t>
        </is>
      </c>
      <c r="G275" t="inlineStr">
        <is>
          <t>图文</t>
        </is>
      </c>
      <c r="H275" t="inlineStr">
        <is>
          <t>大虾基围虾王牌大虾厄瓜多尔白虾盐冻虾仁海洋大虾送礼顺丰包邮</t>
        </is>
      </c>
      <c r="I275" t="inlineStr">
        <is>
          <t>690aeb7be379430001e686ac</t>
        </is>
      </c>
      <c r="J275" t="inlineStr">
        <is>
          <t/>
        </is>
      </c>
      <c r="K275" t="n">
        <v>0.0</v>
      </c>
      <c r="L275" t="n">
        <v>0.0</v>
      </c>
      <c r="M275" t="n">
        <v>11.0</v>
      </c>
      <c r="N275" t="inlineStr">
        <is>
          <t>0.20754716981132076</t>
        </is>
      </c>
      <c r="O275" t="n">
        <v>8.0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inlineStr">
        <is>
          <t/>
        </is>
      </c>
      <c r="X275" t="n">
        <v>0.0</v>
      </c>
      <c r="Y275" t="n">
        <v>2.0</v>
      </c>
      <c r="Z275" t="n">
        <v>0.0</v>
      </c>
      <c r="AA275" t="n">
        <v>0.0</v>
      </c>
      <c r="AB275" t="n">
        <v>0.0</v>
      </c>
      <c r="AC275" t="n">
        <v>0.0</v>
      </c>
      <c r="AD275" t="n">
        <v>53.0</v>
      </c>
      <c r="AE275" t="n">
        <v>2.0</v>
      </c>
      <c r="AF275" t="n">
        <v>0.0</v>
      </c>
      <c r="AG275" t="n">
        <v>0.0</v>
      </c>
      <c r="AH275" t="n">
        <v>3.0</v>
      </c>
      <c r="AI275" t="n">
        <v>0.0</v>
      </c>
      <c r="AJ275" t="n">
        <v>0.0</v>
      </c>
      <c r="AK275" t="n">
        <v>7.245283018867925</v>
      </c>
      <c r="AL275" t="inlineStr">
        <is>
          <t/>
        </is>
      </c>
    </row>
    <row r="276">
      <c r="A276" t="inlineStr">
        <is>
          <t>立马回购6箱！家附近超市再也看不上了🦐</t>
        </is>
      </c>
      <c r="B276" t="inlineStr">
        <is>
          <t>69b0cd40000000000600cca2</t>
        </is>
      </c>
      <c r="C276" s="275" t="n">
        <f>HYPERLINK("https://www.xiaohongshu.com/explore/69b0cd40000000000600cca2?xsec_token=TB1fCSoBGZhUEvn2zrb_Bw2qrfKZZmmwBrZCPmnS4u67A=&amp;xsec_source=pc_trdark","https://www.xiaohongshu.com/explore/69b0cd40000000000600cca2?xsec_token=TB1fCSoBGZhUEvn2zrb_Bw2qrfKZZmmwBrZCPmnS4u67A=&amp;xsec_source=pc_trdark")</f>
        <v>0.0</v>
      </c>
      <c r="D276" t="inlineStr">
        <is>
          <t>婉婉上班吃什么</t>
        </is>
      </c>
      <c r="E276" t="inlineStr">
        <is>
          <t>11434449706</t>
        </is>
      </c>
      <c r="F276" t="inlineStr">
        <is>
          <t>2026-03-11 10:02:40</t>
        </is>
      </c>
      <c r="G276" t="inlineStr">
        <is>
          <t>图文</t>
        </is>
      </c>
      <c r="H276" t="inlineStr">
        <is>
          <t>大虾基围虾王牌大虾厄瓜多尔白虾盐冻虾仁海洋大虾送礼顺丰包邮</t>
        </is>
      </c>
      <c r="I276" t="inlineStr">
        <is>
          <t>690aeb7be379430001e686ac</t>
        </is>
      </c>
      <c r="J276" t="inlineStr">
        <is>
          <t/>
        </is>
      </c>
      <c r="K276" t="n">
        <v>0.0</v>
      </c>
      <c r="L276" t="n">
        <v>0.0</v>
      </c>
      <c r="M276" t="n">
        <v>10.0</v>
      </c>
      <c r="N276" t="inlineStr">
        <is>
          <t>0.18867924528301888</t>
        </is>
      </c>
      <c r="O276" t="n">
        <v>10.0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inlineStr">
        <is>
          <t/>
        </is>
      </c>
      <c r="X276" t="n">
        <v>0.0</v>
      </c>
      <c r="Y276" t="n">
        <v>2.0</v>
      </c>
      <c r="Z276" t="n">
        <v>0.0</v>
      </c>
      <c r="AA276" t="n">
        <v>0.0</v>
      </c>
      <c r="AB276" t="n">
        <v>0.0</v>
      </c>
      <c r="AC276" t="n">
        <v>0.0</v>
      </c>
      <c r="AD276" t="n">
        <v>53.0</v>
      </c>
      <c r="AE276" t="n">
        <v>2.0</v>
      </c>
      <c r="AF276" t="n">
        <v>0.0</v>
      </c>
      <c r="AG276" t="n">
        <v>0.0</v>
      </c>
      <c r="AH276" t="n">
        <v>1.0</v>
      </c>
      <c r="AI276" t="n">
        <v>0.0</v>
      </c>
      <c r="AJ276" t="n">
        <v>0.0</v>
      </c>
      <c r="AK276" t="n">
        <v>22.452830188679247</v>
      </c>
      <c r="AL276" t="inlineStr">
        <is>
          <t/>
        </is>
      </c>
    </row>
    <row r="277">
      <c r="A277" t="inlineStr">
        <is>
          <t>我也不想买啊，但69够我吃一周了～</t>
        </is>
      </c>
      <c r="B277" t="inlineStr">
        <is>
          <t>69cb8091000000001e00c500</t>
        </is>
      </c>
      <c r="C277" s="276" t="n">
        <f>HYPERLINK("https://www.xiaohongshu.com/explore/69cb8091000000001e00c500?xsec_token=TBNvk7eB588c7ey-qUUMF7ORNIuQpyRiYMniqVVVbQg14=&amp;xsec_source=pc_trdark","https://www.xiaohongshu.com/explore/69cb8091000000001e00c500?xsec_token=TBNvk7eB588c7ey-qUUMF7ORNIuQpyRiYMniqVVVbQg14=&amp;xsec_source=pc_trdark")</f>
        <v>0.0</v>
      </c>
      <c r="D277" t="inlineStr">
        <is>
          <t>鲜水湾</t>
        </is>
      </c>
      <c r="E277" t="inlineStr">
        <is>
          <t>49316638994</t>
        </is>
      </c>
      <c r="F277" t="inlineStr">
        <is>
          <t>2026-03-31 16:06:41</t>
        </is>
      </c>
      <c r="G277" t="inlineStr">
        <is>
          <t>图文</t>
        </is>
      </c>
      <c r="H277" t="inlineStr">
        <is>
          <t>手剥虾仁 无冰衣无添加 低脂餐一人食 上班带饭 顺丰包邮 5盒装</t>
        </is>
      </c>
      <c r="I277" t="inlineStr">
        <is>
          <t>694baba01d450d00013662f0</t>
        </is>
      </c>
      <c r="J277" t="inlineStr">
        <is>
          <t/>
        </is>
      </c>
      <c r="K277" t="n">
        <v>138.0</v>
      </c>
      <c r="L277" t="n">
        <v>2.0</v>
      </c>
      <c r="M277" t="n">
        <v>11.0</v>
      </c>
      <c r="N277" t="inlineStr">
        <is>
          <t>0.21153846153846154</t>
        </is>
      </c>
      <c r="O277" t="n">
        <v>10.0</v>
      </c>
      <c r="P277" t="n">
        <v>2.0</v>
      </c>
      <c r="Q277" t="inlineStr">
        <is>
          <t>0.18181818181818182</t>
        </is>
      </c>
      <c r="R277" t="n">
        <v>0.2</v>
      </c>
      <c r="S277" t="n">
        <v>0.0</v>
      </c>
      <c r="T277" t="n">
        <v>0.0</v>
      </c>
      <c r="U277" t="n">
        <v>0.0</v>
      </c>
      <c r="V277" t="n">
        <v>69.0</v>
      </c>
      <c r="W277" t="n">
        <v>0.5</v>
      </c>
      <c r="X277" t="n">
        <v>1.0</v>
      </c>
      <c r="Y277" t="n">
        <v>1.0</v>
      </c>
      <c r="Z277" t="n">
        <v>2.0</v>
      </c>
      <c r="AA277" t="n">
        <v>0.0</v>
      </c>
      <c r="AB277" t="n">
        <v>0.0</v>
      </c>
      <c r="AC277" t="n">
        <v>0.0</v>
      </c>
      <c r="AD277" t="n">
        <v>52.0</v>
      </c>
      <c r="AE277" t="n">
        <v>0.0</v>
      </c>
      <c r="AF277" t="n">
        <v>0.0</v>
      </c>
      <c r="AG277" t="n">
        <v>0.0</v>
      </c>
      <c r="AH277" t="n">
        <v>2.0</v>
      </c>
      <c r="AI277" t="n">
        <v>0.0</v>
      </c>
      <c r="AJ277" t="n">
        <v>0.0</v>
      </c>
      <c r="AK277" t="n">
        <v>11.884615384615385</v>
      </c>
      <c r="AL277" t="inlineStr">
        <is>
          <t/>
        </is>
      </c>
    </row>
    <row r="278">
      <c r="A278" t="inlineStr">
        <is>
          <t>爸妈对于我每天吃一盒虾仁表示很奢侈……</t>
        </is>
      </c>
      <c r="B278" t="inlineStr">
        <is>
          <t>69c1eed70000000023017a4d</t>
        </is>
      </c>
      <c r="C278" s="277" t="n">
        <f>HYPERLINK("https://www.xiaohongshu.com/explore/69c1eed70000000023017a4d?xsec_token=TBltfkQyXS0u_Ko7SgIzuBYv8lHnnkUy2fhu9ZfPpIoY8=&amp;xsec_source=pc_trdark","https://www.xiaohongshu.com/explore/69c1eed70000000023017a4d?xsec_token=TBltfkQyXS0u_Ko7SgIzuBYv8lHnnkUy2fhu9ZfPpIoY8=&amp;xsec_source=pc_trdark")</f>
        <v>0.0</v>
      </c>
      <c r="D278" t="inlineStr">
        <is>
          <t>菲菲上班吃什么</t>
        </is>
      </c>
      <c r="E278" t="inlineStr">
        <is>
          <t>49936530607</t>
        </is>
      </c>
      <c r="F278" t="inlineStr">
        <is>
          <t>2026-03-24 09:54:31</t>
        </is>
      </c>
      <c r="G278" t="inlineStr">
        <is>
          <t>图文</t>
        </is>
      </c>
      <c r="H278" t="inlineStr">
        <is>
          <t>手剥虾仁 无冰衣无添加 低脂餐一人食 上班带饭 顺丰包邮 5盒装</t>
        </is>
      </c>
      <c r="I278" t="inlineStr">
        <is>
          <t>694baba01d450d00013662f0</t>
        </is>
      </c>
      <c r="J278" t="inlineStr">
        <is>
          <t/>
        </is>
      </c>
      <c r="K278" t="n">
        <v>0.0</v>
      </c>
      <c r="L278" t="n">
        <v>0.0</v>
      </c>
      <c r="M278" t="n">
        <v>9.0</v>
      </c>
      <c r="N278" t="inlineStr">
        <is>
          <t>0.17307692307692307</t>
        </is>
      </c>
      <c r="O278" t="n">
        <v>7.0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inlineStr">
        <is>
          <t/>
        </is>
      </c>
      <c r="X278" t="n">
        <v>0.0</v>
      </c>
      <c r="Y278" t="n">
        <v>1.0</v>
      </c>
      <c r="Z278" t="n">
        <v>2.0</v>
      </c>
      <c r="AA278" t="n">
        <v>0.0</v>
      </c>
      <c r="AB278" t="n">
        <v>0.0</v>
      </c>
      <c r="AC278" t="n">
        <v>0.0</v>
      </c>
      <c r="AD278" t="n">
        <v>52.0</v>
      </c>
      <c r="AE278" t="n">
        <v>2.0</v>
      </c>
      <c r="AF278" t="n">
        <v>0.0</v>
      </c>
      <c r="AG278" t="n">
        <v>0.0</v>
      </c>
      <c r="AH278" t="n">
        <v>2.0</v>
      </c>
      <c r="AI278" t="n">
        <v>0.0</v>
      </c>
      <c r="AJ278" t="n">
        <v>0.0</v>
      </c>
      <c r="AK278" t="n">
        <v>8.461538461538462</v>
      </c>
      <c r="AL278" t="inlineStr">
        <is>
          <t/>
        </is>
      </c>
    </row>
    <row r="279">
      <c r="A279" t="inlineStr">
        <is>
          <t>69一盒大虾怎么才能让减脂的姐妹看到</t>
        </is>
      </c>
      <c r="B279" t="inlineStr">
        <is>
          <t>69a6e5f8000000001a024b5f</t>
        </is>
      </c>
      <c r="C279" s="278" t="n">
        <f>HYPERLINK("https://www.xiaohongshu.com/explore/69a6e5f8000000001a024b5f?xsec_token=TBDC5ayGxbZoC8jUhTnn-Nf1Ew7hDD00WGHuLG5tW_4MI=&amp;xsec_source=pc_trdark","https://www.xiaohongshu.com/explore/69a6e5f8000000001a024b5f?xsec_token=TBDC5ayGxbZoC8jUhTnn-Nf1Ew7hDD00WGHuLG5tW_4MI=&amp;xsec_source=pc_trdark")</f>
        <v>0.0</v>
      </c>
      <c r="D279" t="inlineStr">
        <is>
          <t>鲜水湾</t>
        </is>
      </c>
      <c r="E279" t="inlineStr">
        <is>
          <t>49316638994</t>
        </is>
      </c>
      <c r="F279" t="inlineStr">
        <is>
          <t>2026-03-03 21:45:28</t>
        </is>
      </c>
      <c r="G279" t="inlineStr">
        <is>
          <t>图文</t>
        </is>
      </c>
      <c r="H279" t="inlineStr">
        <is>
          <t>大虾基围虾王牌大虾厄瓜多尔白虾盐冻虾仁海洋大虾送礼顺丰包邮</t>
        </is>
      </c>
      <c r="I279" t="inlineStr">
        <is>
          <t>690aeb7be379430001e686ac</t>
        </is>
      </c>
      <c r="J279" t="inlineStr">
        <is>
          <t/>
        </is>
      </c>
      <c r="K279" t="n">
        <v>0.0</v>
      </c>
      <c r="L279" t="n">
        <v>0.0</v>
      </c>
      <c r="M279" t="n">
        <v>20.0</v>
      </c>
      <c r="N279" t="inlineStr">
        <is>
          <t>0.38461538461538464</t>
        </is>
      </c>
      <c r="O279" t="n">
        <v>17.0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inlineStr">
        <is>
          <t/>
        </is>
      </c>
      <c r="X279" t="n">
        <v>0.0</v>
      </c>
      <c r="Y279" t="n">
        <v>3.0</v>
      </c>
      <c r="Z279" t="n">
        <v>1.0</v>
      </c>
      <c r="AA279" t="n">
        <v>0.0</v>
      </c>
      <c r="AB279" t="n">
        <v>0.0</v>
      </c>
      <c r="AC279" t="n">
        <v>0.0</v>
      </c>
      <c r="AD279" t="n">
        <v>52.0</v>
      </c>
      <c r="AE279" t="n">
        <v>0.0</v>
      </c>
      <c r="AF279" t="n">
        <v>0.0</v>
      </c>
      <c r="AG279" t="n">
        <v>0.0</v>
      </c>
      <c r="AH279" t="n">
        <v>2.0</v>
      </c>
      <c r="AI279" t="n">
        <v>0.0</v>
      </c>
      <c r="AJ279" t="n">
        <v>0.0</v>
      </c>
      <c r="AK279" t="n">
        <v>9.01923076923077</v>
      </c>
      <c r="AL279" t="inlineStr">
        <is>
          <t/>
        </is>
      </c>
    </row>
    <row r="280">
      <c r="A280" t="inlineStr">
        <is>
          <t>香煎三文鱼，其实真的没有那么复杂[哇R]</t>
        </is>
      </c>
      <c r="B280" t="inlineStr">
        <is>
          <t>69cb7d16000000002800bb98</t>
        </is>
      </c>
      <c r="C280" s="279" t="n">
        <f>HYPERLINK("https://www.xiaohongshu.com/explore/69cb7d16000000002800bb98?xsec_token=TBNvk7eB588c7ey-qUUMF7OZcEhMpBVSv8fJx9Omm68b4=&amp;xsec_source=pc_trdark","https://www.xiaohongshu.com/explore/69cb7d16000000002800bb98?xsec_token=TBNvk7eB588c7ey-qUUMF7OZcEhMpBVSv8fJx9Omm68b4=&amp;xsec_source=pc_trdark")</f>
        <v>0.0</v>
      </c>
      <c r="D280" t="inlineStr">
        <is>
          <t>菲菲上班吃什么</t>
        </is>
      </c>
      <c r="E280" t="inlineStr">
        <is>
          <t>49936530607</t>
        </is>
      </c>
      <c r="F280" t="inlineStr">
        <is>
          <t>2026-03-31 15:51:50</t>
        </is>
      </c>
      <c r="G280" t="inlineStr">
        <is>
          <t>图文</t>
        </is>
      </c>
      <c r="H280" t="inlineStr">
        <is>
          <t>智利三文鱼切块·整条三文鱼·深海鱼一人食健康饮食</t>
        </is>
      </c>
      <c r="I280" t="inlineStr">
        <is>
          <t>691ac562a524ee0001b51d7b</t>
        </is>
      </c>
      <c r="J280" t="inlineStr">
        <is>
          <t/>
        </is>
      </c>
      <c r="K280" t="n">
        <v>0.0</v>
      </c>
      <c r="L280" t="n">
        <v>0.0</v>
      </c>
      <c r="M280" t="n">
        <v>7.0</v>
      </c>
      <c r="N280" t="inlineStr">
        <is>
          <t>0.13725490196078433</t>
        </is>
      </c>
      <c r="O280" t="n">
        <v>7.0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inlineStr">
        <is>
          <t/>
        </is>
      </c>
      <c r="X280" t="n">
        <v>0.0</v>
      </c>
      <c r="Y280" t="n">
        <v>2.0</v>
      </c>
      <c r="Z280" t="n">
        <v>8.0</v>
      </c>
      <c r="AA280" t="n">
        <v>0.0</v>
      </c>
      <c r="AB280" t="n">
        <v>0.0</v>
      </c>
      <c r="AC280" t="n">
        <v>0.0</v>
      </c>
      <c r="AD280" t="n">
        <v>51.0</v>
      </c>
      <c r="AE280" t="n">
        <v>1.0</v>
      </c>
      <c r="AF280" t="n">
        <v>0.0</v>
      </c>
      <c r="AG280" t="n">
        <v>0.0</v>
      </c>
      <c r="AH280" t="n">
        <v>2.0</v>
      </c>
      <c r="AI280" t="n">
        <v>0.0</v>
      </c>
      <c r="AJ280" t="n">
        <v>0.0</v>
      </c>
      <c r="AK280" t="n">
        <v>16.15686274509804</v>
      </c>
      <c r="AL280" t="inlineStr">
        <is>
          <t/>
        </is>
      </c>
    </row>
    <row r="281">
      <c r="A281" t="inlineStr">
        <is>
          <t>春日控体真不贵，69够我吃一周了…</t>
        </is>
      </c>
      <c r="B281" t="inlineStr">
        <is>
          <t>69c4f0cc000000001f007cae</t>
        </is>
      </c>
      <c r="C281" s="280" t="n">
        <f>HYPERLINK("https://www.xiaohongshu.com/explore/69c4f0cc000000001f007cae?xsec_token=TBIVv4KG_Is8XT8uyOgDE1R4214HMT7yef3fMvIHU0yQI=&amp;xsec_source=pc_trdark","https://www.xiaohongshu.com/explore/69c4f0cc000000001f007cae?xsec_token=TBIVv4KG_Is8XT8uyOgDE1R4214HMT7yef3fMvIHU0yQI=&amp;xsec_source=pc_trdark")</f>
        <v>0.0</v>
      </c>
      <c r="D281" t="inlineStr">
        <is>
          <t>菲菲上班吃什么</t>
        </is>
      </c>
      <c r="E281" t="inlineStr">
        <is>
          <t>49936530607</t>
        </is>
      </c>
      <c r="F281" t="inlineStr">
        <is>
          <t>2026-03-26 16:39:40</t>
        </is>
      </c>
      <c r="G281" t="inlineStr">
        <is>
          <t>图文</t>
        </is>
      </c>
      <c r="H281" t="inlineStr">
        <is>
          <t>手剥虾仁 无冰衣无添加 低脂餐一人食 上班带饭 顺丰包邮 5盒装</t>
        </is>
      </c>
      <c r="I281" t="inlineStr">
        <is>
          <t>694baba01d450d00013662f0</t>
        </is>
      </c>
      <c r="J281" t="inlineStr">
        <is>
          <t/>
        </is>
      </c>
      <c r="K281" t="n">
        <v>0.0</v>
      </c>
      <c r="L281" t="n">
        <v>0.0</v>
      </c>
      <c r="M281" t="n">
        <v>11.0</v>
      </c>
      <c r="N281" t="inlineStr">
        <is>
          <t>0.21568627450980393</t>
        </is>
      </c>
      <c r="O281" t="n">
        <v>10.0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inlineStr">
        <is>
          <t/>
        </is>
      </c>
      <c r="X281" t="n">
        <v>0.0</v>
      </c>
      <c r="Y281" t="n">
        <v>4.0</v>
      </c>
      <c r="Z281" t="n">
        <v>0.0</v>
      </c>
      <c r="AA281" t="n">
        <v>0.0</v>
      </c>
      <c r="AB281" t="n">
        <v>0.0</v>
      </c>
      <c r="AC281" t="n">
        <v>0.0</v>
      </c>
      <c r="AD281" t="n">
        <v>51.0</v>
      </c>
      <c r="AE281" t="n">
        <v>1.0</v>
      </c>
      <c r="AF281" t="n">
        <v>0.0</v>
      </c>
      <c r="AG281" t="n">
        <v>1.0</v>
      </c>
      <c r="AH281" t="n">
        <v>2.0</v>
      </c>
      <c r="AI281" t="n">
        <v>0.0</v>
      </c>
      <c r="AJ281" t="n">
        <v>0.0</v>
      </c>
      <c r="AK281" t="n">
        <v>12.627450980392156</v>
      </c>
      <c r="AL281" t="inlineStr">
        <is>
          <t/>
        </is>
      </c>
    </row>
    <row r="282">
      <c r="A282" t="inlineStr">
        <is>
          <t>年后掉秤！69块吃一周，大虾减脂太省心</t>
        </is>
      </c>
      <c r="B282" t="inlineStr">
        <is>
          <t>69a8d860000000001a036232</t>
        </is>
      </c>
      <c r="C282" s="281" t="n">
        <f>HYPERLINK("https://www.xiaohongshu.com/explore/69a8d860000000001a036232?xsec_token=TBoPbpeIhQUL4QR6_LMsKnIQo6_4cwtE2vPlk0PFTUeHs=&amp;xsec_source=pc_trdark","https://www.xiaohongshu.com/explore/69a8d860000000001a036232?xsec_token=TBoPbpeIhQUL4QR6_LMsKnIQo6_4cwtE2vPlk0PFTUeHs=&amp;xsec_source=pc_trdark")</f>
        <v>0.0</v>
      </c>
      <c r="D282" t="inlineStr">
        <is>
          <t>鲜水湾</t>
        </is>
      </c>
      <c r="E282" t="inlineStr">
        <is>
          <t>49316638994</t>
        </is>
      </c>
      <c r="F282" t="inlineStr">
        <is>
          <t>2026-03-05 09:12:01</t>
        </is>
      </c>
      <c r="G282" t="inlineStr">
        <is>
          <t>图文</t>
        </is>
      </c>
      <c r="H282" t="inlineStr">
        <is>
          <t>大虾基围虾王牌大虾厄瓜多尔白虾盐冻虾仁海洋大虾送礼顺丰包邮</t>
        </is>
      </c>
      <c r="I282" t="inlineStr">
        <is>
          <t>690aeb7be379430001e686ac</t>
        </is>
      </c>
      <c r="J282" t="inlineStr">
        <is>
          <t/>
        </is>
      </c>
      <c r="K282" t="n">
        <v>0.0</v>
      </c>
      <c r="L282" t="n">
        <v>0.0</v>
      </c>
      <c r="M282" t="n">
        <v>9.0</v>
      </c>
      <c r="N282" t="inlineStr">
        <is>
          <t>0.17647058823529413</t>
        </is>
      </c>
      <c r="O282" t="n">
        <v>8.0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inlineStr">
        <is>
          <t/>
        </is>
      </c>
      <c r="X282" t="n">
        <v>0.0</v>
      </c>
      <c r="Y282" t="n">
        <v>0.0</v>
      </c>
      <c r="Z282" t="n">
        <v>1.0</v>
      </c>
      <c r="AA282" t="n">
        <v>0.0</v>
      </c>
      <c r="AB282" t="n">
        <v>0.0</v>
      </c>
      <c r="AC282" t="n">
        <v>0.0</v>
      </c>
      <c r="AD282" t="n">
        <v>51.0</v>
      </c>
      <c r="AE282" t="n">
        <v>1.0</v>
      </c>
      <c r="AF282" t="n">
        <v>0.0</v>
      </c>
      <c r="AG282" t="n">
        <v>0.0</v>
      </c>
      <c r="AH282" t="n">
        <v>2.0</v>
      </c>
      <c r="AI282" t="n">
        <v>0.0</v>
      </c>
      <c r="AJ282" t="n">
        <v>0.0</v>
      </c>
      <c r="AK282" t="n">
        <v>93.45098039215686</v>
      </c>
      <c r="AL282" t="inlineStr">
        <is>
          <t/>
        </is>
      </c>
    </row>
    <row r="283">
      <c r="A283" t="inlineStr">
        <is>
          <t>感谢315🙏让我家这种无添加的虾仁被看见</t>
        </is>
      </c>
      <c r="B283" t="inlineStr">
        <is>
          <t>69c163a4000000002300793e</t>
        </is>
      </c>
      <c r="C283" s="282" t="n">
        <f>HYPERLINK("https://www.xiaohongshu.com/explore/69c163a4000000002300793e?xsec_token=TBltfkQyXS0u_Ko7SgIzuBYqYPIbSZEWkSKdBNkQLpaDA=&amp;xsec_source=pc_trdark","https://www.xiaohongshu.com/explore/69c163a4000000002300793e?xsec_token=TBltfkQyXS0u_Ko7SgIzuBYqYPIbSZEWkSKdBNkQLpaDA=&amp;xsec_source=pc_trdark")</f>
        <v>0.0</v>
      </c>
      <c r="D283" t="inlineStr">
        <is>
          <t>鲜水湾</t>
        </is>
      </c>
      <c r="E283" t="inlineStr">
        <is>
          <t>49316638994</t>
        </is>
      </c>
      <c r="F283" t="inlineStr">
        <is>
          <t>2026-03-24 00:00:36</t>
        </is>
      </c>
      <c r="G283" t="inlineStr">
        <is>
          <t>图文</t>
        </is>
      </c>
      <c r="H283" t="inlineStr">
        <is>
          <t>手剥虾仁 无冰衣无添加 低脂餐一人食 上班带饭 顺丰包邮 5盒装</t>
        </is>
      </c>
      <c r="I283" t="inlineStr">
        <is>
          <t>694baba01d450d00013662f0</t>
        </is>
      </c>
      <c r="J283" t="inlineStr">
        <is>
          <t/>
        </is>
      </c>
      <c r="K283" t="n">
        <v>69.0</v>
      </c>
      <c r="L283" t="n">
        <v>1.0</v>
      </c>
      <c r="M283" t="n">
        <v>16.0</v>
      </c>
      <c r="N283" t="n">
        <v>0.32</v>
      </c>
      <c r="O283" t="n">
        <v>15.0</v>
      </c>
      <c r="P283" t="n">
        <v>1.0</v>
      </c>
      <c r="Q283" t="n">
        <v>0.0625</v>
      </c>
      <c r="R283" t="inlineStr">
        <is>
          <t>0.06666666666666667</t>
        </is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6.0</v>
      </c>
      <c r="Z283" t="n">
        <v>0.0</v>
      </c>
      <c r="AA283" t="n">
        <v>0.0</v>
      </c>
      <c r="AB283" t="n">
        <v>0.0</v>
      </c>
      <c r="AC283" t="n">
        <v>0.0</v>
      </c>
      <c r="AD283" t="n">
        <v>50.0</v>
      </c>
      <c r="AE283" t="n">
        <v>1.0</v>
      </c>
      <c r="AF283" t="n">
        <v>0.0</v>
      </c>
      <c r="AG283" t="n">
        <v>0.0</v>
      </c>
      <c r="AH283" t="n">
        <v>1.0</v>
      </c>
      <c r="AI283" t="n">
        <v>0.0</v>
      </c>
      <c r="AJ283" t="n">
        <v>0.0</v>
      </c>
      <c r="AK283" t="n">
        <v>16.44</v>
      </c>
      <c r="AL283" t="inlineStr">
        <is>
          <t/>
        </is>
      </c>
    </row>
    <row r="284">
      <c r="A284" t="inlineStr">
        <is>
          <t>年后控体真花不了多少钱，69够吃一周了</t>
        </is>
      </c>
      <c r="B284" t="inlineStr">
        <is>
          <t>69bbc9c6000000001a0379e6</t>
        </is>
      </c>
      <c r="C284" s="283" t="n">
        <f>HYPERLINK("https://www.xiaohongshu.com/explore/69bbc9c6000000001a0379e6?xsec_token=TBbjiHoA30T3IRnkbtYIm1OxSddf9eHzcGykE9ubc0Lgk=&amp;xsec_source=pc_trdark","https://www.xiaohongshu.com/explore/69bbc9c6000000001a0379e6?xsec_token=TBbjiHoA30T3IRnkbtYIm1OxSddf9eHzcGykE9ubc0Lgk=&amp;xsec_source=pc_trdark")</f>
        <v>0.0</v>
      </c>
      <c r="D284" t="inlineStr">
        <is>
          <t>婉婉上班吃什么</t>
        </is>
      </c>
      <c r="E284" t="inlineStr">
        <is>
          <t>11434449706</t>
        </is>
      </c>
      <c r="F284" t="inlineStr">
        <is>
          <t>2026-03-19 18:02:46</t>
        </is>
      </c>
      <c r="G284" t="inlineStr">
        <is>
          <t>图文</t>
        </is>
      </c>
      <c r="H284" t="inlineStr">
        <is>
          <t>手剥虾仁 无冰衣无添加 低脂餐一人食 上班带饭 顺丰包邮 5盒装</t>
        </is>
      </c>
      <c r="I284" t="inlineStr">
        <is>
          <t>694baba01d450d00013662f0</t>
        </is>
      </c>
      <c r="J284" t="inlineStr">
        <is>
          <t/>
        </is>
      </c>
      <c r="K284" t="n">
        <v>0.0</v>
      </c>
      <c r="L284" t="n">
        <v>0.0</v>
      </c>
      <c r="M284" t="n">
        <v>16.0</v>
      </c>
      <c r="N284" t="n">
        <v>0.32</v>
      </c>
      <c r="O284" t="n">
        <v>14.0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inlineStr">
        <is>
          <t/>
        </is>
      </c>
      <c r="X284" t="n">
        <v>0.0</v>
      </c>
      <c r="Y284" t="n">
        <v>1.0</v>
      </c>
      <c r="Z284" t="n">
        <v>2.0</v>
      </c>
      <c r="AA284" t="n">
        <v>0.0</v>
      </c>
      <c r="AB284" t="n">
        <v>0.0</v>
      </c>
      <c r="AC284" t="n">
        <v>0.0</v>
      </c>
      <c r="AD284" t="n">
        <v>50.0</v>
      </c>
      <c r="AE284" t="n">
        <v>0.0</v>
      </c>
      <c r="AF284" t="n">
        <v>0.0</v>
      </c>
      <c r="AG284" t="n">
        <v>0.0</v>
      </c>
      <c r="AH284" t="n">
        <v>1.0</v>
      </c>
      <c r="AI284" t="n">
        <v>0.0</v>
      </c>
      <c r="AJ284" t="n">
        <v>0.0</v>
      </c>
      <c r="AK284" t="n">
        <v>14.2</v>
      </c>
      <c r="AL284" t="inlineStr">
        <is>
          <t/>
        </is>
      </c>
    </row>
    <row r="285">
      <c r="A285" t="inlineStr">
        <is>
          <t>身材管理期，回购N次的虾仁</t>
        </is>
      </c>
      <c r="B285" t="inlineStr">
        <is>
          <t>69c37d2400000000280091cf</t>
        </is>
      </c>
      <c r="C285" s="284" t="n">
        <f>HYPERLINK("https://www.xiaohongshu.com/explore/69c37d2400000000280091cf?xsec_token=TBedSEQ7qtT06AlsylOAiUwz9Bn-nHH8Uq6SfcVIvXlvY=&amp;xsec_source=pc_trdark","https://www.xiaohongshu.com/explore/69c37d2400000000280091cf?xsec_token=TBedSEQ7qtT06AlsylOAiUwz9Bn-nHH8Uq6SfcVIvXlvY=&amp;xsec_source=pc_trdark")</f>
        <v>0.0</v>
      </c>
      <c r="D285" t="inlineStr">
        <is>
          <t>婉婉上班吃什么</t>
        </is>
      </c>
      <c r="E285" t="inlineStr">
        <is>
          <t>11434449706</t>
        </is>
      </c>
      <c r="F285" t="inlineStr">
        <is>
          <t>2026-03-25 14:13:56</t>
        </is>
      </c>
      <c r="G285" t="inlineStr">
        <is>
          <t>图文</t>
        </is>
      </c>
      <c r="H285" t="inlineStr">
        <is>
          <t>手剥虾仁 无冰衣无添加 低脂餐一人食 上班带饭 顺丰包邮 5盒装</t>
        </is>
      </c>
      <c r="I285" t="inlineStr">
        <is>
          <t>694baba01d450d00013662f0</t>
        </is>
      </c>
      <c r="J285" t="inlineStr">
        <is>
          <t/>
        </is>
      </c>
      <c r="K285" t="n">
        <v>0.0</v>
      </c>
      <c r="L285" t="n">
        <v>0.0</v>
      </c>
      <c r="M285" t="n">
        <v>12.0</v>
      </c>
      <c r="N285" t="inlineStr">
        <is>
          <t>0.24489795918367346</t>
        </is>
      </c>
      <c r="O285" t="n">
        <v>12.0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inlineStr">
        <is>
          <t/>
        </is>
      </c>
      <c r="X285" t="n">
        <v>0.0</v>
      </c>
      <c r="Y285" t="n">
        <v>2.0</v>
      </c>
      <c r="Z285" t="n">
        <v>6.0</v>
      </c>
      <c r="AA285" t="n">
        <v>0.0</v>
      </c>
      <c r="AB285" t="n">
        <v>0.0</v>
      </c>
      <c r="AC285" t="n">
        <v>0.0</v>
      </c>
      <c r="AD285" t="n">
        <v>49.0</v>
      </c>
      <c r="AE285" t="n">
        <v>1.0</v>
      </c>
      <c r="AF285" t="n">
        <v>0.0</v>
      </c>
      <c r="AG285" t="n">
        <v>0.0</v>
      </c>
      <c r="AH285" t="n">
        <v>1.0</v>
      </c>
      <c r="AI285" t="n">
        <v>0.0</v>
      </c>
      <c r="AJ285" t="n">
        <v>0.0</v>
      </c>
      <c r="AK285" t="n">
        <v>9.755102040816327</v>
      </c>
      <c r="AL285" t="inlineStr">
        <is>
          <t/>
        </is>
      </c>
    </row>
    <row r="286">
      <c r="A286" t="inlineStr">
        <is>
          <t>年后管理，健身人值得按箱囤的大虾！</t>
        </is>
      </c>
      <c r="B286" t="inlineStr">
        <is>
          <t>69afbe380000000022023a73</t>
        </is>
      </c>
      <c r="C286" s="285" t="n">
        <f>HYPERLINK("https://www.xiaohongshu.com/explore/69afbe380000000022023a73?xsec_token=TBvA7Hz6ko-xGwfQy35gan6YrP0meCwAH1p-wVuuzyJUg=&amp;xsec_source=pc_trdark","https://www.xiaohongshu.com/explore/69afbe380000000022023a73?xsec_token=TBvA7Hz6ko-xGwfQy35gan6YrP0meCwAH1p-wVuuzyJUg=&amp;xsec_source=pc_trdark")</f>
        <v>0.0</v>
      </c>
      <c r="D286" t="inlineStr">
        <is>
          <t>鲜水湾甄选</t>
        </is>
      </c>
      <c r="E286" t="inlineStr">
        <is>
          <t>27401929161</t>
        </is>
      </c>
      <c r="F286" t="inlineStr">
        <is>
          <t>2026-03-10 14:46:16</t>
        </is>
      </c>
      <c r="G286" t="inlineStr">
        <is>
          <t>图文</t>
        </is>
      </c>
      <c r="H286" t="inlineStr">
        <is>
          <t>大虾基围虾王牌大虾厄瓜多尔白虾盐冻虾仁海洋大虾送礼顺丰包邮</t>
        </is>
      </c>
      <c r="I286" t="inlineStr">
        <is>
          <t>690aeb7be379430001e686ac</t>
        </is>
      </c>
      <c r="J286" t="inlineStr">
        <is>
          <t/>
        </is>
      </c>
      <c r="K286" t="n">
        <v>0.0</v>
      </c>
      <c r="L286" t="n">
        <v>0.0</v>
      </c>
      <c r="M286" t="n">
        <v>9.0</v>
      </c>
      <c r="N286" t="n">
        <v>0.1836734693877551</v>
      </c>
      <c r="O286" t="n">
        <v>8.0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inlineStr">
        <is>
          <t/>
        </is>
      </c>
      <c r="X286" t="n">
        <v>0.0</v>
      </c>
      <c r="Y286" t="n">
        <v>0.0</v>
      </c>
      <c r="Z286" t="n">
        <v>1.0</v>
      </c>
      <c r="AA286" t="n">
        <v>0.0</v>
      </c>
      <c r="AB286" t="n">
        <v>0.0</v>
      </c>
      <c r="AC286" t="n">
        <v>0.0</v>
      </c>
      <c r="AD286" t="n">
        <v>49.0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6.489795918367347</v>
      </c>
      <c r="AL286" t="inlineStr">
        <is>
          <t/>
        </is>
      </c>
    </row>
    <row r="287">
      <c r="A287" t="inlineStr">
        <is>
          <t>这么大的生蚝你能吃几个？</t>
        </is>
      </c>
      <c r="B287" t="inlineStr">
        <is>
          <t>69267780000000001e00ebe8</t>
        </is>
      </c>
      <c r="C287" s="286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287" t="inlineStr">
        <is>
          <t>婉婉上班吃什么</t>
        </is>
      </c>
      <c r="E287" t="inlineStr">
        <is>
          <t>11434449706</t>
        </is>
      </c>
      <c r="F287" t="inlineStr">
        <is>
          <t>2025-11-26 11:44:00</t>
        </is>
      </c>
      <c r="G287" t="inlineStr">
        <is>
          <t>视频</t>
        </is>
      </c>
      <c r="H287" t="inlineStr">
        <is>
          <t>生蚝乳山生蚝海蛎子顺丰包邮</t>
        </is>
      </c>
      <c r="I287" t="inlineStr">
        <is>
          <t>690c70971b787900010866cc</t>
        </is>
      </c>
      <c r="J287" t="n">
        <v>16.0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inlineStr">
        <is>
          <t/>
        </is>
      </c>
      <c r="R287" t="inlineStr">
        <is>
          <t/>
        </is>
      </c>
      <c r="S287" t="n">
        <v>0.0</v>
      </c>
      <c r="T287" t="n">
        <v>0.0</v>
      </c>
      <c r="U287" t="n">
        <v>0.0</v>
      </c>
      <c r="V287" t="n">
        <v>0.0</v>
      </c>
      <c r="W287" t="inlineStr">
        <is>
          <t/>
        </is>
      </c>
      <c r="X287" t="n">
        <v>0.0</v>
      </c>
      <c r="Y287" t="n">
        <v>0.0</v>
      </c>
      <c r="Z287" t="n">
        <v>1.0</v>
      </c>
      <c r="AA287" t="n">
        <v>0.0</v>
      </c>
      <c r="AB287" t="n">
        <v>0.0</v>
      </c>
      <c r="AC287" t="n">
        <v>0.0</v>
      </c>
      <c r="AD287" t="n">
        <v>49.0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11.673469387755102</v>
      </c>
      <c r="AL287" t="inlineStr">
        <is>
          <t>0.34210526315789475</t>
        </is>
      </c>
    </row>
    <row r="288">
      <c r="A288" t="inlineStr">
        <is>
          <t>春日减脂花不了多少！69块够吃整整一周～</t>
        </is>
      </c>
      <c r="B288" t="inlineStr">
        <is>
          <t>69c88fcd000000001e00efe1</t>
        </is>
      </c>
      <c r="C288" s="287" t="n">
        <f>HYPERLINK("https://www.xiaohongshu.com/explore/69c88fcd000000001e00efe1?xsec_token=TBSs0bsvi6YGXB042lLCz_JIGVtvM6GJtxdde7PdP0-84=&amp;xsec_source=pc_trdark","https://www.xiaohongshu.com/explore/69c88fcd000000001e00efe1?xsec_token=TBSs0bsvi6YGXB042lLCz_JIGVtvM6GJtxdde7PdP0-84=&amp;xsec_source=pc_trdark")</f>
        <v>0.0</v>
      </c>
      <c r="D288" t="inlineStr">
        <is>
          <t>菲菲上班吃什么</t>
        </is>
      </c>
      <c r="E288" t="inlineStr">
        <is>
          <t>49936530607</t>
        </is>
      </c>
      <c r="F288" t="inlineStr">
        <is>
          <t>2026-03-29 10:34:53</t>
        </is>
      </c>
      <c r="G288" t="inlineStr">
        <is>
          <t>图文</t>
        </is>
      </c>
      <c r="H288" t="inlineStr">
        <is>
          <t>手剥虾仁 无冰衣无添加 低脂餐一人食 上班带饭 顺丰包邮 5盒装</t>
        </is>
      </c>
      <c r="I288" t="inlineStr">
        <is>
          <t>694baba01d450d00013662f0</t>
        </is>
      </c>
      <c r="J288" t="inlineStr">
        <is>
          <t/>
        </is>
      </c>
      <c r="K288" t="n">
        <v>69.0</v>
      </c>
      <c r="L288" t="n">
        <v>1.0</v>
      </c>
      <c r="M288" t="n">
        <v>10.0</v>
      </c>
      <c r="N288" t="inlineStr">
        <is>
          <t>0.20833333333333334</t>
        </is>
      </c>
      <c r="O288" t="n">
        <v>10.0</v>
      </c>
      <c r="P288" t="n">
        <v>1.0</v>
      </c>
      <c r="Q288" t="n">
        <v>0.1</v>
      </c>
      <c r="R288" t="n">
        <v>0.1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1.0</v>
      </c>
      <c r="Z288" t="n">
        <v>4.0</v>
      </c>
      <c r="AA288" t="n">
        <v>0.0</v>
      </c>
      <c r="AB288" t="n">
        <v>0.0</v>
      </c>
      <c r="AC288" t="n">
        <v>0.0</v>
      </c>
      <c r="AD288" t="n">
        <v>48.0</v>
      </c>
      <c r="AE288" t="n">
        <v>0.0</v>
      </c>
      <c r="AF288" t="n">
        <v>0.0</v>
      </c>
      <c r="AG288" t="n">
        <v>0.0</v>
      </c>
      <c r="AH288" t="n">
        <v>1.0</v>
      </c>
      <c r="AI288" t="n">
        <v>0.0</v>
      </c>
      <c r="AJ288" t="n">
        <v>0.0</v>
      </c>
      <c r="AK288" t="n">
        <v>11.6875</v>
      </c>
      <c r="AL288" t="inlineStr">
        <is>
          <t/>
        </is>
      </c>
    </row>
    <row r="289">
      <c r="A289" t="inlineStr">
        <is>
          <t>这个练后餐我真的给到夯！</t>
        </is>
      </c>
      <c r="B289" t="inlineStr">
        <is>
          <t>69bb9b6a0000000023012ff1</t>
        </is>
      </c>
      <c r="C289" s="288" t="n">
        <f>HYPERLINK("https://www.xiaohongshu.com/explore/69bb9b6a0000000023012ff1?xsec_token=TBbjiHoA30T3IRnkbtYIm1O2jdzxCoWRDxquNwSr_l6G4=&amp;xsec_source=pc_trdark","https://www.xiaohongshu.com/explore/69bb9b6a0000000023012ff1?xsec_token=TBbjiHoA30T3IRnkbtYIm1O2jdzxCoWRDxquNwSr_l6G4=&amp;xsec_source=pc_trdark")</f>
        <v>0.0</v>
      </c>
      <c r="D289" t="inlineStr">
        <is>
          <t>鲜水湾甄选</t>
        </is>
      </c>
      <c r="E289" t="inlineStr">
        <is>
          <t>27401929161</t>
        </is>
      </c>
      <c r="F289" t="inlineStr">
        <is>
          <t>2026-03-19 14:44:58</t>
        </is>
      </c>
      <c r="G289" t="inlineStr">
        <is>
          <t>图文</t>
        </is>
      </c>
      <c r="H289" t="inlineStr">
        <is>
          <t>手剥虾仁 无冰衣无添加 低脂餐一人食 上班带饭 顺丰包邮 5盒装</t>
        </is>
      </c>
      <c r="I289" t="inlineStr">
        <is>
          <t>694baba01d450d00013662f0</t>
        </is>
      </c>
      <c r="J289" t="inlineStr">
        <is>
          <t/>
        </is>
      </c>
      <c r="K289" t="n">
        <v>0.0</v>
      </c>
      <c r="L289" t="n">
        <v>0.0</v>
      </c>
      <c r="M289" t="n">
        <v>4.0</v>
      </c>
      <c r="N289" t="inlineStr">
        <is>
          <t>0.08333333333333333</t>
        </is>
      </c>
      <c r="O289" t="n">
        <v>3.0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inlineStr">
        <is>
          <t/>
        </is>
      </c>
      <c r="X289" t="n">
        <v>0.0</v>
      </c>
      <c r="Y289" t="n">
        <v>0.0</v>
      </c>
      <c r="Z289" t="n">
        <v>1.0</v>
      </c>
      <c r="AA289" t="n">
        <v>0.0</v>
      </c>
      <c r="AB289" t="n">
        <v>0.0</v>
      </c>
      <c r="AC289" t="n">
        <v>0.0</v>
      </c>
      <c r="AD289" t="n">
        <v>48.0</v>
      </c>
      <c r="AE289" t="n">
        <v>0.0</v>
      </c>
      <c r="AF289" t="n">
        <v>0.0</v>
      </c>
      <c r="AG289" t="n">
        <v>0.0</v>
      </c>
      <c r="AH289" t="n">
        <v>1.0</v>
      </c>
      <c r="AI289" t="n">
        <v>0.0</v>
      </c>
      <c r="AJ289" t="n">
        <v>0.0</v>
      </c>
      <c r="AK289" t="n">
        <v>5.645833333333333</v>
      </c>
      <c r="AL289" t="inlineStr">
        <is>
          <t/>
        </is>
      </c>
    </row>
    <row r="290">
      <c r="A290" t="inlineStr">
        <is>
          <t>我q。。男朋友吃完瞬间有劲了。。</t>
        </is>
      </c>
      <c r="B290" t="inlineStr">
        <is>
          <t>69452411000000000d03daad</t>
        </is>
      </c>
      <c r="C290" s="289" t="n">
        <f>HYPERLINK("https://www.xiaohongshu.com/explore/69452411000000000d03daad?xsec_token=TB7p1vWXvB33zoX2lon7HfpcDKUirO3Fuhb5G31xPi3zk=&amp;xsec_source=pc_trdark","https://www.xiaohongshu.com/explore/69452411000000000d03daad?xsec_token=TB7p1vWXvB33zoX2lon7HfpcDKUirO3Fuhb5G31xPi3zk=&amp;xsec_source=pc_trdark")</f>
        <v>0.0</v>
      </c>
      <c r="D290" t="inlineStr">
        <is>
          <t>婉婉上班吃什么</t>
        </is>
      </c>
      <c r="E290" t="inlineStr">
        <is>
          <t>11434449706</t>
        </is>
      </c>
      <c r="F290" t="inlineStr">
        <is>
          <t>2025-12-19 18:08:17</t>
        </is>
      </c>
      <c r="G290" t="inlineStr">
        <is>
          <t>视频</t>
        </is>
      </c>
      <c r="H290" t="inlineStr">
        <is>
          <t>生蚝乳山生蚝海蛎子顺丰包邮</t>
        </is>
      </c>
      <c r="I290" t="inlineStr">
        <is>
          <t>690c70971b787900010866cc</t>
        </is>
      </c>
      <c r="J290" t="n">
        <v>21.0</v>
      </c>
      <c r="K290" t="n">
        <v>0.0</v>
      </c>
      <c r="L290" t="n">
        <v>0.0</v>
      </c>
      <c r="M290" t="n">
        <v>3.0</v>
      </c>
      <c r="N290" t="n">
        <v>0.0625</v>
      </c>
      <c r="O290" t="n">
        <v>2.0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inlineStr">
        <is>
          <t/>
        </is>
      </c>
      <c r="X290" t="n">
        <v>0.0</v>
      </c>
      <c r="Y290" t="n">
        <v>0.0</v>
      </c>
      <c r="Z290" t="n">
        <v>1.0</v>
      </c>
      <c r="AA290" t="n">
        <v>0.0</v>
      </c>
      <c r="AB290" t="n">
        <v>0.0</v>
      </c>
      <c r="AC290" t="n">
        <v>0.0</v>
      </c>
      <c r="AD290" t="n">
        <v>48.0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8.791666666666666</v>
      </c>
      <c r="AL290" t="inlineStr">
        <is>
          <t>0.15789473684210525</t>
        </is>
      </c>
    </row>
    <row r="291">
      <c r="A291" t="inlineStr">
        <is>
          <t>100块够吃一周的！和外卖说再见👋</t>
        </is>
      </c>
      <c r="B291" t="inlineStr">
        <is>
          <t>69c0c1fd0000000023015a4e</t>
        </is>
      </c>
      <c r="C291" s="290" t="n">
        <f>HYPERLINK("https://www.xiaohongshu.com/explore/69c0c1fd0000000023015a4e?xsec_token=TBlSRAgxB_sBYkF02kEEKO5zZd1eF8eXLXKM01ZZV1N2g=&amp;xsec_source=pc_trdark","https://www.xiaohongshu.com/explore/69c0c1fd0000000023015a4e?xsec_token=TBlSRAgxB_sBYkF02kEEKO5zZd1eF8eXLXKM01ZZV1N2g=&amp;xsec_source=pc_trdark")</f>
        <v>0.0</v>
      </c>
      <c r="D291" t="inlineStr">
        <is>
          <t>婉婉上班吃什么</t>
        </is>
      </c>
      <c r="E291" t="inlineStr">
        <is>
          <t>11434449706</t>
        </is>
      </c>
      <c r="F291" t="inlineStr">
        <is>
          <t>2026-03-23 12:30:53</t>
        </is>
      </c>
      <c r="G291" t="inlineStr">
        <is>
          <t>图文</t>
        </is>
      </c>
      <c r="H291" t="inlineStr">
        <is>
          <t>手剥虾仁 无冰衣无添加 低脂餐一人食 上班带饭 顺丰包邮 5盒装</t>
        </is>
      </c>
      <c r="I291" t="inlineStr">
        <is>
          <t>694baba01d450d00013662f0</t>
        </is>
      </c>
      <c r="J291" t="inlineStr">
        <is>
          <t/>
        </is>
      </c>
      <c r="K291" t="n">
        <v>69.0</v>
      </c>
      <c r="L291" t="n">
        <v>1.0</v>
      </c>
      <c r="M291" t="n">
        <v>7.0</v>
      </c>
      <c r="N291" t="inlineStr">
        <is>
          <t>0.14893617021276595</t>
        </is>
      </c>
      <c r="O291" t="n">
        <v>7.0</v>
      </c>
      <c r="P291" t="n">
        <v>1.0</v>
      </c>
      <c r="Q291" t="inlineStr">
        <is>
          <t>0.14285714285714285</t>
        </is>
      </c>
      <c r="R291" t="inlineStr">
        <is>
          <t>0.14285714285714285</t>
        </is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4.0</v>
      </c>
      <c r="Z291" t="n">
        <v>0.0</v>
      </c>
      <c r="AA291" t="n">
        <v>0.0</v>
      </c>
      <c r="AB291" t="n">
        <v>0.0</v>
      </c>
      <c r="AC291" t="n">
        <v>0.0</v>
      </c>
      <c r="AD291" t="n">
        <v>47.0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9.72340425531915</v>
      </c>
      <c r="AL291" t="inlineStr">
        <is>
          <t/>
        </is>
      </c>
    </row>
    <row r="292">
      <c r="A292" t="inlineStr">
        <is>
          <t>和老妈商量了，给独居人定制了小包装</t>
        </is>
      </c>
      <c r="B292" t="inlineStr">
        <is>
          <t>69b516b2000000001f00118d</t>
        </is>
      </c>
      <c r="C292" s="291" t="n">
        <f>HYPERLINK("https://www.xiaohongshu.com/explore/69b516b2000000001f00118d?xsec_token=TBYgTJ9EzKmyKny4Vfc-tHE2IDrRhsaucCtKDhXw9zTVg=&amp;xsec_source=pc_trdark","https://www.xiaohongshu.com/explore/69b516b2000000001f00118d?xsec_token=TBYgTJ9EzKmyKny4Vfc-tHE2IDrRhsaucCtKDhXw9zTVg=&amp;xsec_source=pc_trdark")</f>
        <v>0.0</v>
      </c>
      <c r="D292" t="inlineStr">
        <is>
          <t>鲜水湾</t>
        </is>
      </c>
      <c r="E292" t="inlineStr">
        <is>
          <t>49316638994</t>
        </is>
      </c>
      <c r="F292" t="inlineStr">
        <is>
          <t>2026-03-14 16:05:06</t>
        </is>
      </c>
      <c r="G292" t="inlineStr">
        <is>
          <t>图文</t>
        </is>
      </c>
      <c r="H292" t="inlineStr">
        <is>
          <t>手剥虾仁 无冰衣无添加 低脂餐一人食 上班带饭 顺丰包邮 5盒装</t>
        </is>
      </c>
      <c r="I292" t="inlineStr">
        <is>
          <t>694baba01d450d00013662f0</t>
        </is>
      </c>
      <c r="J292" t="inlineStr">
        <is>
          <t/>
        </is>
      </c>
      <c r="K292" t="n">
        <v>69.0</v>
      </c>
      <c r="L292" t="n">
        <v>1.0</v>
      </c>
      <c r="M292" t="n">
        <v>8.0</v>
      </c>
      <c r="N292" t="n">
        <v>0.1702127659574468</v>
      </c>
      <c r="O292" t="n">
        <v>6.0</v>
      </c>
      <c r="P292" t="n">
        <v>1.0</v>
      </c>
      <c r="Q292" t="n">
        <v>0.125</v>
      </c>
      <c r="R292" t="inlineStr">
        <is>
          <t>0.16666666666666666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1.0</v>
      </c>
      <c r="Z292" t="n">
        <v>4.0</v>
      </c>
      <c r="AA292" t="n">
        <v>0.0</v>
      </c>
      <c r="AB292" t="n">
        <v>0.0</v>
      </c>
      <c r="AC292" t="n">
        <v>0.0</v>
      </c>
      <c r="AD292" t="n">
        <v>47.0</v>
      </c>
      <c r="AE292" t="n">
        <v>0.0</v>
      </c>
      <c r="AF292" t="n">
        <v>1.0</v>
      </c>
      <c r="AG292" t="n">
        <v>0.0</v>
      </c>
      <c r="AH292" t="n">
        <v>2.0</v>
      </c>
      <c r="AI292" t="n">
        <v>0.0</v>
      </c>
      <c r="AJ292" t="n">
        <v>0.0</v>
      </c>
      <c r="AK292" t="n">
        <v>31.680851063829788</v>
      </c>
      <c r="AL292" t="inlineStr">
        <is>
          <t/>
        </is>
      </c>
    </row>
    <row r="293">
      <c r="A293" t="inlineStr">
        <is>
          <t>69块够吃一周！跟轻食外卖说再见👋</t>
        </is>
      </c>
      <c r="B293" t="inlineStr">
        <is>
          <t>69b9ff77000000001e00c6f6</t>
        </is>
      </c>
      <c r="C293" s="292" t="n">
        <f>HYPERLINK("https://www.xiaohongshu.com/explore/69b9ff77000000001e00c6f6?xsec_token=TBgv0wN35T_w0yZx7fmvlvfENEVz80flCoYM_4A5XkUAg=&amp;xsec_source=pc_trdark","https://www.xiaohongshu.com/explore/69b9ff77000000001e00c6f6?xsec_token=TBgv0wN35T_w0yZx7fmvlvfENEVz80flCoYM_4A5XkUAg=&amp;xsec_source=pc_trdark")</f>
        <v>0.0</v>
      </c>
      <c r="D293" t="inlineStr">
        <is>
          <t>婉婉上班吃什么</t>
        </is>
      </c>
      <c r="E293" t="inlineStr">
        <is>
          <t>11434449706</t>
        </is>
      </c>
      <c r="F293" t="inlineStr">
        <is>
          <t>2026-03-18 09:27:19</t>
        </is>
      </c>
      <c r="G293" t="inlineStr">
        <is>
          <t>图文</t>
        </is>
      </c>
      <c r="H293" t="inlineStr">
        <is>
          <t>手剥虾仁 无冰衣无添加 低脂餐一人食 上班带饭 顺丰包邮 5盒装</t>
        </is>
      </c>
      <c r="I293" t="inlineStr">
        <is>
          <t>694baba01d450d00013662f0</t>
        </is>
      </c>
      <c r="J293" t="inlineStr">
        <is>
          <t/>
        </is>
      </c>
      <c r="K293" t="n">
        <v>0.0</v>
      </c>
      <c r="L293" t="n">
        <v>0.0</v>
      </c>
      <c r="M293" t="n">
        <v>4.0</v>
      </c>
      <c r="N293" t="inlineStr">
        <is>
          <t>0.08695652173913043</t>
        </is>
      </c>
      <c r="O293" t="n">
        <v>3.0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inlineStr">
        <is>
          <t/>
        </is>
      </c>
      <c r="X293" t="n">
        <v>0.0</v>
      </c>
      <c r="Y293" t="n">
        <v>0.0</v>
      </c>
      <c r="Z293" t="n">
        <v>1.0</v>
      </c>
      <c r="AA293" t="n">
        <v>0.0</v>
      </c>
      <c r="AB293" t="n">
        <v>0.0</v>
      </c>
      <c r="AC293" t="n">
        <v>0.0</v>
      </c>
      <c r="AD293" t="n">
        <v>46.0</v>
      </c>
      <c r="AE293" t="n">
        <v>0.0</v>
      </c>
      <c r="AF293" t="n">
        <v>0.0</v>
      </c>
      <c r="AG293" t="n">
        <v>0.0</v>
      </c>
      <c r="AH293" t="n">
        <v>2.0</v>
      </c>
      <c r="AI293" t="n">
        <v>0.0</v>
      </c>
      <c r="AJ293" t="n">
        <v>0.0</v>
      </c>
      <c r="AK293" t="n">
        <v>10.869565217391305</v>
      </c>
      <c r="AL293" t="inlineStr">
        <is>
          <t/>
        </is>
      </c>
    </row>
    <row r="294">
      <c r="A294" t="inlineStr">
        <is>
          <t>我也不想囤啊，可它69到手五包大虾仁</t>
        </is>
      </c>
      <c r="B294" t="inlineStr">
        <is>
          <t>69b512010000000022026e60</t>
        </is>
      </c>
      <c r="C294" s="293" t="n">
        <f>HYPERLINK("https://www.xiaohongshu.com/explore/69b512010000000022026e60?xsec_token=TBYgTJ9EzKmyKny4Vfc-tHE8ET-493uhO09eN2yaB9e-w=&amp;xsec_source=pc_trdark","https://www.xiaohongshu.com/explore/69b512010000000022026e60?xsec_token=TBYgTJ9EzKmyKny4Vfc-tHE8ET-493uhO09eN2yaB9e-w=&amp;xsec_source=pc_trdark")</f>
        <v>0.0</v>
      </c>
      <c r="D294" t="inlineStr">
        <is>
          <t>婉婉上班吃什么</t>
        </is>
      </c>
      <c r="E294" t="inlineStr">
        <is>
          <t>11434449706</t>
        </is>
      </c>
      <c r="F294" t="inlineStr">
        <is>
          <t>2026-03-14 15:45:05</t>
        </is>
      </c>
      <c r="G294" t="inlineStr">
        <is>
          <t>图文</t>
        </is>
      </c>
      <c r="H294" t="inlineStr">
        <is>
          <t>手剥虾仁 无冰衣无添加 低脂餐一人食 上班带饭 顺丰包邮 5盒装</t>
        </is>
      </c>
      <c r="I294" t="inlineStr">
        <is>
          <t>694baba01d450d00013662f0</t>
        </is>
      </c>
      <c r="J294" t="inlineStr">
        <is>
          <t/>
        </is>
      </c>
      <c r="K294" t="n">
        <v>98.0</v>
      </c>
      <c r="L294" t="n">
        <v>1.0</v>
      </c>
      <c r="M294" t="n">
        <v>15.0</v>
      </c>
      <c r="N294" t="inlineStr">
        <is>
          <t>0.32608695652173914</t>
        </is>
      </c>
      <c r="O294" t="n">
        <v>14.0</v>
      </c>
      <c r="P294" t="n">
        <v>1.0</v>
      </c>
      <c r="Q294" t="inlineStr">
        <is>
          <t>0.06666666666666667</t>
        </is>
      </c>
      <c r="R294" t="inlineStr">
        <is>
          <t>0.07142857142857142</t>
        </is>
      </c>
      <c r="S294" t="n">
        <v>98.0</v>
      </c>
      <c r="T294" t="n">
        <v>1.0</v>
      </c>
      <c r="U294" t="n">
        <v>1.0</v>
      </c>
      <c r="V294" t="n">
        <v>98.0</v>
      </c>
      <c r="W294" t="n">
        <v>1.0</v>
      </c>
      <c r="X294" t="n">
        <v>1.0</v>
      </c>
      <c r="Y294" t="n">
        <v>3.0</v>
      </c>
      <c r="Z294" t="n">
        <v>0.0</v>
      </c>
      <c r="AA294" t="n">
        <v>0.0</v>
      </c>
      <c r="AB294" t="n">
        <v>0.0</v>
      </c>
      <c r="AC294" t="n">
        <v>0.0</v>
      </c>
      <c r="AD294" t="n">
        <v>46.0</v>
      </c>
      <c r="AE294" t="n">
        <v>1.0</v>
      </c>
      <c r="AF294" t="n">
        <v>0.0</v>
      </c>
      <c r="AG294" t="n">
        <v>0.0</v>
      </c>
      <c r="AH294" t="n">
        <v>1.0</v>
      </c>
      <c r="AI294" t="n">
        <v>0.0</v>
      </c>
      <c r="AJ294" t="n">
        <v>0.0</v>
      </c>
      <c r="AK294" t="n">
        <v>15.978260869565217</v>
      </c>
      <c r="AL294" t="inlineStr">
        <is>
          <t/>
        </is>
      </c>
    </row>
    <row r="295">
      <c r="A295" t="inlineStr">
        <is>
          <t>控体期不知道回购了多少袋的虾仁</t>
        </is>
      </c>
      <c r="B295" t="inlineStr">
        <is>
          <t>69ae737e000000001a0265ad</t>
        </is>
      </c>
      <c r="C295" s="294" t="n">
        <f>HYPERLINK("https://www.xiaohongshu.com/explore/69ae737e000000001a0265ad?xsec_token=TBy3i3TfmyKE7XGojG_cT9hdh06ePQSkl9_6GAiqMH1Fg=&amp;xsec_source=pc_trdark","https://www.xiaohongshu.com/explore/69ae737e000000001a0265ad?xsec_token=TBy3i3TfmyKE7XGojG_cT9hdh06ePQSkl9_6GAiqMH1Fg=&amp;xsec_source=pc_trdark")</f>
        <v>0.0</v>
      </c>
      <c r="D295" t="inlineStr">
        <is>
          <t>婉婉上班吃什么</t>
        </is>
      </c>
      <c r="E295" t="inlineStr">
        <is>
          <t>11434449706</t>
        </is>
      </c>
      <c r="F295" t="inlineStr">
        <is>
          <t>2026-03-09 15:15:10</t>
        </is>
      </c>
      <c r="G295" t="inlineStr">
        <is>
          <t>图文</t>
        </is>
      </c>
      <c r="H295" t="inlineStr">
        <is>
          <t>手剥虾仁 无冰衣无添加 低脂餐一人食 上班带饭 顺丰包邮 5盒装</t>
        </is>
      </c>
      <c r="I295" t="inlineStr">
        <is>
          <t>694baba01d450d00013662f0</t>
        </is>
      </c>
      <c r="J295" t="inlineStr">
        <is>
          <t/>
        </is>
      </c>
      <c r="K295" t="n">
        <v>96.0</v>
      </c>
      <c r="L295" t="n">
        <v>1.0</v>
      </c>
      <c r="M295" t="n">
        <v>9.0</v>
      </c>
      <c r="N295" t="n">
        <v>0.1956521739130435</v>
      </c>
      <c r="O295" t="n">
        <v>9.0</v>
      </c>
      <c r="P295" t="n">
        <v>1.0</v>
      </c>
      <c r="Q295" t="n">
        <v>0.1111111111111111</v>
      </c>
      <c r="R295" t="n">
        <v>0.1111111111111111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1.0</v>
      </c>
      <c r="AA295" t="n">
        <v>0.0</v>
      </c>
      <c r="AB295" t="n">
        <v>0.0</v>
      </c>
      <c r="AC295" t="n">
        <v>0.0</v>
      </c>
      <c r="AD295" t="n">
        <v>46.0</v>
      </c>
      <c r="AE295" t="n">
        <v>0.0</v>
      </c>
      <c r="AF295" t="n">
        <v>0.0</v>
      </c>
      <c r="AG295" t="n">
        <v>0.0</v>
      </c>
      <c r="AH295" t="n">
        <v>2.0</v>
      </c>
      <c r="AI295" t="n">
        <v>0.0</v>
      </c>
      <c r="AJ295" t="n">
        <v>0.0</v>
      </c>
      <c r="AK295" t="n">
        <v>7.021739130434782</v>
      </c>
      <c r="AL295" t="inlineStr">
        <is>
          <t/>
        </is>
      </c>
    </row>
    <row r="296">
      <c r="A296" t="inlineStr">
        <is>
          <t>和老爸商量了，决定为早八人定制专属小包装</t>
        </is>
      </c>
      <c r="B296" t="inlineStr">
        <is>
          <t>69a55512000000000d00b2c7</t>
        </is>
      </c>
      <c r="C296" s="295" t="n">
        <f>HYPERLINK("https://www.xiaohongshu.com/explore/69a55512000000000d00b2c7?xsec_token=TBYlw7GbYDMDbP_5WWJv6Kp_NNvu9Wpo4DVcaq9O9R3Iw=&amp;xsec_source=pc_trdark","https://www.xiaohongshu.com/explore/69a55512000000000d00b2c7?xsec_token=TBYlw7GbYDMDbP_5WWJv6Kp_NNvu9Wpo4DVcaq9O9R3Iw=&amp;xsec_source=pc_trdark")</f>
        <v>0.0</v>
      </c>
      <c r="D296" t="inlineStr">
        <is>
          <t>鲜水湾</t>
        </is>
      </c>
      <c r="E296" t="inlineStr">
        <is>
          <t>49316638994</t>
        </is>
      </c>
      <c r="F296" t="inlineStr">
        <is>
          <t>2026-03-02 17:14:58</t>
        </is>
      </c>
      <c r="G296" t="inlineStr">
        <is>
          <t>图文</t>
        </is>
      </c>
      <c r="H296" t="inlineStr">
        <is>
          <t>手剥虾仁 无冰衣无添加 低脂餐一人食 上班带饭 顺丰包邮 5盒装</t>
        </is>
      </c>
      <c r="I296" t="inlineStr">
        <is>
          <t>694baba01d450d00013662f0</t>
        </is>
      </c>
      <c r="J296" t="inlineStr">
        <is>
          <t/>
        </is>
      </c>
      <c r="K296" t="n">
        <v>0.0</v>
      </c>
      <c r="L296" t="n">
        <v>0.0</v>
      </c>
      <c r="M296" t="n">
        <v>9.0</v>
      </c>
      <c r="N296" t="n">
        <v>0.1956521739130435</v>
      </c>
      <c r="O296" t="n">
        <v>9.0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inlineStr">
        <is>
          <t/>
        </is>
      </c>
      <c r="X296" t="n">
        <v>0.0</v>
      </c>
      <c r="Y296" t="n">
        <v>2.0</v>
      </c>
      <c r="Z296" t="n">
        <v>0.0</v>
      </c>
      <c r="AA296" t="n">
        <v>0.0</v>
      </c>
      <c r="AB296" t="n">
        <v>0.0</v>
      </c>
      <c r="AC296" t="n">
        <v>0.0</v>
      </c>
      <c r="AD296" t="n">
        <v>46.0</v>
      </c>
      <c r="AE296" t="n">
        <v>0.0</v>
      </c>
      <c r="AF296" t="n">
        <v>0.0</v>
      </c>
      <c r="AG296" t="n">
        <v>0.0</v>
      </c>
      <c r="AH296" t="n">
        <v>2.0</v>
      </c>
      <c r="AI296" t="n">
        <v>0.0</v>
      </c>
      <c r="AJ296" t="n">
        <v>0.0</v>
      </c>
      <c r="AK296" t="n">
        <v>8.826086956521738</v>
      </c>
      <c r="AL296" t="inlineStr">
        <is>
          <t/>
        </is>
      </c>
    </row>
    <row r="297">
      <c r="A297" t="inlineStr">
        <is>
          <t>以为98元没多少，结果够我吃一周的了</t>
        </is>
      </c>
      <c r="B297" t="inlineStr">
        <is>
          <t>69a424e6000000000e00e78a</t>
        </is>
      </c>
      <c r="C297" s="296" t="n">
        <f>HYPERLINK("https://www.xiaohongshu.com/explore/69a424e6000000000e00e78a?xsec_token=TBLmCJorSrUdBsABTJAPHFq0Hp_RaMSV5JBH3LrWHsRV0=&amp;xsec_source=pc_trdark","https://www.xiaohongshu.com/explore/69a424e6000000000e00e78a?xsec_token=TBLmCJorSrUdBsABTJAPHFq0Hp_RaMSV5JBH3LrWHsRV0=&amp;xsec_source=pc_trdark")</f>
        <v>0.0</v>
      </c>
      <c r="D297" t="inlineStr">
        <is>
          <t>鲜水湾</t>
        </is>
      </c>
      <c r="E297" t="inlineStr">
        <is>
          <t>49316638994</t>
        </is>
      </c>
      <c r="F297" t="inlineStr">
        <is>
          <t>2026-03-01 19:37:10</t>
        </is>
      </c>
      <c r="G297" t="inlineStr">
        <is>
          <t>图文</t>
        </is>
      </c>
      <c r="H297" t="inlineStr">
        <is>
          <t>手剥虾仁 无冰衣无添加 低脂餐一人食 上班带饭 顺丰包邮 5盒装</t>
        </is>
      </c>
      <c r="I297" t="inlineStr">
        <is>
          <t>694baba01d450d00013662f0</t>
        </is>
      </c>
      <c r="J297" t="inlineStr">
        <is>
          <t/>
        </is>
      </c>
      <c r="K297" t="n">
        <v>0.0</v>
      </c>
      <c r="L297" t="n">
        <v>0.0</v>
      </c>
      <c r="M297" t="n">
        <v>11.0</v>
      </c>
      <c r="N297" t="n">
        <v>0.2391304347826087</v>
      </c>
      <c r="O297" t="n">
        <v>10.0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inlineStr">
        <is>
          <t/>
        </is>
      </c>
      <c r="X297" t="n">
        <v>0.0</v>
      </c>
      <c r="Y297" t="n">
        <v>1.0</v>
      </c>
      <c r="Z297" t="n">
        <v>1.0</v>
      </c>
      <c r="AA297" t="n">
        <v>0.0</v>
      </c>
      <c r="AB297" t="n">
        <v>0.0</v>
      </c>
      <c r="AC297" t="n">
        <v>0.0</v>
      </c>
      <c r="AD297" t="n">
        <v>46.0</v>
      </c>
      <c r="AE297" t="n">
        <v>2.0</v>
      </c>
      <c r="AF297" t="n">
        <v>1.0</v>
      </c>
      <c r="AG297" t="n">
        <v>3.0</v>
      </c>
      <c r="AH297" t="n">
        <v>3.0</v>
      </c>
      <c r="AI297" t="n">
        <v>0.0</v>
      </c>
      <c r="AJ297" t="n">
        <v>0.0</v>
      </c>
      <c r="AK297" t="n">
        <v>16.565217391304348</v>
      </c>
      <c r="AL297" t="inlineStr">
        <is>
          <t/>
        </is>
      </c>
    </row>
    <row r="298">
      <c r="A298" t="inlineStr">
        <is>
          <t>开始春日减脂，69块直接承包我一周减脂餐</t>
        </is>
      </c>
      <c r="B298" t="inlineStr">
        <is>
          <t>69cbd4ed000000001f006cd9</t>
        </is>
      </c>
      <c r="C298" s="297" t="n">
        <f>HYPERLINK("https://www.xiaohongshu.com/explore/69cbd4ed000000001f006cd9?xsec_token=TBNvk7eB588c7ey-qUUMF7OezF_9sSWz6xHK1fbXkRuUk=&amp;xsec_source=pc_trdark","https://www.xiaohongshu.com/explore/69cbd4ed000000001f006cd9?xsec_token=TBNvk7eB588c7ey-qUUMF7OezF_9sSWz6xHK1fbXkRuUk=&amp;xsec_source=pc_trdark")</f>
        <v>0.0</v>
      </c>
      <c r="D298" t="inlineStr">
        <is>
          <t>菲菲上班吃什么</t>
        </is>
      </c>
      <c r="E298" t="inlineStr">
        <is>
          <t>49936530607</t>
        </is>
      </c>
      <c r="F298" t="inlineStr">
        <is>
          <t>2026-03-31 22:06:37</t>
        </is>
      </c>
      <c r="G298" t="inlineStr">
        <is>
          <t>图文</t>
        </is>
      </c>
      <c r="H298" t="inlineStr">
        <is>
          <t>手剥虾仁 无冰衣无添加 低脂餐一人食 上班带饭 顺丰包邮 5盒装</t>
        </is>
      </c>
      <c r="I298" t="inlineStr">
        <is>
          <t>694baba01d450d00013662f0</t>
        </is>
      </c>
      <c r="J298" t="inlineStr">
        <is>
          <t/>
        </is>
      </c>
      <c r="K298" t="n">
        <v>69.0</v>
      </c>
      <c r="L298" t="n">
        <v>1.0</v>
      </c>
      <c r="M298" t="n">
        <v>11.0</v>
      </c>
      <c r="N298" t="inlineStr">
        <is>
          <t>0.24444444444444444</t>
        </is>
      </c>
      <c r="O298" t="n">
        <v>9.0</v>
      </c>
      <c r="P298" t="n">
        <v>1.0</v>
      </c>
      <c r="Q298" t="inlineStr">
        <is>
          <t>0.09090909090909091</t>
        </is>
      </c>
      <c r="R298" t="n">
        <v>0.1111111111111111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3.0</v>
      </c>
      <c r="Z298" t="n">
        <v>1.0</v>
      </c>
      <c r="AA298" t="n">
        <v>0.0</v>
      </c>
      <c r="AB298" t="n">
        <v>0.0</v>
      </c>
      <c r="AC298" t="n">
        <v>0.0</v>
      </c>
      <c r="AD298" t="n">
        <v>45.0</v>
      </c>
      <c r="AE298" t="n">
        <v>1.0</v>
      </c>
      <c r="AF298" t="n">
        <v>0.0</v>
      </c>
      <c r="AG298" t="n">
        <v>0.0</v>
      </c>
      <c r="AH298" t="n">
        <v>1.0</v>
      </c>
      <c r="AI298" t="n">
        <v>1.0</v>
      </c>
      <c r="AJ298" t="n">
        <v>0.0</v>
      </c>
      <c r="AK298" t="n">
        <v>14.244444444444444</v>
      </c>
      <c r="AL298" t="inlineStr">
        <is>
          <t/>
        </is>
      </c>
    </row>
    <row r="299">
      <c r="A299" t="inlineStr">
        <is>
          <t>笑亖 从83斤瘦子同事那里偷师学到的好东西</t>
        </is>
      </c>
      <c r="B299" t="inlineStr">
        <is>
          <t>69ad9c17000000002801e24f</t>
        </is>
      </c>
      <c r="C299" s="298" t="n">
        <f>HYPERLINK("https://www.xiaohongshu.com/explore/69ad9c17000000002801e24f?xsec_token=TBsauhpT2AwjD8NBV7WI8gZBIUdXJgtEYtaugRHxfhJwQ=&amp;xsec_source=pc_trdark","https://www.xiaohongshu.com/explore/69ad9c17000000002801e24f?xsec_token=TBsauhpT2AwjD8NBV7WI8gZBIUdXJgtEYtaugRHxfhJwQ=&amp;xsec_source=pc_trdark")</f>
        <v>0.0</v>
      </c>
      <c r="D299" t="inlineStr">
        <is>
          <t>婉婉上班吃什么</t>
        </is>
      </c>
      <c r="E299" t="inlineStr">
        <is>
          <t>11434449706</t>
        </is>
      </c>
      <c r="F299" t="inlineStr">
        <is>
          <t>2026-03-08 23:56:07</t>
        </is>
      </c>
      <c r="G299" t="inlineStr">
        <is>
          <t>图文</t>
        </is>
      </c>
      <c r="H299" t="inlineStr">
        <is>
          <t>大虾基围虾王牌大虾厄瓜多尔白虾盐冻虾仁海洋大虾送礼顺丰包邮</t>
        </is>
      </c>
      <c r="I299" t="inlineStr">
        <is>
          <t>690aeb7be379430001e686ac</t>
        </is>
      </c>
      <c r="J299" t="inlineStr">
        <is>
          <t/>
        </is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inlineStr">
        <is>
          <t/>
        </is>
      </c>
      <c r="R299" t="inlineStr">
        <is>
          <t/>
        </is>
      </c>
      <c r="S299" t="n">
        <v>0.0</v>
      </c>
      <c r="T299" t="n">
        <v>0.0</v>
      </c>
      <c r="U299" t="n">
        <v>0.0</v>
      </c>
      <c r="V299" t="n">
        <v>0.0</v>
      </c>
      <c r="W299" t="inlineStr">
        <is>
          <t/>
        </is>
      </c>
      <c r="X299" t="n">
        <v>0.0</v>
      </c>
      <c r="Y299" t="n">
        <v>0.0</v>
      </c>
      <c r="Z299" t="n">
        <v>1.0</v>
      </c>
      <c r="AA299" t="n">
        <v>0.0</v>
      </c>
      <c r="AB299" t="n">
        <v>0.0</v>
      </c>
      <c r="AC299" t="n">
        <v>0.0</v>
      </c>
      <c r="AD299" t="n">
        <v>45.0</v>
      </c>
      <c r="AE299" t="n">
        <v>0.0</v>
      </c>
      <c r="AF299" t="n">
        <v>1.0</v>
      </c>
      <c r="AG299" t="n">
        <v>0.0</v>
      </c>
      <c r="AH299" t="n">
        <v>1.0</v>
      </c>
      <c r="AI299" t="n">
        <v>0.0</v>
      </c>
      <c r="AJ299" t="n">
        <v>0.0</v>
      </c>
      <c r="AK299" t="n">
        <v>7.4222222222222225</v>
      </c>
      <c r="AL299" t="inlineStr">
        <is>
          <t/>
        </is>
      </c>
    </row>
    <row r="300">
      <c r="A300" t="inlineStr">
        <is>
          <t>用生蚝下个面，也太过瘾了吧！涮锅也好吃！</t>
        </is>
      </c>
      <c r="B300" t="inlineStr">
        <is>
          <t>691a7b380000000007021be5</t>
        </is>
      </c>
      <c r="C300" s="299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300" t="inlineStr">
        <is>
          <t>婉婉上班吃什么</t>
        </is>
      </c>
      <c r="E300" t="inlineStr">
        <is>
          <t>11434449706</t>
        </is>
      </c>
      <c r="F300" t="inlineStr">
        <is>
          <t>2025-11-17 10:32:41</t>
        </is>
      </c>
      <c r="G300" t="inlineStr">
        <is>
          <t>视频</t>
        </is>
      </c>
      <c r="H300" t="inlineStr">
        <is>
          <t>生蚝乳山生蚝海蛎子顺丰包邮</t>
        </is>
      </c>
      <c r="I300" t="inlineStr">
        <is>
          <t>690c70971b787900010866cc</t>
        </is>
      </c>
      <c r="J300" t="n">
        <v>60.0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inlineStr">
        <is>
          <t/>
        </is>
      </c>
      <c r="R300" t="inlineStr">
        <is>
          <t/>
        </is>
      </c>
      <c r="S300" t="n">
        <v>0.0</v>
      </c>
      <c r="T300" t="n">
        <v>0.0</v>
      </c>
      <c r="U300" t="n">
        <v>0.0</v>
      </c>
      <c r="V300" t="n">
        <v>0.0</v>
      </c>
      <c r="W300" t="inlineStr">
        <is>
          <t/>
        </is>
      </c>
      <c r="X300" t="n">
        <v>0.0</v>
      </c>
      <c r="Y300" t="n">
        <v>0.0</v>
      </c>
      <c r="Z300" t="n">
        <v>1.0</v>
      </c>
      <c r="AA300" t="n">
        <v>0.0</v>
      </c>
      <c r="AB300" t="n">
        <v>0.0</v>
      </c>
      <c r="AC300" t="n">
        <v>0.0</v>
      </c>
      <c r="AD300" t="n">
        <v>45.0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9.155555555555555</v>
      </c>
      <c r="AL300" t="n">
        <v>0.0</v>
      </c>
    </row>
    <row r="301">
      <c r="A301" t="inlineStr">
        <is>
          <t>70💰的购买力解决我上班一周的带饭</t>
        </is>
      </c>
      <c r="B301" t="inlineStr">
        <is>
          <t>69bfe1a2000000001f0036e7</t>
        </is>
      </c>
      <c r="C301" s="300" t="n">
        <f>HYPERLINK("https://www.xiaohongshu.com/explore/69bfe1a2000000001f0036e7?xsec_token=TBpIkisErOCQ5-QyFALsYM8JSJ7eY2wdnpL6u8zHCepQ4=&amp;xsec_source=pc_trdark","https://www.xiaohongshu.com/explore/69bfe1a2000000001f0036e7?xsec_token=TBpIkisErOCQ5-QyFALsYM8JSJ7eY2wdnpL6u8zHCepQ4=&amp;xsec_source=pc_trdark")</f>
        <v>0.0</v>
      </c>
      <c r="D301" t="inlineStr">
        <is>
          <t>鲜水湾</t>
        </is>
      </c>
      <c r="E301" t="inlineStr">
        <is>
          <t>49316638994</t>
        </is>
      </c>
      <c r="F301" t="inlineStr">
        <is>
          <t>2026-03-22 20:33:38</t>
        </is>
      </c>
      <c r="G301" t="inlineStr">
        <is>
          <t>图文</t>
        </is>
      </c>
      <c r="H301" t="inlineStr">
        <is>
          <t>手剥虾仁 无冰衣无添加 低脂餐一人食 上班带饭 顺丰包邮 5盒装</t>
        </is>
      </c>
      <c r="I301" t="inlineStr">
        <is>
          <t>694baba01d450d00013662f0</t>
        </is>
      </c>
      <c r="J301" t="inlineStr">
        <is>
          <t/>
        </is>
      </c>
      <c r="K301" t="n">
        <v>0.0</v>
      </c>
      <c r="L301" t="n">
        <v>0.0</v>
      </c>
      <c r="M301" t="n">
        <v>10.0</v>
      </c>
      <c r="N301" t="inlineStr">
        <is>
          <t>0.22727272727272727</t>
        </is>
      </c>
      <c r="O301" t="n">
        <v>10.0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inlineStr">
        <is>
          <t/>
        </is>
      </c>
      <c r="X301" t="n">
        <v>0.0</v>
      </c>
      <c r="Y301" t="n">
        <v>3.0</v>
      </c>
      <c r="Z301" t="n">
        <v>2.0</v>
      </c>
      <c r="AA301" t="n">
        <v>0.0</v>
      </c>
      <c r="AB301" t="n">
        <v>0.0</v>
      </c>
      <c r="AC301" t="n">
        <v>0.0</v>
      </c>
      <c r="AD301" t="n">
        <v>44.0</v>
      </c>
      <c r="AE301" t="n">
        <v>2.0</v>
      </c>
      <c r="AF301" t="n">
        <v>0.0</v>
      </c>
      <c r="AG301" t="n">
        <v>0.0</v>
      </c>
      <c r="AH301" t="n">
        <v>2.0</v>
      </c>
      <c r="AI301" t="n">
        <v>0.0</v>
      </c>
      <c r="AJ301" t="n">
        <v>0.0</v>
      </c>
      <c r="AK301" t="n">
        <v>11.795454545454545</v>
      </c>
      <c r="AL301" t="inlineStr">
        <is>
          <t/>
        </is>
      </c>
    </row>
    <row r="302">
      <c r="A302" t="inlineStr">
        <is>
          <t>原来吃的干净真的会掉秤</t>
        </is>
      </c>
      <c r="B302" t="inlineStr">
        <is>
          <t>69bbe136000000001a02fda0</t>
        </is>
      </c>
      <c r="C302" s="301" t="n">
        <f>HYPERLINK("https://www.xiaohongshu.com/explore/69bbe136000000001a02fda0?xsec_token=TBbjiHoA30T3IRnkbtYIm1O_JKMd4soDAAfbY5q_9PaqI=&amp;xsec_source=pc_trdark","https://www.xiaohongshu.com/explore/69bbe136000000001a02fda0?xsec_token=TBbjiHoA30T3IRnkbtYIm1O_JKMd4soDAAfbY5q_9PaqI=&amp;xsec_source=pc_trdark")</f>
        <v>0.0</v>
      </c>
      <c r="D302" t="inlineStr">
        <is>
          <t>婉婉上班吃什么</t>
        </is>
      </c>
      <c r="E302" t="inlineStr">
        <is>
          <t>11434449706</t>
        </is>
      </c>
      <c r="F302" t="inlineStr">
        <is>
          <t>2026-03-19 19:42:46</t>
        </is>
      </c>
      <c r="G302" t="inlineStr">
        <is>
          <t>图文</t>
        </is>
      </c>
      <c r="H302" t="inlineStr">
        <is>
          <t>手剥虾仁 无冰衣无添加 低脂餐一人食 上班带饭 顺丰包邮 5盒装</t>
        </is>
      </c>
      <c r="I302" t="inlineStr">
        <is>
          <t>694baba01d450d00013662f0</t>
        </is>
      </c>
      <c r="J302" t="inlineStr">
        <is>
          <t/>
        </is>
      </c>
      <c r="K302" t="n">
        <v>0.0</v>
      </c>
      <c r="L302" t="n">
        <v>0.0</v>
      </c>
      <c r="M302" t="n">
        <v>2.0</v>
      </c>
      <c r="N302" t="inlineStr">
        <is>
          <t>0.045454545454545456</t>
        </is>
      </c>
      <c r="O302" t="n">
        <v>2.0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inlineStr">
        <is>
          <t/>
        </is>
      </c>
      <c r="X302" t="n">
        <v>0.0</v>
      </c>
      <c r="Y302" t="n">
        <v>1.0</v>
      </c>
      <c r="Z302" t="n">
        <v>0.0</v>
      </c>
      <c r="AA302" t="n">
        <v>0.0</v>
      </c>
      <c r="AB302" t="n">
        <v>0.0</v>
      </c>
      <c r="AC302" t="n">
        <v>0.0</v>
      </c>
      <c r="AD302" t="n">
        <v>44.0</v>
      </c>
      <c r="AE302" t="n">
        <v>0.0</v>
      </c>
      <c r="AF302" t="n">
        <v>0.0</v>
      </c>
      <c r="AG302" t="n">
        <v>0.0</v>
      </c>
      <c r="AH302" t="n">
        <v>1.0</v>
      </c>
      <c r="AI302" t="n">
        <v>0.0</v>
      </c>
      <c r="AJ302" t="n">
        <v>0.0</v>
      </c>
      <c r="AK302" t="n">
        <v>7.090909090909091</v>
      </c>
      <c r="AL302" t="inlineStr">
        <is>
          <t/>
        </is>
      </c>
    </row>
    <row r="303">
      <c r="A303" t="inlineStr">
        <is>
          <t>又囤上了😂100块承包了半个多月的减脂餐</t>
        </is>
      </c>
      <c r="B303" t="inlineStr">
        <is>
          <t>69bbbb3d000000001f006d84</t>
        </is>
      </c>
      <c r="C303" s="302" t="n">
        <f>HYPERLINK("https://www.xiaohongshu.com/explore/69bbbb3d000000001f006d84?xsec_token=TBbjiHoA30T3IRnkbtYIm1O1AY1_S8RzBxvY1GjLZ5CRs=&amp;xsec_source=pc_trdark","https://www.xiaohongshu.com/explore/69bbbb3d000000001f006d84?xsec_token=TBbjiHoA30T3IRnkbtYIm1O1AY1_S8RzBxvY1GjLZ5CRs=&amp;xsec_source=pc_trdark")</f>
        <v>0.0</v>
      </c>
      <c r="D303" t="inlineStr">
        <is>
          <t>鲜水湾</t>
        </is>
      </c>
      <c r="E303" t="inlineStr">
        <is>
          <t>49316638994</t>
        </is>
      </c>
      <c r="F303" t="inlineStr">
        <is>
          <t>2026-03-19 17:00:45</t>
        </is>
      </c>
      <c r="G303" t="inlineStr">
        <is>
          <t>图文</t>
        </is>
      </c>
      <c r="H303" t="inlineStr">
        <is>
          <t>手剥虾仁 无冰衣无添加 低脂餐一人食 上班带饭 顺丰包邮 5盒装</t>
        </is>
      </c>
      <c r="I303" t="inlineStr">
        <is>
          <t>694baba01d450d00013662f0</t>
        </is>
      </c>
      <c r="J303" t="inlineStr">
        <is>
          <t/>
        </is>
      </c>
      <c r="K303" t="n">
        <v>197.0</v>
      </c>
      <c r="L303" t="n">
        <v>2.0</v>
      </c>
      <c r="M303" t="n">
        <v>8.0</v>
      </c>
      <c r="N303" t="inlineStr">
        <is>
          <t>0.18181818181818182</t>
        </is>
      </c>
      <c r="O303" t="n">
        <v>7.0</v>
      </c>
      <c r="P303" t="n">
        <v>2.0</v>
      </c>
      <c r="Q303" t="n">
        <v>0.25</v>
      </c>
      <c r="R303" t="n">
        <v>0.2857142857142857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3.0</v>
      </c>
      <c r="Z303" t="n">
        <v>0.0</v>
      </c>
      <c r="AA303" t="n">
        <v>0.0</v>
      </c>
      <c r="AB303" t="n">
        <v>0.0</v>
      </c>
      <c r="AC303" t="n">
        <v>0.0</v>
      </c>
      <c r="AD303" t="n">
        <v>44.0</v>
      </c>
      <c r="AE303" t="n">
        <v>0.0</v>
      </c>
      <c r="AF303" t="n">
        <v>0.0</v>
      </c>
      <c r="AG303" t="n">
        <v>0.0</v>
      </c>
      <c r="AH303" t="n">
        <v>2.0</v>
      </c>
      <c r="AI303" t="n">
        <v>0.0</v>
      </c>
      <c r="AJ303" t="n">
        <v>0.0</v>
      </c>
      <c r="AK303" t="n">
        <v>9.477272727272727</v>
      </c>
      <c r="AL303" t="inlineStr">
        <is>
          <t/>
        </is>
      </c>
    </row>
    <row r="304">
      <c r="A304" t="inlineStr">
        <is>
          <t>独居女生必囤！这个健康餐我已经回购N次🍤</t>
        </is>
      </c>
      <c r="B304" t="inlineStr">
        <is>
          <t>69b6d05b000000001e00c338</t>
        </is>
      </c>
      <c r="C304" s="303" t="n">
        <f>HYPERLINK("https://www.xiaohongshu.com/explore/69b6d05b000000001e00c338?xsec_token=TBwpaEqA4ODk9qkUKPtwfpqdHjUFIVCbjgghwzMyl0gtY=&amp;xsec_source=pc_trdark","https://www.xiaohongshu.com/explore/69b6d05b000000001e00c338?xsec_token=TBwpaEqA4ODk9qkUKPtwfpqdHjUFIVCbjgghwzMyl0gtY=&amp;xsec_source=pc_trdark")</f>
        <v>0.0</v>
      </c>
      <c r="D304" t="inlineStr">
        <is>
          <t>婉婉上班吃什么</t>
        </is>
      </c>
      <c r="E304" t="inlineStr">
        <is>
          <t>11434449706</t>
        </is>
      </c>
      <c r="F304" t="inlineStr">
        <is>
          <t>2026-03-15 23:29:31</t>
        </is>
      </c>
      <c r="G304" t="inlineStr">
        <is>
          <t>图文</t>
        </is>
      </c>
      <c r="H304" t="inlineStr">
        <is>
          <t>手剥虾仁 无冰衣无添加 低脂餐一人食 上班带饭 顺丰包邮 5盒装</t>
        </is>
      </c>
      <c r="I304" t="inlineStr">
        <is>
          <t>694baba01d450d00013662f0</t>
        </is>
      </c>
      <c r="J304" t="inlineStr">
        <is>
          <t/>
        </is>
      </c>
      <c r="K304" t="n">
        <v>69.0</v>
      </c>
      <c r="L304" t="n">
        <v>1.0</v>
      </c>
      <c r="M304" t="n">
        <v>4.0</v>
      </c>
      <c r="N304" t="inlineStr">
        <is>
          <t>0.09090909090909091</t>
        </is>
      </c>
      <c r="O304" t="n">
        <v>3.0</v>
      </c>
      <c r="P304" t="n">
        <v>1.0</v>
      </c>
      <c r="Q304" t="n">
        <v>0.25</v>
      </c>
      <c r="R304" t="n">
        <v>0.3333333333333333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44.0</v>
      </c>
      <c r="AE304" t="n">
        <v>3.0</v>
      </c>
      <c r="AF304" t="n">
        <v>0.0</v>
      </c>
      <c r="AG304" t="n">
        <v>0.0</v>
      </c>
      <c r="AH304" t="n">
        <v>1.0</v>
      </c>
      <c r="AI304" t="n">
        <v>0.0</v>
      </c>
      <c r="AJ304" t="n">
        <v>0.0</v>
      </c>
      <c r="AK304" t="n">
        <v>9.863636363636363</v>
      </c>
      <c r="AL304" t="inlineStr">
        <is>
          <t/>
        </is>
      </c>
    </row>
    <row r="305">
      <c r="A305" t="inlineStr">
        <is>
          <t>青岛无冰衣手剥大虾仁入驻小红书了！！</t>
        </is>
      </c>
      <c r="B305" t="inlineStr">
        <is>
          <t>69cb3f80000000002003a5d1</t>
        </is>
      </c>
      <c r="C305" s="304" t="n">
        <f>HYPERLINK("https://www.xiaohongshu.com/explore/69cb3f80000000002003a5d1?xsec_token=TBNvk7eB588c7ey-qUUMF7ORtthKugWghWI6APJvv_W1k=&amp;xsec_source=pc_trdark","https://www.xiaohongshu.com/explore/69cb3f80000000002003a5d1?xsec_token=TBNvk7eB588c7ey-qUUMF7ORtthKugWghWI6APJvv_W1k=&amp;xsec_source=pc_trdark")</f>
        <v>0.0</v>
      </c>
      <c r="D305" t="inlineStr">
        <is>
          <t>鲜水湾</t>
        </is>
      </c>
      <c r="E305" t="inlineStr">
        <is>
          <t>49316638994</t>
        </is>
      </c>
      <c r="F305" t="inlineStr">
        <is>
          <t>2026-03-31 11:29:04</t>
        </is>
      </c>
      <c r="G305" t="inlineStr">
        <is>
          <t>图文</t>
        </is>
      </c>
      <c r="H305" t="inlineStr">
        <is>
          <t>手剥虾仁 无冰衣无添加 低脂餐一人食 上班带饭 顺丰包邮 5盒装</t>
        </is>
      </c>
      <c r="I305" t="inlineStr">
        <is>
          <t>694baba01d450d00013662f0</t>
        </is>
      </c>
      <c r="J305" t="inlineStr">
        <is>
          <t/>
        </is>
      </c>
      <c r="K305" t="n">
        <v>0.0</v>
      </c>
      <c r="L305" t="n">
        <v>0.0</v>
      </c>
      <c r="M305" t="n">
        <v>11.0</v>
      </c>
      <c r="N305" t="n">
        <v>0.2558139534883721</v>
      </c>
      <c r="O305" t="n">
        <v>11.0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inlineStr">
        <is>
          <t/>
        </is>
      </c>
      <c r="X305" t="n">
        <v>0.0</v>
      </c>
      <c r="Y305" t="n">
        <v>5.0</v>
      </c>
      <c r="Z305" t="n">
        <v>2.0</v>
      </c>
      <c r="AA305" t="n">
        <v>0.0</v>
      </c>
      <c r="AB305" t="n">
        <v>0.0</v>
      </c>
      <c r="AC305" t="n">
        <v>0.0</v>
      </c>
      <c r="AD305" t="n">
        <v>43.0</v>
      </c>
      <c r="AE305" t="n">
        <v>2.0</v>
      </c>
      <c r="AF305" t="n">
        <v>0.0</v>
      </c>
      <c r="AG305" t="n">
        <v>0.0</v>
      </c>
      <c r="AH305" t="n">
        <v>2.0</v>
      </c>
      <c r="AI305" t="n">
        <v>0.0</v>
      </c>
      <c r="AJ305" t="n">
        <v>0.0</v>
      </c>
      <c r="AK305" t="n">
        <v>7.27906976744186</v>
      </c>
      <c r="AL305" t="inlineStr">
        <is>
          <t/>
        </is>
      </c>
    </row>
    <row r="306">
      <c r="A306" t="inlineStr">
        <is>
          <t>年后减脂真花不了几个钱，69够吃一周</t>
        </is>
      </c>
      <c r="B306" t="inlineStr">
        <is>
          <t>69bbf8ee0000000023015a28</t>
        </is>
      </c>
      <c r="C306" s="305" t="n">
        <f>HYPERLINK("https://www.xiaohongshu.com/explore/69bbf8ee0000000023015a28?xsec_token=TBbjiHoA30T3IRnkbtYIm1OwAAs42xQmZ3Mvz1dYD5wTg=&amp;xsec_source=pc_trdark","https://www.xiaohongshu.com/explore/69bbf8ee0000000023015a28?xsec_token=TBbjiHoA30T3IRnkbtYIm1OwAAs42xQmZ3Mvz1dYD5wTg=&amp;xsec_source=pc_trdark")</f>
        <v>0.0</v>
      </c>
      <c r="D306" t="inlineStr">
        <is>
          <t>鲜水湾</t>
        </is>
      </c>
      <c r="E306" t="inlineStr">
        <is>
          <t>49316638994</t>
        </is>
      </c>
      <c r="F306" t="inlineStr">
        <is>
          <t>2026-03-19 21:23:58</t>
        </is>
      </c>
      <c r="G306" t="inlineStr">
        <is>
          <t>图文</t>
        </is>
      </c>
      <c r="H306" t="inlineStr">
        <is>
          <t>手剥虾仁 无冰衣无添加 低脂餐一人食 上班带饭 顺丰包邮 5盒装</t>
        </is>
      </c>
      <c r="I306" t="inlineStr">
        <is>
          <t>694baba01d450d00013662f0</t>
        </is>
      </c>
      <c r="J306" t="inlineStr">
        <is>
          <t/>
        </is>
      </c>
      <c r="K306" t="n">
        <v>0.0</v>
      </c>
      <c r="L306" t="n">
        <v>0.0</v>
      </c>
      <c r="M306" t="n">
        <v>5.0</v>
      </c>
      <c r="N306" t="inlineStr">
        <is>
          <t>0.11627906976744186</t>
        </is>
      </c>
      <c r="O306" t="n">
        <v>5.0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inlineStr">
        <is>
          <t/>
        </is>
      </c>
      <c r="X306" t="n">
        <v>0.0</v>
      </c>
      <c r="Y306" t="n">
        <v>0.0</v>
      </c>
      <c r="Z306" t="n">
        <v>1.0</v>
      </c>
      <c r="AA306" t="n">
        <v>0.0</v>
      </c>
      <c r="AB306" t="n">
        <v>0.0</v>
      </c>
      <c r="AC306" t="n">
        <v>0.0</v>
      </c>
      <c r="AD306" t="n">
        <v>43.0</v>
      </c>
      <c r="AE306" t="n">
        <v>1.0</v>
      </c>
      <c r="AF306" t="n">
        <v>0.0</v>
      </c>
      <c r="AG306" t="n">
        <v>0.0</v>
      </c>
      <c r="AH306" t="n">
        <v>3.0</v>
      </c>
      <c r="AI306" t="n">
        <v>0.0</v>
      </c>
      <c r="AJ306" t="n">
        <v>0.0</v>
      </c>
      <c r="AK306" t="n">
        <v>8.069767441860465</v>
      </c>
      <c r="AL306" t="inlineStr">
        <is>
          <t/>
        </is>
      </c>
    </row>
    <row r="307">
      <c r="A307" t="inlineStr">
        <is>
          <t>明兰，你是陪我吃饭最多的人</t>
        </is>
      </c>
      <c r="B307" t="inlineStr">
        <is>
          <t>69ae92ee000000001a02fa72</t>
        </is>
      </c>
      <c r="C307" s="306" t="n">
        <f>HYPERLINK("https://www.xiaohongshu.com/explore/69ae92ee000000001a02fa72?xsec_token=TBy3i3TfmyKE7XGojG_cT9hfOFSalmIzIX_YSfV9qW7s0=&amp;xsec_source=pc_trdark","https://www.xiaohongshu.com/explore/69ae92ee000000001a02fa72?xsec_token=TBy3i3TfmyKE7XGojG_cT9hfOFSalmIzIX_YSfV9qW7s0=&amp;xsec_source=pc_trdark")</f>
        <v>0.0</v>
      </c>
      <c r="D307" t="inlineStr">
        <is>
          <t>婉婉上班吃什么</t>
        </is>
      </c>
      <c r="E307" t="inlineStr">
        <is>
          <t>11434449706</t>
        </is>
      </c>
      <c r="F307" t="inlineStr">
        <is>
          <t>2026-03-09 17:29:19</t>
        </is>
      </c>
      <c r="G307" t="inlineStr">
        <is>
          <t>图文</t>
        </is>
      </c>
      <c r="H307" t="inlineStr">
        <is>
          <t>大虾基围虾王牌大虾厄瓜多尔白虾盐冻虾仁海洋大虾送礼顺丰包邮</t>
        </is>
      </c>
      <c r="I307" t="inlineStr">
        <is>
          <t>690aeb7be379430001e686ac</t>
        </is>
      </c>
      <c r="J307" t="inlineStr">
        <is>
          <t/>
        </is>
      </c>
      <c r="K307" t="n">
        <v>0.0</v>
      </c>
      <c r="L307" t="n">
        <v>0.0</v>
      </c>
      <c r="M307" t="n">
        <v>2.0</v>
      </c>
      <c r="N307" t="inlineStr">
        <is>
          <t>0.046511627906976744</t>
        </is>
      </c>
      <c r="O307" t="n">
        <v>2.0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inlineStr">
        <is>
          <t/>
        </is>
      </c>
      <c r="X307" t="n">
        <v>0.0</v>
      </c>
      <c r="Y307" t="n">
        <v>1.0</v>
      </c>
      <c r="Z307" t="n">
        <v>0.0</v>
      </c>
      <c r="AA307" t="n">
        <v>0.0</v>
      </c>
      <c r="AB307" t="n">
        <v>0.0</v>
      </c>
      <c r="AC307" t="n">
        <v>0.0</v>
      </c>
      <c r="AD307" t="n">
        <v>43.0</v>
      </c>
      <c r="AE307" t="n">
        <v>5.0</v>
      </c>
      <c r="AF307" t="n">
        <v>0.0</v>
      </c>
      <c r="AG307" t="n">
        <v>0.0</v>
      </c>
      <c r="AH307" t="n">
        <v>1.0</v>
      </c>
      <c r="AI307" t="n">
        <v>0.0</v>
      </c>
      <c r="AJ307" t="n">
        <v>0.0</v>
      </c>
      <c r="AK307" t="n">
        <v>8.976744186046512</v>
      </c>
      <c r="AL307" t="inlineStr">
        <is>
          <t/>
        </is>
      </c>
    </row>
    <row r="308">
      <c r="A308" t="inlineStr">
        <is>
          <t>我宣布这是管理期解馋天花板！</t>
        </is>
      </c>
      <c r="B308" t="inlineStr">
        <is>
          <t>69c8f5fd00000000220294cd</t>
        </is>
      </c>
      <c r="C308" s="307" t="n">
        <f>HYPERLINK("https://www.xiaohongshu.com/explore/69c8f5fd00000000220294cd?xsec_token=TBSs0bsvi6YGXB042lLCz_JEoPg41IHbFy4Jz0jglpGtk=&amp;xsec_source=pc_trdark","https://www.xiaohongshu.com/explore/69c8f5fd00000000220294cd?xsec_token=TBSs0bsvi6YGXB042lLCz_JEoPg41IHbFy4Jz0jglpGtk=&amp;xsec_source=pc_trdark")</f>
        <v>0.0</v>
      </c>
      <c r="D308" t="inlineStr">
        <is>
          <t>鲜水湾</t>
        </is>
      </c>
      <c r="E308" t="inlineStr">
        <is>
          <t>49316638994</t>
        </is>
      </c>
      <c r="F308" t="inlineStr">
        <is>
          <t>2026-03-29 17:50:53</t>
        </is>
      </c>
      <c r="G308" t="inlineStr">
        <is>
          <t>图文</t>
        </is>
      </c>
      <c r="H308" t="inlineStr">
        <is>
          <t>智利三文鱼切块·整条三文鱼·深海鱼一人食健康饮食</t>
        </is>
      </c>
      <c r="I308" t="inlineStr">
        <is>
          <t>691ac562a524ee0001b51d7b</t>
        </is>
      </c>
      <c r="J308" t="inlineStr">
        <is>
          <t/>
        </is>
      </c>
      <c r="K308" t="n">
        <v>0.0</v>
      </c>
      <c r="L308" t="n">
        <v>0.0</v>
      </c>
      <c r="M308" t="n">
        <v>2.0</v>
      </c>
      <c r="N308" t="inlineStr">
        <is>
          <t>0.047619047619047616</t>
        </is>
      </c>
      <c r="O308" t="n">
        <v>2.0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inlineStr">
        <is>
          <t/>
        </is>
      </c>
      <c r="X308" t="n">
        <v>0.0</v>
      </c>
      <c r="Y308" t="n">
        <v>0.0</v>
      </c>
      <c r="Z308" t="n">
        <v>1.0</v>
      </c>
      <c r="AA308" t="n">
        <v>0.0</v>
      </c>
      <c r="AB308" t="n">
        <v>0.0</v>
      </c>
      <c r="AC308" t="n">
        <v>0.0</v>
      </c>
      <c r="AD308" t="n">
        <v>42.0</v>
      </c>
      <c r="AE308" t="n">
        <v>0.0</v>
      </c>
      <c r="AF308" t="n">
        <v>0.0</v>
      </c>
      <c r="AG308" t="n">
        <v>0.0</v>
      </c>
      <c r="AH308" t="n">
        <v>1.0</v>
      </c>
      <c r="AI308" t="n">
        <v>0.0</v>
      </c>
      <c r="AJ308" t="n">
        <v>0.0</v>
      </c>
      <c r="AK308" t="n">
        <v>10.166666666666666</v>
      </c>
      <c r="AL308" t="inlineStr">
        <is>
          <t/>
        </is>
      </c>
    </row>
    <row r="309">
      <c r="A309" t="inlineStr">
        <is>
          <t>区区69竟然够我吃一周了😂</t>
        </is>
      </c>
      <c r="B309" t="inlineStr">
        <is>
          <t>69c146cd000000002003a7c1</t>
        </is>
      </c>
      <c r="C309" s="308" t="n">
        <f>HYPERLINK("https://www.xiaohongshu.com/explore/69c146cd000000002003a7c1?xsec_token=TBltfkQyXS0u_Ko7SgIzuBYvj6Nmm3ZUprI1MEbWYlQZA=&amp;xsec_source=pc_trdark","https://www.xiaohongshu.com/explore/69c146cd000000002003a7c1?xsec_token=TBltfkQyXS0u_Ko7SgIzuBYvj6Nmm3ZUprI1MEbWYlQZA=&amp;xsec_source=pc_trdark")</f>
        <v>0.0</v>
      </c>
      <c r="D309" t="inlineStr">
        <is>
          <t>鲜水湾</t>
        </is>
      </c>
      <c r="E309" t="inlineStr">
        <is>
          <t>49316638994</t>
        </is>
      </c>
      <c r="F309" t="inlineStr">
        <is>
          <t>2026-03-23 21:57:33</t>
        </is>
      </c>
      <c r="G309" t="inlineStr">
        <is>
          <t>图文</t>
        </is>
      </c>
      <c r="H309" t="inlineStr">
        <is>
          <t>手剥虾仁 无冰衣无添加 低脂餐一人食 上班带饭 顺丰包邮 5盒装</t>
        </is>
      </c>
      <c r="I309" t="inlineStr">
        <is>
          <t>694baba01d450d00013662f0</t>
        </is>
      </c>
      <c r="J309" t="inlineStr">
        <is>
          <t/>
        </is>
      </c>
      <c r="K309" t="n">
        <v>69.0</v>
      </c>
      <c r="L309" t="n">
        <v>1.0</v>
      </c>
      <c r="M309" t="n">
        <v>10.0</v>
      </c>
      <c r="N309" t="inlineStr">
        <is>
          <t>0.23809523809523808</t>
        </is>
      </c>
      <c r="O309" t="n">
        <v>9.0</v>
      </c>
      <c r="P309" t="n">
        <v>1.0</v>
      </c>
      <c r="Q309" t="n">
        <v>0.1</v>
      </c>
      <c r="R309" t="n">
        <v>0.1111111111111111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42.0</v>
      </c>
      <c r="AE309" t="n">
        <v>1.0</v>
      </c>
      <c r="AF309" t="n">
        <v>0.0</v>
      </c>
      <c r="AG309" t="n">
        <v>0.0</v>
      </c>
      <c r="AH309" t="n">
        <v>3.0</v>
      </c>
      <c r="AI309" t="n">
        <v>0.0</v>
      </c>
      <c r="AJ309" t="n">
        <v>0.0</v>
      </c>
      <c r="AK309" t="n">
        <v>15.595238095238095</v>
      </c>
      <c r="AL309" t="inlineStr">
        <is>
          <t/>
        </is>
      </c>
    </row>
    <row r="310">
      <c r="A310" t="inlineStr">
        <is>
          <t>减脂党必囤！冷冻大虾真的太省心了</t>
        </is>
      </c>
      <c r="B310" t="inlineStr">
        <is>
          <t>69ae3512000000002801e740</t>
        </is>
      </c>
      <c r="C310" s="309" t="n">
        <f>HYPERLINK("https://www.xiaohongshu.com/explore/69ae3512000000002801e740?xsec_token=TBy3i3TfmyKE7XGojG_cT9hcspv3szCmlRgnXBF6up6JE=&amp;xsec_source=pc_trdark","https://www.xiaohongshu.com/explore/69ae3512000000002801e740?xsec_token=TBy3i3TfmyKE7XGojG_cT9hcspv3szCmlRgnXBF6up6JE=&amp;xsec_source=pc_trdark")</f>
        <v>0.0</v>
      </c>
      <c r="D310" t="inlineStr">
        <is>
          <t>婉婉上班吃什么</t>
        </is>
      </c>
      <c r="E310" t="inlineStr">
        <is>
          <t>11434449706</t>
        </is>
      </c>
      <c r="F310" t="inlineStr">
        <is>
          <t>2026-03-09 10:48:50</t>
        </is>
      </c>
      <c r="G310" t="inlineStr">
        <is>
          <t>图文</t>
        </is>
      </c>
      <c r="H310" t="inlineStr">
        <is>
          <t>大虾基围虾王牌大虾厄瓜多尔白虾盐冻虾仁海洋大虾送礼顺丰包邮</t>
        </is>
      </c>
      <c r="I310" t="inlineStr">
        <is>
          <t>690aeb7be379430001e686ac</t>
        </is>
      </c>
      <c r="J310" t="inlineStr">
        <is>
          <t/>
        </is>
      </c>
      <c r="K310" t="n">
        <v>0.0</v>
      </c>
      <c r="L310" t="n">
        <v>0.0</v>
      </c>
      <c r="M310" t="n">
        <v>5.0</v>
      </c>
      <c r="N310" t="inlineStr">
        <is>
          <t>0.11904761904761904</t>
        </is>
      </c>
      <c r="O310" t="n">
        <v>5.0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inlineStr">
        <is>
          <t/>
        </is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42.0</v>
      </c>
      <c r="AE310" t="n">
        <v>2.0</v>
      </c>
      <c r="AF310" t="n">
        <v>0.0</v>
      </c>
      <c r="AG310" t="n">
        <v>0.0</v>
      </c>
      <c r="AH310" t="n">
        <v>2.0</v>
      </c>
      <c r="AI310" t="n">
        <v>0.0</v>
      </c>
      <c r="AJ310" t="n">
        <v>0.0</v>
      </c>
      <c r="AK310" t="n">
        <v>95.07142857142857</v>
      </c>
      <c r="AL310" t="inlineStr">
        <is>
          <t/>
        </is>
      </c>
    </row>
    <row r="311">
      <c r="A311" t="inlineStr">
        <is>
          <t>笑亖 从83斤瘦子同事那里偷师学到的好东西</t>
        </is>
      </c>
      <c r="B311" t="inlineStr">
        <is>
          <t>69ad9d28000000000e03ee6e</t>
        </is>
      </c>
      <c r="C311" s="310" t="n">
        <f>HYPERLINK("https://www.xiaohongshu.com/explore/69ad9d28000000000e03ee6e?xsec_token=TBsauhpT2AwjD8NBV7WI8gZPxXNnRn-1DelJg6E3GHPu4=&amp;xsec_source=pc_trdark","https://www.xiaohongshu.com/explore/69ad9d28000000000e03ee6e?xsec_token=TBsauhpT2AwjD8NBV7WI8gZPxXNnRn-1DelJg6E3GHPu4=&amp;xsec_source=pc_trdark")</f>
        <v>0.0</v>
      </c>
      <c r="D311" t="inlineStr">
        <is>
          <t>鲜水湾</t>
        </is>
      </c>
      <c r="E311" t="inlineStr">
        <is>
          <t>49316638994</t>
        </is>
      </c>
      <c r="F311" t="inlineStr">
        <is>
          <t>2026-03-09 00:00:40</t>
        </is>
      </c>
      <c r="G311" t="inlineStr">
        <is>
          <t>图文</t>
        </is>
      </c>
      <c r="H311" t="inlineStr">
        <is>
          <t>大虾基围虾王牌大虾厄瓜多尔白虾盐冻虾仁海洋大虾送礼顺丰包邮</t>
        </is>
      </c>
      <c r="I311" t="inlineStr">
        <is>
          <t>690aeb7be379430001e686ac</t>
        </is>
      </c>
      <c r="J311" t="inlineStr">
        <is>
          <t/>
        </is>
      </c>
      <c r="K311" t="n">
        <v>0.0</v>
      </c>
      <c r="L311" t="n">
        <v>0.0</v>
      </c>
      <c r="M311" t="n">
        <v>3.0</v>
      </c>
      <c r="N311" t="inlineStr">
        <is>
          <t>0.07142857142857142</t>
        </is>
      </c>
      <c r="O311" t="n">
        <v>3.0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inlineStr">
        <is>
          <t/>
        </is>
      </c>
      <c r="X311" t="n">
        <v>0.0</v>
      </c>
      <c r="Y311" t="n">
        <v>0.0</v>
      </c>
      <c r="Z311" t="n">
        <v>2.0</v>
      </c>
      <c r="AA311" t="n">
        <v>0.0</v>
      </c>
      <c r="AB311" t="n">
        <v>0.0</v>
      </c>
      <c r="AC311" t="n">
        <v>0.0</v>
      </c>
      <c r="AD311" t="n">
        <v>42.0</v>
      </c>
      <c r="AE311" t="n">
        <v>0.0</v>
      </c>
      <c r="AF311" t="n">
        <v>0.0</v>
      </c>
      <c r="AG311" t="n">
        <v>0.0</v>
      </c>
      <c r="AH311" t="n">
        <v>1.0</v>
      </c>
      <c r="AI311" t="n">
        <v>0.0</v>
      </c>
      <c r="AJ311" t="n">
        <v>0.0</v>
      </c>
      <c r="AK311" t="n">
        <v>8.238095238095237</v>
      </c>
      <c r="AL311" t="inlineStr">
        <is>
          <t/>
        </is>
      </c>
    </row>
    <row r="312">
      <c r="A312" t="inlineStr">
        <is>
          <t>我健身教练推荐的</t>
        </is>
      </c>
      <c r="B312" t="inlineStr">
        <is>
          <t>69b971b900000000230225e8</t>
        </is>
      </c>
      <c r="C312" s="311" t="n">
        <f>HYPERLINK("https://www.xiaohongshu.com/explore/69b971b900000000230225e8?xsec_token=TBgv0wN35T_w0yZx7fmvlvfKWeNOiTFpC878FA_laii7k=&amp;xsec_source=pc_trdark","https://www.xiaohongshu.com/explore/69b971b900000000230225e8?xsec_token=TBgv0wN35T_w0yZx7fmvlvfKWeNOiTFpC878FA_laii7k=&amp;xsec_source=pc_trdark")</f>
        <v>0.0</v>
      </c>
      <c r="D312" t="inlineStr">
        <is>
          <t>鲜水湾甄选</t>
        </is>
      </c>
      <c r="E312" t="inlineStr">
        <is>
          <t>27401929161</t>
        </is>
      </c>
      <c r="F312" t="inlineStr">
        <is>
          <t>2026-03-17 23:22:33</t>
        </is>
      </c>
      <c r="G312" t="inlineStr">
        <is>
          <t>图文</t>
        </is>
      </c>
      <c r="H312" t="inlineStr">
        <is>
          <t>手剥虾仁 无冰衣无添加 低脂餐一人食 上班带饭 顺丰包邮 5盒装</t>
        </is>
      </c>
      <c r="I312" t="inlineStr">
        <is>
          <t>694baba01d450d00013662f0</t>
        </is>
      </c>
      <c r="J312" t="inlineStr">
        <is>
          <t/>
        </is>
      </c>
      <c r="K312" t="n">
        <v>0.0</v>
      </c>
      <c r="L312" t="n">
        <v>0.0</v>
      </c>
      <c r="M312" t="n">
        <v>1.0</v>
      </c>
      <c r="N312" t="inlineStr">
        <is>
          <t>0.024390243902439025</t>
        </is>
      </c>
      <c r="O312" t="n">
        <v>1.0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inlineStr">
        <is>
          <t/>
        </is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41.0</v>
      </c>
      <c r="AE312" t="n">
        <v>0.0</v>
      </c>
      <c r="AF312" t="n">
        <v>0.0</v>
      </c>
      <c r="AG312" t="n">
        <v>0.0</v>
      </c>
      <c r="AH312" t="n">
        <v>3.0</v>
      </c>
      <c r="AI312" t="n">
        <v>0.0</v>
      </c>
      <c r="AJ312" t="n">
        <v>0.0</v>
      </c>
      <c r="AK312" t="n">
        <v>7.560975609756097</v>
      </c>
      <c r="AL312" t="inlineStr">
        <is>
          <t/>
        </is>
      </c>
    </row>
    <row r="313">
      <c r="A313" t="inlineStr">
        <is>
          <t>被催很久的小包装虾仁，上架了</t>
        </is>
      </c>
      <c r="B313" t="inlineStr">
        <is>
          <t>69b7ad78000000001e00ff44</t>
        </is>
      </c>
      <c r="C313" s="312" t="n">
        <f>HYPERLINK("https://www.xiaohongshu.com/explore/69b7ad78000000001e00ff44?xsec_token=TBioiHaRPpzHnl86RCtCFk9vHyZTQS-ewj_aUrY709vrE=&amp;xsec_source=pc_trdark","https://www.xiaohongshu.com/explore/69b7ad78000000001e00ff44?xsec_token=TBioiHaRPpzHnl86RCtCFk9vHyZTQS-ewj_aUrY709vrE=&amp;xsec_source=pc_trdark")</f>
        <v>0.0</v>
      </c>
      <c r="D313" t="inlineStr">
        <is>
          <t>鲜水湾</t>
        </is>
      </c>
      <c r="E313" t="inlineStr">
        <is>
          <t>49316638994</t>
        </is>
      </c>
      <c r="F313" t="inlineStr">
        <is>
          <t>2026-03-16 15:12:56</t>
        </is>
      </c>
      <c r="G313" t="inlineStr">
        <is>
          <t>图文</t>
        </is>
      </c>
      <c r="H313" t="inlineStr">
        <is>
          <t>手剥虾仁 无冰衣无添加 低脂餐一人食 上班带饭 顺丰包邮 5盒装</t>
        </is>
      </c>
      <c r="I313" t="inlineStr">
        <is>
          <t>694baba01d450d00013662f0</t>
        </is>
      </c>
      <c r="J313" t="inlineStr">
        <is>
          <t/>
        </is>
      </c>
      <c r="K313" t="n">
        <v>0.0</v>
      </c>
      <c r="L313" t="n">
        <v>0.0</v>
      </c>
      <c r="M313" t="n">
        <v>7.0</v>
      </c>
      <c r="N313" t="inlineStr">
        <is>
          <t>0.17073170731707318</t>
        </is>
      </c>
      <c r="O313" t="n">
        <v>4.0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inlineStr">
        <is>
          <t/>
        </is>
      </c>
      <c r="X313" t="n">
        <v>0.0</v>
      </c>
      <c r="Y313" t="n">
        <v>1.0</v>
      </c>
      <c r="Z313" t="n">
        <v>7.0</v>
      </c>
      <c r="AA313" t="n">
        <v>0.0</v>
      </c>
      <c r="AB313" t="n">
        <v>0.0</v>
      </c>
      <c r="AC313" t="n">
        <v>0.0</v>
      </c>
      <c r="AD313" t="n">
        <v>41.0</v>
      </c>
      <c r="AE313" t="n">
        <v>0.0</v>
      </c>
      <c r="AF313" t="n">
        <v>0.0</v>
      </c>
      <c r="AG313" t="n">
        <v>0.0</v>
      </c>
      <c r="AH313" t="n">
        <v>3.0</v>
      </c>
      <c r="AI313" t="n">
        <v>0.0</v>
      </c>
      <c r="AJ313" t="n">
        <v>0.0</v>
      </c>
      <c r="AK313" t="n">
        <v>11.317073170731707</v>
      </c>
      <c r="AL313" t="inlineStr">
        <is>
          <t/>
        </is>
      </c>
    </row>
    <row r="314">
      <c r="A314" t="inlineStr">
        <is>
          <t>重新定义10多块钱的购买力！</t>
        </is>
      </c>
      <c r="B314" t="inlineStr">
        <is>
          <t>696f47ec000000001a0210c5</t>
        </is>
      </c>
      <c r="C314" s="313" t="n">
        <f>HYPERLINK("https://www.xiaohongshu.com/explore/696f47ec000000001a0210c5?xsec_token=TBhNblbQcUsDvO_PJ-ZmFokkoRIXnWkHX1a6mUqLdCJ5s=&amp;xsec_source=pc_trdark","https://www.xiaohongshu.com/explore/696f47ec000000001a0210c5?xsec_token=TBhNblbQcUsDvO_PJ-ZmFokkoRIXnWkHX1a6mUqLdCJ5s=&amp;xsec_source=pc_trdark")</f>
        <v>0.0</v>
      </c>
      <c r="D314" t="inlineStr">
        <is>
          <t>婉婉上班吃什么</t>
        </is>
      </c>
      <c r="E314" t="inlineStr">
        <is>
          <t>11434449706</t>
        </is>
      </c>
      <c r="F314" t="inlineStr">
        <is>
          <t>2026-01-20 17:16:28</t>
        </is>
      </c>
      <c r="G314" t="inlineStr">
        <is>
          <t>视频</t>
        </is>
      </c>
      <c r="H314" t="inlineStr">
        <is>
          <t>生蚝乳山生蚝海蛎子顺丰包邮</t>
        </is>
      </c>
      <c r="I314" t="inlineStr">
        <is>
          <t>690c70971b787900010866cc</t>
        </is>
      </c>
      <c r="J314" t="n">
        <v>13.0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inlineStr">
        <is>
          <t/>
        </is>
      </c>
      <c r="R314" t="inlineStr">
        <is>
          <t/>
        </is>
      </c>
      <c r="S314" t="n">
        <v>0.0</v>
      </c>
      <c r="T314" t="n">
        <v>0.0</v>
      </c>
      <c r="U314" t="n">
        <v>0.0</v>
      </c>
      <c r="V314" t="n">
        <v>0.0</v>
      </c>
      <c r="W314" t="inlineStr">
        <is>
          <t/>
        </is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41.0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4.829268292682927</v>
      </c>
      <c r="AL314" t="inlineStr">
        <is>
          <t>0.13636363636363635</t>
        </is>
      </c>
    </row>
    <row r="315">
      <c r="A315" t="inlineStr">
        <is>
          <t>姐的体态直接焊亖在高蛋白上！</t>
        </is>
      </c>
      <c r="B315" t="inlineStr">
        <is>
          <t>69c625700000000023014616</t>
        </is>
      </c>
      <c r="C315" s="314" t="n">
        <f>HYPERLINK("https://www.xiaohongshu.com/explore/69c625700000000023014616?xsec_token=TBR8u6ZWGQ_m04-W6r1rkZPDvU2Q5QwrofWpspEfjCr-w=&amp;xsec_source=pc_trdark","https://www.xiaohongshu.com/explore/69c625700000000023014616?xsec_token=TBR8u6ZWGQ_m04-W6r1rkZPDvU2Q5QwrofWpspEfjCr-w=&amp;xsec_source=pc_trdark")</f>
        <v>0.0</v>
      </c>
      <c r="D315" t="inlineStr">
        <is>
          <t>婉婉上班吃什么</t>
        </is>
      </c>
      <c r="E315" t="inlineStr">
        <is>
          <t>11434449706</t>
        </is>
      </c>
      <c r="F315" t="inlineStr">
        <is>
          <t>2026-03-27 14:36:32</t>
        </is>
      </c>
      <c r="G315" t="inlineStr">
        <is>
          <t>图文</t>
        </is>
      </c>
      <c r="H315" t="inlineStr">
        <is>
          <t>手剥虾仁 无冰衣无添加 低脂餐一人食 上班带饭 顺丰包邮 5盒装</t>
        </is>
      </c>
      <c r="I315" t="inlineStr">
        <is>
          <t>694baba01d450d00013662f0</t>
        </is>
      </c>
      <c r="J315" t="inlineStr">
        <is>
          <t/>
        </is>
      </c>
      <c r="K315" t="n">
        <v>197.0</v>
      </c>
      <c r="L315" t="n">
        <v>2.0</v>
      </c>
      <c r="M315" t="n">
        <v>5.0</v>
      </c>
      <c r="N315" t="n">
        <v>0.125</v>
      </c>
      <c r="O315" t="n">
        <v>5.0</v>
      </c>
      <c r="P315" t="n">
        <v>2.0</v>
      </c>
      <c r="Q315" t="n">
        <v>0.4</v>
      </c>
      <c r="R315" t="n">
        <v>0.4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1.0</v>
      </c>
      <c r="AA315" t="n">
        <v>0.0</v>
      </c>
      <c r="AB315" t="n">
        <v>0.0</v>
      </c>
      <c r="AC315" t="n">
        <v>0.0</v>
      </c>
      <c r="AD315" t="n">
        <v>40.0</v>
      </c>
      <c r="AE315" t="n">
        <v>0.0</v>
      </c>
      <c r="AF315" t="n">
        <v>0.0</v>
      </c>
      <c r="AG315" t="n">
        <v>0.0</v>
      </c>
      <c r="AH315" t="n">
        <v>2.0</v>
      </c>
      <c r="AI315" t="n">
        <v>0.0</v>
      </c>
      <c r="AJ315" t="n">
        <v>0.0</v>
      </c>
      <c r="AK315" t="n">
        <v>16.3</v>
      </c>
      <c r="AL315" t="inlineStr">
        <is>
          <t/>
        </is>
      </c>
    </row>
    <row r="316">
      <c r="A316" t="inlineStr">
        <is>
          <t>我也不想买阿，可69r能吃一周减脂餐了</t>
        </is>
      </c>
      <c r="B316" t="inlineStr">
        <is>
          <t>69aab1d9000000000e00c75a</t>
        </is>
      </c>
      <c r="C316" s="315" t="n">
        <f>HYPERLINK("https://www.xiaohongshu.com/explore/69aab1d9000000000e00c75a?xsec_token=TB8xU8BGf5cxJmpLtWj3taca0aQty6KXT8F8rt0JF2wko=&amp;xsec_source=pc_trdark","https://www.xiaohongshu.com/explore/69aab1d9000000000e00c75a?xsec_token=TB8xU8BGf5cxJmpLtWj3taca0aQty6KXT8F8rt0JF2wko=&amp;xsec_source=pc_trdark")</f>
        <v>0.0</v>
      </c>
      <c r="D316" t="inlineStr">
        <is>
          <t>鲜水湾</t>
        </is>
      </c>
      <c r="E316" t="inlineStr">
        <is>
          <t>49316638994</t>
        </is>
      </c>
      <c r="F316" t="inlineStr">
        <is>
          <t>2026-03-06 18:52:09</t>
        </is>
      </c>
      <c r="G316" t="inlineStr">
        <is>
          <t>图文</t>
        </is>
      </c>
      <c r="H316" t="inlineStr">
        <is>
          <t>大虾基围虾王牌大虾厄瓜多尔白虾盐冻虾仁海洋大虾送礼顺丰包邮</t>
        </is>
      </c>
      <c r="I316" t="inlineStr">
        <is>
          <t>690aeb7be379430001e686ac</t>
        </is>
      </c>
      <c r="J316" t="inlineStr">
        <is>
          <t/>
        </is>
      </c>
      <c r="K316" t="n">
        <v>0.0</v>
      </c>
      <c r="L316" t="n">
        <v>0.0</v>
      </c>
      <c r="M316" t="n">
        <v>8.0</v>
      </c>
      <c r="N316" t="n">
        <v>0.2</v>
      </c>
      <c r="O316" t="n">
        <v>7.0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inlineStr">
        <is>
          <t/>
        </is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40.0</v>
      </c>
      <c r="AE316" t="n">
        <v>1.0</v>
      </c>
      <c r="AF316" t="n">
        <v>0.0</v>
      </c>
      <c r="AG316" t="n">
        <v>0.0</v>
      </c>
      <c r="AH316" t="n">
        <v>1.0</v>
      </c>
      <c r="AI316" t="n">
        <v>0.0</v>
      </c>
      <c r="AJ316" t="n">
        <v>0.0</v>
      </c>
      <c r="AK316" t="n">
        <v>8.85</v>
      </c>
      <c r="AL316" t="inlineStr">
        <is>
          <t/>
        </is>
      </c>
    </row>
    <row r="317">
      <c r="A317" t="inlineStr">
        <is>
          <t>邪修减脂就是快，连吃一周真被惊艳到了</t>
        </is>
      </c>
      <c r="B317" t="inlineStr">
        <is>
          <t>69aa93db000000002800abd5</t>
        </is>
      </c>
      <c r="C317" s="316" t="n">
        <f>HYPERLINK("https://www.xiaohongshu.com/explore/69aa93db000000002800abd5?xsec_token=TB8xU8BGf5cxJmpLtWj3tacSztNZWONWZK7_YXMZgr7j8=&amp;xsec_source=pc_trdark","https://www.xiaohongshu.com/explore/69aa93db000000002800abd5?xsec_token=TB8xU8BGf5cxJmpLtWj3tacSztNZWONWZK7_YXMZgr7j8=&amp;xsec_source=pc_trdark")</f>
        <v>0.0</v>
      </c>
      <c r="D317" t="inlineStr">
        <is>
          <t>鲜水湾</t>
        </is>
      </c>
      <c r="E317" t="inlineStr">
        <is>
          <t>49316638994</t>
        </is>
      </c>
      <c r="F317" t="inlineStr">
        <is>
          <t>2026-03-06 16:44:11</t>
        </is>
      </c>
      <c r="G317" t="inlineStr">
        <is>
          <t>图文</t>
        </is>
      </c>
      <c r="H317" t="inlineStr">
        <is>
          <t>大虾基围虾王牌大虾厄瓜多尔白虾盐冻虾仁海洋大虾送礼顺丰包邮</t>
        </is>
      </c>
      <c r="I317" t="inlineStr">
        <is>
          <t>690aeb7be379430001e686ac</t>
        </is>
      </c>
      <c r="J317" t="inlineStr">
        <is>
          <t/>
        </is>
      </c>
      <c r="K317" t="n">
        <v>0.0</v>
      </c>
      <c r="L317" t="n">
        <v>0.0</v>
      </c>
      <c r="M317" t="n">
        <v>9.0</v>
      </c>
      <c r="N317" t="n">
        <v>0.225</v>
      </c>
      <c r="O317" t="n">
        <v>7.0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inlineStr">
        <is>
          <t/>
        </is>
      </c>
      <c r="X317" t="n">
        <v>0.0</v>
      </c>
      <c r="Y317" t="n">
        <v>3.0</v>
      </c>
      <c r="Z317" t="n">
        <v>1.0</v>
      </c>
      <c r="AA317" t="n">
        <v>0.0</v>
      </c>
      <c r="AB317" t="n">
        <v>0.0</v>
      </c>
      <c r="AC317" t="n">
        <v>0.0</v>
      </c>
      <c r="AD317" t="n">
        <v>40.0</v>
      </c>
      <c r="AE317" t="n">
        <v>1.0</v>
      </c>
      <c r="AF317" t="n">
        <v>0.0</v>
      </c>
      <c r="AG317" t="n">
        <v>0.0</v>
      </c>
      <c r="AH317" t="n">
        <v>2.0</v>
      </c>
      <c r="AI317" t="n">
        <v>1.0</v>
      </c>
      <c r="AJ317" t="n">
        <v>0.0</v>
      </c>
      <c r="AK317" t="n">
        <v>7.3</v>
      </c>
      <c r="AL317" t="inlineStr">
        <is>
          <t/>
        </is>
      </c>
    </row>
    <row r="318">
      <c r="A318" t="inlineStr">
        <is>
          <t>奶奶的绝了！减脂健身餐天花板 一周才60多</t>
        </is>
      </c>
      <c r="B318" t="inlineStr">
        <is>
          <t>69b795d4000000001a02eed5</t>
        </is>
      </c>
      <c r="C318" s="317" t="n">
        <f>HYPERLINK("https://www.xiaohongshu.com/explore/69b795d4000000001a02eed5?xsec_token=TBioiHaRPpzHnl86RCtCFk9gFILfRpLG80EX7ANZxkiCM=&amp;xsec_source=pc_trdark","https://www.xiaohongshu.com/explore/69b795d4000000001a02eed5?xsec_token=TBioiHaRPpzHnl86RCtCFk9gFILfRpLG80EX7ANZxkiCM=&amp;xsec_source=pc_trdark")</f>
        <v>0.0</v>
      </c>
      <c r="D318" t="inlineStr">
        <is>
          <t>婉婉上班吃什么</t>
        </is>
      </c>
      <c r="E318" t="inlineStr">
        <is>
          <t>11434449706</t>
        </is>
      </c>
      <c r="F318" t="inlineStr">
        <is>
          <t>2026-03-16 13:32:04</t>
        </is>
      </c>
      <c r="G318" t="inlineStr">
        <is>
          <t>图文</t>
        </is>
      </c>
      <c r="H318" t="inlineStr">
        <is>
          <t>手剥虾仁 无冰衣无添加 低脂餐一人食 上班带饭 顺丰包邮 5盒装</t>
        </is>
      </c>
      <c r="I318" t="inlineStr">
        <is>
          <t>694baba01d450d00013662f0</t>
        </is>
      </c>
      <c r="J318" t="inlineStr">
        <is>
          <t/>
        </is>
      </c>
      <c r="K318" t="n">
        <v>0.0</v>
      </c>
      <c r="L318" t="n">
        <v>0.0</v>
      </c>
      <c r="M318" t="n">
        <v>9.0</v>
      </c>
      <c r="N318" t="inlineStr">
        <is>
          <t>0.23076923076923078</t>
        </is>
      </c>
      <c r="O318" t="n">
        <v>8.0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inlineStr">
        <is>
          <t/>
        </is>
      </c>
      <c r="X318" t="n">
        <v>0.0</v>
      </c>
      <c r="Y318" t="n">
        <v>3.0</v>
      </c>
      <c r="Z318" t="n">
        <v>1.0</v>
      </c>
      <c r="AA318" t="n">
        <v>0.0</v>
      </c>
      <c r="AB318" t="n">
        <v>0.0</v>
      </c>
      <c r="AC318" t="n">
        <v>0.0</v>
      </c>
      <c r="AD318" t="n">
        <v>39.0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8.512820512820513</v>
      </c>
      <c r="AL318" t="inlineStr">
        <is>
          <t/>
        </is>
      </c>
    </row>
    <row r="319">
      <c r="A319" t="inlineStr">
        <is>
          <t>在鲜水湾买的整条三文鱼…</t>
        </is>
      </c>
      <c r="B319" t="inlineStr">
        <is>
          <t>692d40f7000000001e035d9c</t>
        </is>
      </c>
      <c r="C319" s="318" t="n">
        <f>HYPERLINK("https://www.xiaohongshu.com/explore/692d40f7000000001e035d9c?xsec_token=TBOFwnatFKqkrDgIPXNtNGvyrJ-V0NOOSGiFXyf08rjmw=&amp;xsec_source=pc_trdark","https://www.xiaohongshu.com/explore/692d40f7000000001e035d9c?xsec_token=TBOFwnatFKqkrDgIPXNtNGvyrJ-V0NOOSGiFXyf08rjmw=&amp;xsec_source=pc_trdark")</f>
        <v>0.0</v>
      </c>
      <c r="D319" t="inlineStr">
        <is>
          <t>鲜水湾</t>
        </is>
      </c>
      <c r="E319" t="inlineStr">
        <is>
          <t>49316638994</t>
        </is>
      </c>
      <c r="F319" t="inlineStr">
        <is>
          <t>2025-12-01 15:17:11</t>
        </is>
      </c>
      <c r="G319" t="inlineStr">
        <is>
          <t>图文</t>
        </is>
      </c>
      <c r="H319" t="inlineStr">
        <is>
          <t>智利三文鱼切块·整条三文鱼·深海鱼一人食健康饮食</t>
        </is>
      </c>
      <c r="I319" t="inlineStr">
        <is>
          <t>691ac562a524ee0001b51d7b</t>
        </is>
      </c>
      <c r="J319" t="inlineStr">
        <is>
          <t/>
        </is>
      </c>
      <c r="K319" t="n">
        <v>0.0</v>
      </c>
      <c r="L319" t="n">
        <v>0.0</v>
      </c>
      <c r="M319" t="n">
        <v>6.0</v>
      </c>
      <c r="N319" t="inlineStr">
        <is>
          <t>0.15384615384615385</t>
        </is>
      </c>
      <c r="O319" t="n">
        <v>6.0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inlineStr">
        <is>
          <t/>
        </is>
      </c>
      <c r="X319" t="n">
        <v>0.0</v>
      </c>
      <c r="Y319" t="n">
        <v>2.0</v>
      </c>
      <c r="Z319" t="n">
        <v>0.0</v>
      </c>
      <c r="AA319" t="n">
        <v>0.0</v>
      </c>
      <c r="AB319" t="n">
        <v>0.0</v>
      </c>
      <c r="AC319" t="n">
        <v>0.0</v>
      </c>
      <c r="AD319" t="n">
        <v>39.0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11.897435897435898</v>
      </c>
      <c r="AL319" t="inlineStr">
        <is>
          <t/>
        </is>
      </c>
    </row>
    <row r="320">
      <c r="A320" t="inlineStr">
        <is>
          <t>抱歉商超，找到大虾源头了</t>
        </is>
      </c>
      <c r="B320" t="inlineStr">
        <is>
          <t>69a951ca000000002801f02d</t>
        </is>
      </c>
      <c r="C320" s="319" t="n">
        <f>HYPERLINK("https://www.xiaohongshu.com/explore/69a951ca000000002801f02d?xsec_token=TBX1UPru9xmrqAy_hfS76Tmi5ljZYZRdVKLwikZIk2-r8=&amp;xsec_source=pc_trdark","https://www.xiaohongshu.com/explore/69a951ca000000002801f02d?xsec_token=TBX1UPru9xmrqAy_hfS76Tmi5ljZYZRdVKLwikZIk2-r8=&amp;xsec_source=pc_trdark")</f>
        <v>0.0</v>
      </c>
      <c r="D320" t="inlineStr">
        <is>
          <t>鲜水湾</t>
        </is>
      </c>
      <c r="E320" t="inlineStr">
        <is>
          <t>49316638994</t>
        </is>
      </c>
      <c r="F320" t="inlineStr">
        <is>
          <t>2026-03-05 17:50:02</t>
        </is>
      </c>
      <c r="G320" t="inlineStr">
        <is>
          <t>图文</t>
        </is>
      </c>
      <c r="H320" t="inlineStr">
        <is>
          <t>大虾基围虾王牌大虾厄瓜多尔白虾盐冻虾仁海洋大虾送礼顺丰包邮</t>
        </is>
      </c>
      <c r="I320" t="inlineStr">
        <is>
          <t>690aeb7be379430001e686ac</t>
        </is>
      </c>
      <c r="J320" t="inlineStr">
        <is>
          <t/>
        </is>
      </c>
      <c r="K320" t="n">
        <v>0.0</v>
      </c>
      <c r="L320" t="n">
        <v>0.0</v>
      </c>
      <c r="M320" t="n">
        <v>11.0</v>
      </c>
      <c r="N320" t="n">
        <v>0.2972972972972973</v>
      </c>
      <c r="O320" t="n">
        <v>9.0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inlineStr">
        <is>
          <t/>
        </is>
      </c>
      <c r="X320" t="n">
        <v>0.0</v>
      </c>
      <c r="Y320" t="n">
        <v>0.0</v>
      </c>
      <c r="Z320" t="n">
        <v>2.0</v>
      </c>
      <c r="AA320" t="n">
        <v>0.0</v>
      </c>
      <c r="AB320" t="n">
        <v>0.0</v>
      </c>
      <c r="AC320" t="n">
        <v>0.0</v>
      </c>
      <c r="AD320" t="n">
        <v>37.0</v>
      </c>
      <c r="AE320" t="n">
        <v>1.0</v>
      </c>
      <c r="AF320" t="n">
        <v>0.0</v>
      </c>
      <c r="AG320" t="n">
        <v>0.0</v>
      </c>
      <c r="AH320" t="n">
        <v>2.0</v>
      </c>
      <c r="AI320" t="n">
        <v>0.0</v>
      </c>
      <c r="AJ320" t="n">
        <v>0.0</v>
      </c>
      <c r="AK320" t="n">
        <v>8.756756756756756</v>
      </c>
      <c r="AL320" t="inlineStr">
        <is>
          <t/>
        </is>
      </c>
    </row>
    <row r="321">
      <c r="A321" t="inlineStr">
        <is>
          <t>威海发过来的！被爸妈夸了一整天！</t>
        </is>
      </c>
      <c r="B321" t="inlineStr">
        <is>
          <t>698af796000000000e00e89c</t>
        </is>
      </c>
      <c r="C321" s="320" t="n">
        <f>HYPERLINK("https://www.xiaohongshu.com/explore/698af796000000000e00e89c?xsec_token=TBG0mKfxVH0N0QJz26OSUyhYk527tJDzH_EA7rtS3MCmk=&amp;xsec_source=pc_trdark","https://www.xiaohongshu.com/explore/698af796000000000e00e89c?xsec_token=TBG0mKfxVH0N0QJz26OSUyhYk527tJDzH_EA7rtS3MCmk=&amp;xsec_source=pc_trdark")</f>
        <v>0.0</v>
      </c>
      <c r="D321" t="inlineStr">
        <is>
          <t>鲜水湾</t>
        </is>
      </c>
      <c r="E321" t="inlineStr">
        <is>
          <t>49316638994</t>
        </is>
      </c>
      <c r="F321" t="inlineStr">
        <is>
          <t>2026-02-10 17:17:10</t>
        </is>
      </c>
      <c r="G321" t="inlineStr">
        <is>
          <t>图文</t>
        </is>
      </c>
      <c r="H321" t="inlineStr">
        <is>
          <t>生蚝乳山生蚝海蛎子顺丰包邮</t>
        </is>
      </c>
      <c r="I321" t="inlineStr">
        <is>
          <t>690c70971b787900010866cc</t>
        </is>
      </c>
      <c r="J321" t="inlineStr">
        <is>
          <t/>
        </is>
      </c>
      <c r="K321" t="n">
        <v>0.0</v>
      </c>
      <c r="L321" t="n">
        <v>0.0</v>
      </c>
      <c r="M321" t="n">
        <v>10.0</v>
      </c>
      <c r="N321" t="n">
        <v>0.2702702702702703</v>
      </c>
      <c r="O321" t="n">
        <v>9.0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inlineStr">
        <is>
          <t/>
        </is>
      </c>
      <c r="X321" t="n">
        <v>0.0</v>
      </c>
      <c r="Y321" t="n">
        <v>1.0</v>
      </c>
      <c r="Z321" t="n">
        <v>0.0</v>
      </c>
      <c r="AA321" t="n">
        <v>0.0</v>
      </c>
      <c r="AB321" t="n">
        <v>0.0</v>
      </c>
      <c r="AC321" t="n">
        <v>0.0</v>
      </c>
      <c r="AD321" t="n">
        <v>37.0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11.91891891891892</v>
      </c>
      <c r="AL321" t="inlineStr">
        <is>
          <t/>
        </is>
      </c>
    </row>
    <row r="322">
      <c r="A322" t="inlineStr">
        <is>
          <t>立马回购6箱，家附近超市的再也看不上了</t>
        </is>
      </c>
      <c r="B322" t="inlineStr">
        <is>
          <t>698ae7930000000028022c8a</t>
        </is>
      </c>
      <c r="C322" s="321" t="n">
        <f>HYPERLINK("https://www.xiaohongshu.com/explore/698ae7930000000028022c8a?xsec_token=TBG0mKfxVH0N0QJz26OSUyhZ7H5IKS63UVmRrfyUe6O8I=&amp;xsec_source=pc_trdark","https://www.xiaohongshu.com/explore/698ae7930000000028022c8a?xsec_token=TBG0mKfxVH0N0QJz26OSUyhZ7H5IKS63UVmRrfyUe6O8I=&amp;xsec_source=pc_trdark")</f>
        <v>0.0</v>
      </c>
      <c r="D322" t="inlineStr">
        <is>
          <t>鲜水湾</t>
        </is>
      </c>
      <c r="E322" t="inlineStr">
        <is>
          <t>49316638994</t>
        </is>
      </c>
      <c r="F322" t="inlineStr">
        <is>
          <t>2026-02-10 16:08:51</t>
        </is>
      </c>
      <c r="G322" t="inlineStr">
        <is>
          <t>图文</t>
        </is>
      </c>
      <c r="H322" t="inlineStr">
        <is>
          <t>大虾基围虾王牌大虾厄瓜多尔白虾盐冻虾仁海洋大虾送礼顺丰包邮</t>
        </is>
      </c>
      <c r="I322" t="inlineStr">
        <is>
          <t>690aeb7be379430001e686ac</t>
        </is>
      </c>
      <c r="J322" t="inlineStr">
        <is>
          <t/>
        </is>
      </c>
      <c r="K322" t="n">
        <v>77.0</v>
      </c>
      <c r="L322" t="n">
        <v>1.0</v>
      </c>
      <c r="M322" t="n">
        <v>10.0</v>
      </c>
      <c r="N322" t="n">
        <v>0.2702702702702703</v>
      </c>
      <c r="O322" t="n">
        <v>7.0</v>
      </c>
      <c r="P322" t="n">
        <v>1.0</v>
      </c>
      <c r="Q322" t="n">
        <v>0.1</v>
      </c>
      <c r="R322" t="inlineStr">
        <is>
          <t>0.14285714285714285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2.0</v>
      </c>
      <c r="Z322" t="n">
        <v>1.0</v>
      </c>
      <c r="AA322" t="n">
        <v>0.0</v>
      </c>
      <c r="AB322" t="n">
        <v>0.0</v>
      </c>
      <c r="AC322" t="n">
        <v>0.0</v>
      </c>
      <c r="AD322" t="n">
        <v>37.0</v>
      </c>
      <c r="AE322" t="n">
        <v>1.0</v>
      </c>
      <c r="AF322" t="n">
        <v>1.0</v>
      </c>
      <c r="AG322" t="n">
        <v>0.0</v>
      </c>
      <c r="AH322" t="n">
        <v>0.0</v>
      </c>
      <c r="AI322" t="n">
        <v>0.0</v>
      </c>
      <c r="AJ322" t="n">
        <v>0.0</v>
      </c>
      <c r="AK322" t="n">
        <v>7.378378378378378</v>
      </c>
      <c r="AL322" t="inlineStr">
        <is>
          <t/>
        </is>
      </c>
    </row>
    <row r="323">
      <c r="A323" t="inlineStr">
        <is>
          <t>我也不想买啊，关键40多的乳山生蚝太鲜了</t>
        </is>
      </c>
      <c r="B323" t="inlineStr">
        <is>
          <t>694a6f62000000001e003acc</t>
        </is>
      </c>
      <c r="C323" s="322" t="n">
        <f>HYPERLINK("https://www.xiaohongshu.com/explore/694a6f62000000001e003acc?xsec_token=TBdeZ0Rm1wYmDrNYnjdb_05r02xYX8TSwhX-stYcSr3vM=&amp;xsec_source=pc_trdark","https://www.xiaohongshu.com/explore/694a6f62000000001e003acc?xsec_token=TBdeZ0Rm1wYmDrNYnjdb_05r02xYX8TSwhX-stYcSr3vM=&amp;xsec_source=pc_trdark")</f>
        <v>0.0</v>
      </c>
      <c r="D323" t="inlineStr">
        <is>
          <t>婉婉上班吃什么</t>
        </is>
      </c>
      <c r="E323" t="inlineStr">
        <is>
          <t>11434449706</t>
        </is>
      </c>
      <c r="F323" t="inlineStr">
        <is>
          <t>2025-12-23 18:30:58</t>
        </is>
      </c>
      <c r="G323" t="inlineStr">
        <is>
          <t>视频</t>
        </is>
      </c>
      <c r="H323" t="inlineStr">
        <is>
          <t>生蚝乳山生蚝海蛎子顺丰包邮</t>
        </is>
      </c>
      <c r="I323" t="inlineStr">
        <is>
          <t>690c70971b787900010866cc</t>
        </is>
      </c>
      <c r="J323" t="n">
        <v>37.0</v>
      </c>
      <c r="K323" t="n">
        <v>0.0</v>
      </c>
      <c r="L323" t="n">
        <v>0.0</v>
      </c>
      <c r="M323" t="n">
        <v>1.0</v>
      </c>
      <c r="N323" t="inlineStr">
        <is>
          <t>0.02702702702702703</t>
        </is>
      </c>
      <c r="O323" t="n">
        <v>1.0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inlineStr">
        <is>
          <t/>
        </is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37.0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7.243243243243243</v>
      </c>
      <c r="AL323" t="n">
        <v>0.0975609756097561</v>
      </c>
    </row>
    <row r="324">
      <c r="A324" t="inlineStr">
        <is>
          <t>网购了一整条三文鱼，安全下车</t>
        </is>
      </c>
      <c r="B324" t="inlineStr">
        <is>
          <t>692efa4e000000001e031463</t>
        </is>
      </c>
      <c r="C324" s="323" t="n">
        <f>HYPERLINK("https://www.xiaohongshu.com/explore/692efa4e000000001e031463?xsec_token=TBhc9WPqfa5dhWfRrPj8DX7cIgblguwcH-tlVsfoRDmiM=&amp;xsec_source=pc_trdark","https://www.xiaohongshu.com/explore/692efa4e000000001e031463?xsec_token=TBhc9WPqfa5dhWfRrPj8DX7cIgblguwcH-tlVsfoRDmiM=&amp;xsec_source=pc_trdark")</f>
        <v>0.0</v>
      </c>
      <c r="D324" t="inlineStr">
        <is>
          <t>鲜水湾</t>
        </is>
      </c>
      <c r="E324" t="inlineStr">
        <is>
          <t>49316638994</t>
        </is>
      </c>
      <c r="F324" t="inlineStr">
        <is>
          <t>2025-12-02 22:40:14</t>
        </is>
      </c>
      <c r="G324" t="inlineStr">
        <is>
          <t>图文</t>
        </is>
      </c>
      <c r="H324" t="inlineStr">
        <is>
          <t>智利三文鱼切块·整条三文鱼·深海鱼一人食健康饮食</t>
        </is>
      </c>
      <c r="I324" t="inlineStr">
        <is>
          <t>691ac562a524ee0001b51d7b</t>
        </is>
      </c>
      <c r="J324" t="inlineStr">
        <is>
          <t/>
        </is>
      </c>
      <c r="K324" t="n">
        <v>0.0</v>
      </c>
      <c r="L324" t="n">
        <v>0.0</v>
      </c>
      <c r="M324" t="n">
        <v>8.0</v>
      </c>
      <c r="N324" t="inlineStr">
        <is>
          <t>0.21621621621621623</t>
        </is>
      </c>
      <c r="O324" t="n">
        <v>8.0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inlineStr">
        <is>
          <t/>
        </is>
      </c>
      <c r="X324" t="n">
        <v>0.0</v>
      </c>
      <c r="Y324" t="n">
        <v>1.0</v>
      </c>
      <c r="Z324" t="n">
        <v>0.0</v>
      </c>
      <c r="AA324" t="n">
        <v>0.0</v>
      </c>
      <c r="AB324" t="n">
        <v>0.0</v>
      </c>
      <c r="AC324" t="n">
        <v>0.0</v>
      </c>
      <c r="AD324" t="n">
        <v>37.0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15.324324324324325</v>
      </c>
      <c r="AL324" t="inlineStr">
        <is>
          <t/>
        </is>
      </c>
    </row>
    <row r="325">
      <c r="A325" t="inlineStr">
        <is>
          <t>控卡期夜宵自由！吃肉还不胖的秘密🤫</t>
        </is>
      </c>
      <c r="B325" t="inlineStr">
        <is>
          <t>69b0fa6e00000000050325e0</t>
        </is>
      </c>
      <c r="C325" s="324" t="n">
        <f>HYPERLINK("https://www.xiaohongshu.com/explore/69b0fa6e00000000050325e0?xsec_token=TB1fCSoBGZhUEvn2zrb_Bw2igXq0S3TOjnZ4uAmKQZZwE=&amp;xsec_source=pc_trdark","https://www.xiaohongshu.com/explore/69b0fa6e00000000050325e0?xsec_token=TB1fCSoBGZhUEvn2zrb_Bw2igXq0S3TOjnZ4uAmKQZZwE=&amp;xsec_source=pc_trdark")</f>
        <v>0.0</v>
      </c>
      <c r="D325" t="inlineStr">
        <is>
          <t>鲜水湾</t>
        </is>
      </c>
      <c r="E325" t="inlineStr">
        <is>
          <t>49316638994</t>
        </is>
      </c>
      <c r="F325" t="inlineStr">
        <is>
          <t>2026-03-11 13:15:26</t>
        </is>
      </c>
      <c r="G325" t="inlineStr">
        <is>
          <t>图文</t>
        </is>
      </c>
      <c r="H325" t="inlineStr">
        <is>
          <t>手剥虾仁 无冰衣无添加 低脂餐一人食 上班带饭 顺丰包邮 5盒装</t>
        </is>
      </c>
      <c r="I325" t="inlineStr">
        <is>
          <t>694baba01d450d00013662f0</t>
        </is>
      </c>
      <c r="J325" t="inlineStr">
        <is>
          <t/>
        </is>
      </c>
      <c r="K325" t="n">
        <v>0.0</v>
      </c>
      <c r="L325" t="n">
        <v>0.0</v>
      </c>
      <c r="M325" t="n">
        <v>6.0</v>
      </c>
      <c r="N325" t="inlineStr">
        <is>
          <t>0.16666666666666666</t>
        </is>
      </c>
      <c r="O325" t="n">
        <v>6.0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inlineStr">
        <is>
          <t/>
        </is>
      </c>
      <c r="X325" t="n">
        <v>0.0</v>
      </c>
      <c r="Y325" t="n">
        <v>2.0</v>
      </c>
      <c r="Z325" t="n">
        <v>0.0</v>
      </c>
      <c r="AA325" t="n">
        <v>0.0</v>
      </c>
      <c r="AB325" t="n">
        <v>0.0</v>
      </c>
      <c r="AC325" t="n">
        <v>0.0</v>
      </c>
      <c r="AD325" t="n">
        <v>36.0</v>
      </c>
      <c r="AE325" t="n">
        <v>1.0</v>
      </c>
      <c r="AF325" t="n">
        <v>0.0</v>
      </c>
      <c r="AG325" t="n">
        <v>0.0</v>
      </c>
      <c r="AH325" t="n">
        <v>1.0</v>
      </c>
      <c r="AI325" t="n">
        <v>0.0</v>
      </c>
      <c r="AJ325" t="n">
        <v>0.0</v>
      </c>
      <c r="AK325" t="n">
        <v>7.388888888888889</v>
      </c>
      <c r="AL325" t="inlineStr">
        <is>
          <t/>
        </is>
      </c>
    </row>
    <row r="326">
      <c r="A326" t="inlineStr">
        <is>
          <t>5分钟搞定!香煎三文鱼0失败教程</t>
        </is>
      </c>
      <c r="B326" t="inlineStr">
        <is>
          <t>69830046000000002802359e</t>
        </is>
      </c>
      <c r="C326" s="325" t="n">
        <f>HYPERLINK("https://www.xiaohongshu.com/explore/69830046000000002802359e?xsec_token=TBHM0ni7GCKw8SLk8lnMVR2vzoswijjoZ_8GfLU4VJNGY=&amp;xsec_source=pc_trdark","https://www.xiaohongshu.com/explore/69830046000000002802359e?xsec_token=TBHM0ni7GCKw8SLk8lnMVR2vzoswijjoZ_8GfLU4VJNGY=&amp;xsec_source=pc_trdark")</f>
        <v>0.0</v>
      </c>
      <c r="D326" t="inlineStr">
        <is>
          <t>鲜水湾</t>
        </is>
      </c>
      <c r="E326" t="inlineStr">
        <is>
          <t>49316638994</t>
        </is>
      </c>
      <c r="F326" t="inlineStr">
        <is>
          <t>2026-02-04 16:16:06</t>
        </is>
      </c>
      <c r="G326" t="inlineStr">
        <is>
          <t>图文</t>
        </is>
      </c>
      <c r="H326" t="inlineStr">
        <is>
          <t>智利三文鱼切块·整条三文鱼·深海鱼一人食健康饮食</t>
        </is>
      </c>
      <c r="I326" t="inlineStr">
        <is>
          <t>691ac562a524ee0001b51d7b</t>
        </is>
      </c>
      <c r="J326" t="inlineStr">
        <is>
          <t/>
        </is>
      </c>
      <c r="K326" t="n">
        <v>0.0</v>
      </c>
      <c r="L326" t="n">
        <v>0.0</v>
      </c>
      <c r="M326" t="n">
        <v>1.0</v>
      </c>
      <c r="N326" t="inlineStr">
        <is>
          <t>0.027777777777777776</t>
        </is>
      </c>
      <c r="O326" t="n">
        <v>1.0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inlineStr">
        <is>
          <t/>
        </is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36.0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33.583333333333336</v>
      </c>
      <c r="AL326" t="inlineStr">
        <is>
          <t/>
        </is>
      </c>
    </row>
    <row r="327">
      <c r="A327" t="inlineStr">
        <is>
          <t>请大数据推给天天吃轻食的宝子！</t>
        </is>
      </c>
      <c r="B327" t="inlineStr">
        <is>
          <t>69b77297000000002301ea16</t>
        </is>
      </c>
      <c r="C327" s="326" t="n">
        <f>HYPERLINK("https://www.xiaohongshu.com/explore/69b77297000000002301ea16?xsec_token=TBioiHaRPpzHnl86RCtCFk9pi57lpW8ccz18jjQRA79Cs=&amp;xsec_source=pc_trdark","https://www.xiaohongshu.com/explore/69b77297000000002301ea16?xsec_token=TBioiHaRPpzHnl86RCtCFk9pi57lpW8ccz18jjQRA79Cs=&amp;xsec_source=pc_trdark")</f>
        <v>0.0</v>
      </c>
      <c r="D327" t="inlineStr">
        <is>
          <t>鲜水湾</t>
        </is>
      </c>
      <c r="E327" t="inlineStr">
        <is>
          <t>49316638994</t>
        </is>
      </c>
      <c r="F327" t="inlineStr">
        <is>
          <t>2026-03-16 11:01:43</t>
        </is>
      </c>
      <c r="G327" t="inlineStr">
        <is>
          <t>图文</t>
        </is>
      </c>
      <c r="H327" t="inlineStr">
        <is>
          <t>手剥虾仁 无冰衣无添加 低脂餐一人食 上班带饭 顺丰包邮 5盒装</t>
        </is>
      </c>
      <c r="I327" t="inlineStr">
        <is>
          <t>694baba01d450d00013662f0</t>
        </is>
      </c>
      <c r="J327" t="inlineStr">
        <is>
          <t/>
        </is>
      </c>
      <c r="K327" t="n">
        <v>0.0</v>
      </c>
      <c r="L327" t="n">
        <v>0.0</v>
      </c>
      <c r="M327" t="n">
        <v>1.0</v>
      </c>
      <c r="N327" t="inlineStr">
        <is>
          <t>0.02857142857142857</t>
        </is>
      </c>
      <c r="O327" t="n">
        <v>1.0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inlineStr">
        <is>
          <t/>
        </is>
      </c>
      <c r="X327" t="n">
        <v>0.0</v>
      </c>
      <c r="Y327" t="n">
        <v>0.0</v>
      </c>
      <c r="Z327" t="n">
        <v>2.0</v>
      </c>
      <c r="AA327" t="n">
        <v>0.0</v>
      </c>
      <c r="AB327" t="n">
        <v>0.0</v>
      </c>
      <c r="AC327" t="n">
        <v>0.0</v>
      </c>
      <c r="AD327" t="n">
        <v>35.0</v>
      </c>
      <c r="AE327" t="n">
        <v>0.0</v>
      </c>
      <c r="AF327" t="n">
        <v>1.0</v>
      </c>
      <c r="AG327" t="n">
        <v>0.0</v>
      </c>
      <c r="AH327" t="n">
        <v>2.0</v>
      </c>
      <c r="AI327" t="n">
        <v>0.0</v>
      </c>
      <c r="AJ327" t="n">
        <v>0.0</v>
      </c>
      <c r="AK327" t="n">
        <v>6.371428571428571</v>
      </c>
      <c r="AL327" t="inlineStr">
        <is>
          <t/>
        </is>
      </c>
    </row>
    <row r="328">
      <c r="A328" t="inlineStr">
        <is>
          <t>听句劝！！吃对了一周瘦10斤都不止…</t>
        </is>
      </c>
      <c r="B328" t="inlineStr">
        <is>
          <t>69af8f94000000000b034fbd</t>
        </is>
      </c>
      <c r="C328" s="327" t="n">
        <f>HYPERLINK("https://www.xiaohongshu.com/explore/69af8f94000000000b034fbd?xsec_token=TBvA7Hz6ko-xGwfQy35gan6VjApq5txOtUWF4hz_BJjio=&amp;xsec_source=pc_trdark","https://www.xiaohongshu.com/explore/69af8f94000000000b034fbd?xsec_token=TBvA7Hz6ko-xGwfQy35gan6VjApq5txOtUWF4hz_BJjio=&amp;xsec_source=pc_trdark")</f>
        <v>0.0</v>
      </c>
      <c r="D328" t="inlineStr">
        <is>
          <t>婉婉上班吃什么</t>
        </is>
      </c>
      <c r="E328" t="inlineStr">
        <is>
          <t>11434449706</t>
        </is>
      </c>
      <c r="F328" t="inlineStr">
        <is>
          <t>2026-03-10 11:27:16</t>
        </is>
      </c>
      <c r="G328" t="inlineStr">
        <is>
          <t>图文</t>
        </is>
      </c>
      <c r="H328" t="inlineStr">
        <is>
          <t>手剥虾仁 无冰衣无添加 低脂餐一人食 上班带饭 顺丰包邮 5盒装</t>
        </is>
      </c>
      <c r="I328" t="inlineStr">
        <is>
          <t>694baba01d450d00013662f0</t>
        </is>
      </c>
      <c r="J328" t="inlineStr">
        <is>
          <t/>
        </is>
      </c>
      <c r="K328" t="n">
        <v>0.0</v>
      </c>
      <c r="L328" t="n">
        <v>0.0</v>
      </c>
      <c r="M328" t="n">
        <v>3.0</v>
      </c>
      <c r="N328" t="inlineStr">
        <is>
          <t>0.08571428571428572</t>
        </is>
      </c>
      <c r="O328" t="n">
        <v>3.0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inlineStr">
        <is>
          <t/>
        </is>
      </c>
      <c r="X328" t="n">
        <v>0.0</v>
      </c>
      <c r="Y328" t="n">
        <v>0.0</v>
      </c>
      <c r="Z328" t="n">
        <v>1.0</v>
      </c>
      <c r="AA328" t="n">
        <v>0.0</v>
      </c>
      <c r="AB328" t="n">
        <v>0.0</v>
      </c>
      <c r="AC328" t="n">
        <v>0.0</v>
      </c>
      <c r="AD328" t="n">
        <v>35.0</v>
      </c>
      <c r="AE328" t="n">
        <v>1.0</v>
      </c>
      <c r="AF328" t="n">
        <v>0.0</v>
      </c>
      <c r="AG328" t="n">
        <v>0.0</v>
      </c>
      <c r="AH328" t="n">
        <v>2.0</v>
      </c>
      <c r="AI328" t="n">
        <v>0.0</v>
      </c>
      <c r="AJ328" t="n">
        <v>0.0</v>
      </c>
      <c r="AK328" t="n">
        <v>12.542857142857143</v>
      </c>
      <c r="AL328" t="inlineStr">
        <is>
          <t/>
        </is>
      </c>
    </row>
    <row r="329">
      <c r="A329" t="inlineStr">
        <is>
          <t>冬天的生蚝最肥了，40来块就能买到5斤生蚝</t>
        </is>
      </c>
      <c r="B329" t="inlineStr">
        <is>
          <t>6971eb71000000001a02cb37</t>
        </is>
      </c>
      <c r="C329" s="328" t="n">
        <f>HYPERLINK("https://www.xiaohongshu.com/explore/6971eb71000000001a02cb37?xsec_token=TBzmPvyXtzq1znB7VIOlNhUVitPuw4hRaGEZjQ7Y527pE=&amp;xsec_source=pc_trdark","https://www.xiaohongshu.com/explore/6971eb71000000001a02cb37?xsec_token=TBzmPvyXtzq1znB7VIOlNhUVitPuw4hRaGEZjQ7Y527pE=&amp;xsec_source=pc_trdark")</f>
        <v>0.0</v>
      </c>
      <c r="D329" t="inlineStr">
        <is>
          <t>婉婉上班吃什么</t>
        </is>
      </c>
      <c r="E329" t="inlineStr">
        <is>
          <t>11434449706</t>
        </is>
      </c>
      <c r="F329" t="inlineStr">
        <is>
          <t>2026-01-22 17:18:41</t>
        </is>
      </c>
      <c r="G329" t="inlineStr">
        <is>
          <t>视频</t>
        </is>
      </c>
      <c r="H329" t="inlineStr">
        <is>
          <t>生蚝乳山生蚝海蛎子顺丰包邮</t>
        </is>
      </c>
      <c r="I329" t="inlineStr">
        <is>
          <t>690c70971b787900010866cc</t>
        </is>
      </c>
      <c r="J329" t="n">
        <v>12.0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inlineStr">
        <is>
          <t/>
        </is>
      </c>
      <c r="R329" t="inlineStr">
        <is>
          <t/>
        </is>
      </c>
      <c r="S329" t="n">
        <v>0.0</v>
      </c>
      <c r="T329" t="n">
        <v>0.0</v>
      </c>
      <c r="U329" t="n">
        <v>0.0</v>
      </c>
      <c r="V329" t="n">
        <v>0.0</v>
      </c>
      <c r="W329" t="inlineStr">
        <is>
          <t/>
        </is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35.0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2.085714285714286</v>
      </c>
      <c r="AL329" t="n">
        <v>0.0</v>
      </c>
    </row>
    <row r="330">
      <c r="A330" t="inlineStr">
        <is>
          <t>爱你老己 又给老己买到好吃的大生蚝了🥹</t>
        </is>
      </c>
      <c r="B330" t="inlineStr">
        <is>
          <t>696b31e6000000001a0368ed</t>
        </is>
      </c>
      <c r="C330" s="329" t="n">
        <f>HYPERLINK("https://www.xiaohongshu.com/explore/696b31e6000000001a0368ed?xsec_token=TByNwaULKQbwsz_w7rWk61uPHiiktQq8xclHCWQOqg6YU=&amp;xsec_source=pc_trdark","https://www.xiaohongshu.com/explore/696b31e6000000001a0368ed?xsec_token=TByNwaULKQbwsz_w7rWk61uPHiiktQq8xclHCWQOqg6YU=&amp;xsec_source=pc_trdark")</f>
        <v>0.0</v>
      </c>
      <c r="D330" t="inlineStr">
        <is>
          <t>婉婉上班吃什么</t>
        </is>
      </c>
      <c r="E330" t="inlineStr">
        <is>
          <t>11434449706</t>
        </is>
      </c>
      <c r="F330" t="inlineStr">
        <is>
          <t>2026-01-17 14:53:26</t>
        </is>
      </c>
      <c r="G330" t="inlineStr">
        <is>
          <t>视频</t>
        </is>
      </c>
      <c r="H330" t="inlineStr">
        <is>
          <t>生蚝乳山生蚝海蛎子顺丰包邮</t>
        </is>
      </c>
      <c r="I330" t="inlineStr">
        <is>
          <t>690c70971b787900010866cc</t>
        </is>
      </c>
      <c r="J330" t="n">
        <v>22.0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inlineStr">
        <is>
          <t/>
        </is>
      </c>
      <c r="R330" t="inlineStr">
        <is>
          <t/>
        </is>
      </c>
      <c r="S330" t="n">
        <v>0.0</v>
      </c>
      <c r="T330" t="n">
        <v>0.0</v>
      </c>
      <c r="U330" t="n">
        <v>0.0</v>
      </c>
      <c r="V330" t="n">
        <v>0.0</v>
      </c>
      <c r="W330" t="inlineStr">
        <is>
          <t/>
        </is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35.0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2.6857142857142855</v>
      </c>
      <c r="AL330" t="inlineStr">
        <is>
          <t>0.027777777777777776</t>
        </is>
      </c>
    </row>
    <row r="331">
      <c r="A331" t="inlineStr">
        <is>
          <t>和老爸商量好了，49.9一箱先给你们都尝尝</t>
        </is>
      </c>
      <c r="B331" t="inlineStr">
        <is>
          <t>69699aeb000000000e03dd8f</t>
        </is>
      </c>
      <c r="C331" s="330" t="n">
        <f>HYPERLINK("https://www.xiaohongshu.com/explore/69699aeb000000000e03dd8f?xsec_token=TBrfrRU4wM2w5bDKUviah5Tz1joafWrrSlCKGYqUnyWSs=&amp;xsec_source=pc_trdark","https://www.xiaohongshu.com/explore/69699aeb000000000e03dd8f?xsec_token=TBrfrRU4wM2w5bDKUviah5Tz1joafWrrSlCKGYqUnyWSs=&amp;xsec_source=pc_trdark")</f>
        <v>0.0</v>
      </c>
      <c r="D331" t="inlineStr">
        <is>
          <t>婉婉上班吃什么</t>
        </is>
      </c>
      <c r="E331" t="inlineStr">
        <is>
          <t>11434449706</t>
        </is>
      </c>
      <c r="F331" t="inlineStr">
        <is>
          <t>2026-01-16 09:56:59</t>
        </is>
      </c>
      <c r="G331" t="inlineStr">
        <is>
          <t>视频</t>
        </is>
      </c>
      <c r="H331" t="inlineStr">
        <is>
          <t>生蚝乳山生蚝海蛎子顺丰包邮</t>
        </is>
      </c>
      <c r="I331" t="inlineStr">
        <is>
          <t>690c70971b787900010866cc</t>
        </is>
      </c>
      <c r="J331" t="n">
        <v>20.0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inlineStr">
        <is>
          <t/>
        </is>
      </c>
      <c r="R331" t="inlineStr">
        <is>
          <t/>
        </is>
      </c>
      <c r="S331" t="n">
        <v>0.0</v>
      </c>
      <c r="T331" t="n">
        <v>0.0</v>
      </c>
      <c r="U331" t="n">
        <v>0.0</v>
      </c>
      <c r="V331" t="n">
        <v>0.0</v>
      </c>
      <c r="W331" t="inlineStr">
        <is>
          <t/>
        </is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35.0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7.285714285714286</v>
      </c>
      <c r="AL331" t="inlineStr">
        <is>
          <t>0.20930232558139536</t>
        </is>
      </c>
    </row>
    <row r="332">
      <c r="A332" t="inlineStr">
        <is>
          <t>一整个身材管理期都在吃，根本没有平替</t>
        </is>
      </c>
      <c r="B332" t="inlineStr">
        <is>
          <t>69c4de36000000001a036820</t>
        </is>
      </c>
      <c r="C332" s="331" t="n">
        <f>HYPERLINK("https://www.xiaohongshu.com/explore/69c4de36000000001a036820?xsec_token=TBIVv4KG_Is8XT8uyOgDE1R2NMrjglWOzCYjIwLptJAmo=&amp;xsec_source=pc_trdark","https://www.xiaohongshu.com/explore/69c4de36000000001a036820?xsec_token=TBIVv4KG_Is8XT8uyOgDE1R2NMrjglWOzCYjIwLptJAmo=&amp;xsec_source=pc_trdark")</f>
        <v>0.0</v>
      </c>
      <c r="D332" t="inlineStr">
        <is>
          <t>婉婉上班吃什么</t>
        </is>
      </c>
      <c r="E332" t="inlineStr">
        <is>
          <t>11434449706</t>
        </is>
      </c>
      <c r="F332" t="inlineStr">
        <is>
          <t>2026-03-26 15:20:22</t>
        </is>
      </c>
      <c r="G332" t="inlineStr">
        <is>
          <t>图文</t>
        </is>
      </c>
      <c r="H332" t="inlineStr">
        <is>
          <t>手剥虾仁 无冰衣无添加 低脂餐一人食 上班带饭 顺丰包邮 5盒装</t>
        </is>
      </c>
      <c r="I332" t="inlineStr">
        <is>
          <t>694baba01d450d00013662f0</t>
        </is>
      </c>
      <c r="J332" t="inlineStr">
        <is>
          <t/>
        </is>
      </c>
      <c r="K332" t="n">
        <v>69.0</v>
      </c>
      <c r="L332" t="n">
        <v>1.0</v>
      </c>
      <c r="M332" t="n">
        <v>8.0</v>
      </c>
      <c r="N332" t="inlineStr">
        <is>
          <t>0.23529411764705882</t>
        </is>
      </c>
      <c r="O332" t="n">
        <v>7.0</v>
      </c>
      <c r="P332" t="n">
        <v>1.0</v>
      </c>
      <c r="Q332" t="n">
        <v>0.125</v>
      </c>
      <c r="R332" t="inlineStr">
        <is>
          <t>0.14285714285714285</t>
        </is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1.0</v>
      </c>
      <c r="Z332" t="n">
        <v>0.0</v>
      </c>
      <c r="AA332" t="n">
        <v>0.0</v>
      </c>
      <c r="AB332" t="n">
        <v>0.0</v>
      </c>
      <c r="AC332" t="n">
        <v>0.0</v>
      </c>
      <c r="AD332" t="n">
        <v>34.0</v>
      </c>
      <c r="AE332" t="n">
        <v>0.0</v>
      </c>
      <c r="AF332" t="n">
        <v>0.0</v>
      </c>
      <c r="AG332" t="n">
        <v>0.0</v>
      </c>
      <c r="AH332" t="n">
        <v>2.0</v>
      </c>
      <c r="AI332" t="n">
        <v>1.0</v>
      </c>
      <c r="AJ332" t="n">
        <v>0.0</v>
      </c>
      <c r="AK332" t="n">
        <v>12.882352941176471</v>
      </c>
      <c r="AL332" t="inlineStr">
        <is>
          <t/>
        </is>
      </c>
    </row>
    <row r="333">
      <c r="A333" t="inlineStr">
        <is>
          <t>69💰解决了我一周上班带饭的难题</t>
        </is>
      </c>
      <c r="B333" t="inlineStr">
        <is>
          <t>69c0fde7000000002800b822</t>
        </is>
      </c>
      <c r="C333" s="332" t="n">
        <f>HYPERLINK("https://www.xiaohongshu.com/explore/69c0fde7000000002800b822?xsec_token=TBlSRAgxB_sBYkF02kEEKO57Hes8i0L32sAVpIcm_t19M=&amp;xsec_source=pc_trdark","https://www.xiaohongshu.com/explore/69c0fde7000000002800b822?xsec_token=TBlSRAgxB_sBYkF02kEEKO57Hes8i0L32sAVpIcm_t19M=&amp;xsec_source=pc_trdark")</f>
        <v>0.0</v>
      </c>
      <c r="D333" t="inlineStr">
        <is>
          <t>婉婉上班吃什么</t>
        </is>
      </c>
      <c r="E333" t="inlineStr">
        <is>
          <t>11434449706</t>
        </is>
      </c>
      <c r="F333" t="inlineStr">
        <is>
          <t>2026-03-23 16:46:31</t>
        </is>
      </c>
      <c r="G333" t="inlineStr">
        <is>
          <t>图文</t>
        </is>
      </c>
      <c r="H333" t="inlineStr">
        <is>
          <t>手剥虾仁 无冰衣无添加 低脂餐一人食 上班带饭 顺丰包邮 5盒装</t>
        </is>
      </c>
      <c r="I333" t="inlineStr">
        <is>
          <t>694baba01d450d00013662f0</t>
        </is>
      </c>
      <c r="J333" t="inlineStr">
        <is>
          <t/>
        </is>
      </c>
      <c r="K333" t="n">
        <v>69.0</v>
      </c>
      <c r="L333" t="n">
        <v>1.0</v>
      </c>
      <c r="M333" t="n">
        <v>9.0</v>
      </c>
      <c r="N333" t="n">
        <v>0.2647058823529412</v>
      </c>
      <c r="O333" t="n">
        <v>7.0</v>
      </c>
      <c r="P333" t="n">
        <v>1.0</v>
      </c>
      <c r="Q333" t="n">
        <v>0.1111111111111111</v>
      </c>
      <c r="R333" t="inlineStr">
        <is>
          <t>0.14285714285714285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2.0</v>
      </c>
      <c r="Z333" t="n">
        <v>2.0</v>
      </c>
      <c r="AA333" t="n">
        <v>0.0</v>
      </c>
      <c r="AB333" t="n">
        <v>0.0</v>
      </c>
      <c r="AC333" t="n">
        <v>0.0</v>
      </c>
      <c r="AD333" t="n">
        <v>34.0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8.852941176470589</v>
      </c>
      <c r="AL333" t="inlineStr">
        <is>
          <t/>
        </is>
      </c>
    </row>
    <row r="334">
      <c r="A334" t="inlineStr">
        <is>
          <t>和老爹商量后！专门出了69元年后减脂小包装</t>
        </is>
      </c>
      <c r="B334" t="inlineStr">
        <is>
          <t>69b58683000000001f0051e3</t>
        </is>
      </c>
      <c r="C334" s="333" t="n">
        <f>HYPERLINK("https://www.xiaohongshu.com/explore/69b58683000000001f0051e3?xsec_token=TBYgTJ9EzKmyKny4Vfc-tHE2KqEKmhkTR-Vb5OBd6_l_k=&amp;xsec_source=pc_trdark","https://www.xiaohongshu.com/explore/69b58683000000001f0051e3?xsec_token=TBYgTJ9EzKmyKny4Vfc-tHE2KqEKmhkTR-Vb5OBd6_l_k=&amp;xsec_source=pc_trdark")</f>
        <v>0.0</v>
      </c>
      <c r="D334" t="inlineStr">
        <is>
          <t>鲜水湾</t>
        </is>
      </c>
      <c r="E334" t="inlineStr">
        <is>
          <t>49316638994</t>
        </is>
      </c>
      <c r="F334" t="inlineStr">
        <is>
          <t>2026-03-15 00:02:11</t>
        </is>
      </c>
      <c r="G334" t="inlineStr">
        <is>
          <t>图文</t>
        </is>
      </c>
      <c r="H334" t="inlineStr">
        <is>
          <t>手剥虾仁 无冰衣无添加 低脂餐一人食 上班带饭 顺丰包邮 5盒装</t>
        </is>
      </c>
      <c r="I334" t="inlineStr">
        <is>
          <t>694baba01d450d00013662f0</t>
        </is>
      </c>
      <c r="J334" t="inlineStr">
        <is>
          <t/>
        </is>
      </c>
      <c r="K334" t="n">
        <v>69.0</v>
      </c>
      <c r="L334" t="n">
        <v>1.0</v>
      </c>
      <c r="M334" t="n">
        <v>5.0</v>
      </c>
      <c r="N334" t="inlineStr">
        <is>
          <t>0.14705882352941177</t>
        </is>
      </c>
      <c r="O334" t="n">
        <v>4.0</v>
      </c>
      <c r="P334" t="n">
        <v>1.0</v>
      </c>
      <c r="Q334" t="n">
        <v>0.2</v>
      </c>
      <c r="R334" t="n">
        <v>0.25</v>
      </c>
      <c r="S334" t="n">
        <v>69.0</v>
      </c>
      <c r="T334" t="n">
        <v>1.0</v>
      </c>
      <c r="U334" t="n">
        <v>1.0</v>
      </c>
      <c r="V334" t="n">
        <v>69.0</v>
      </c>
      <c r="W334" t="n">
        <v>1.0</v>
      </c>
      <c r="X334" t="n">
        <v>1.0</v>
      </c>
      <c r="Y334" t="n">
        <v>2.0</v>
      </c>
      <c r="Z334" t="n">
        <v>0.0</v>
      </c>
      <c r="AA334" t="n">
        <v>0.0</v>
      </c>
      <c r="AB334" t="n">
        <v>0.0</v>
      </c>
      <c r="AC334" t="n">
        <v>0.0</v>
      </c>
      <c r="AD334" t="n">
        <v>34.0</v>
      </c>
      <c r="AE334" t="n">
        <v>1.0</v>
      </c>
      <c r="AF334" t="n">
        <v>0.0</v>
      </c>
      <c r="AG334" t="n">
        <v>0.0</v>
      </c>
      <c r="AH334" t="n">
        <v>2.0</v>
      </c>
      <c r="AI334" t="n">
        <v>0.0</v>
      </c>
      <c r="AJ334" t="n">
        <v>0.0</v>
      </c>
      <c r="AK334" t="n">
        <v>7.852941176470588</v>
      </c>
      <c r="AL334" t="inlineStr">
        <is>
          <t/>
        </is>
      </c>
    </row>
    <row r="335">
      <c r="A335" t="inlineStr">
        <is>
          <t>同事笑我吃虾仁奢侈？结果我一百能吃一周</t>
        </is>
      </c>
      <c r="B335" t="inlineStr">
        <is>
          <t>69ad60db000000001a029588</t>
        </is>
      </c>
      <c r="C335" s="334" t="n">
        <f>HYPERLINK("https://www.xiaohongshu.com/explore/69ad60db000000001a029588?xsec_token=TBsauhpT2AwjD8NBV7WI8gZMzyH4pKM3jU7FhamJKNJJM=&amp;xsec_source=pc_trdark","https://www.xiaohongshu.com/explore/69ad60db000000001a029588?xsec_token=TBsauhpT2AwjD8NBV7WI8gZMzyH4pKM3jU7FhamJKNJJM=&amp;xsec_source=pc_trdark")</f>
        <v>0.0</v>
      </c>
      <c r="D335" t="inlineStr">
        <is>
          <t>婉婉上班吃什么</t>
        </is>
      </c>
      <c r="E335" t="inlineStr">
        <is>
          <t>11434449706</t>
        </is>
      </c>
      <c r="F335" t="inlineStr">
        <is>
          <t>2026-03-08 19:43:23</t>
        </is>
      </c>
      <c r="G335" t="inlineStr">
        <is>
          <t>图文</t>
        </is>
      </c>
      <c r="H335" t="inlineStr">
        <is>
          <t>手剥虾仁 无冰衣无添加 低脂餐一人食 上班带饭 顺丰包邮 5盒装</t>
        </is>
      </c>
      <c r="I335" t="inlineStr">
        <is>
          <t>694baba01d450d00013662f0</t>
        </is>
      </c>
      <c r="J335" t="inlineStr">
        <is>
          <t/>
        </is>
      </c>
      <c r="K335" t="n">
        <v>0.0</v>
      </c>
      <c r="L335" t="n">
        <v>0.0</v>
      </c>
      <c r="M335" t="n">
        <v>5.0</v>
      </c>
      <c r="N335" t="inlineStr">
        <is>
          <t>0.14705882352941177</t>
        </is>
      </c>
      <c r="O335" t="n">
        <v>5.0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inlineStr">
        <is>
          <t/>
        </is>
      </c>
      <c r="X335" t="n">
        <v>0.0</v>
      </c>
      <c r="Y335" t="n">
        <v>1.0</v>
      </c>
      <c r="Z335" t="n">
        <v>0.0</v>
      </c>
      <c r="AA335" t="n">
        <v>0.0</v>
      </c>
      <c r="AB335" t="n">
        <v>0.0</v>
      </c>
      <c r="AC335" t="n">
        <v>0.0</v>
      </c>
      <c r="AD335" t="n">
        <v>34.0</v>
      </c>
      <c r="AE335" t="n">
        <v>5.0</v>
      </c>
      <c r="AF335" t="n">
        <v>0.0</v>
      </c>
      <c r="AG335" t="n">
        <v>0.0</v>
      </c>
      <c r="AH335" t="n">
        <v>1.0</v>
      </c>
      <c r="AI335" t="n">
        <v>0.0</v>
      </c>
      <c r="AJ335" t="n">
        <v>0.0</v>
      </c>
      <c r="AK335" t="n">
        <v>8.029411764705882</v>
      </c>
      <c r="AL335" t="inlineStr">
        <is>
          <t/>
        </is>
      </c>
    </row>
    <row r="336">
      <c r="A336" t="inlineStr">
        <is>
          <t>青岛发过来的，被爸妈夸了一整天</t>
        </is>
      </c>
      <c r="B336" t="inlineStr">
        <is>
          <t>698937ad000000000b009bb0</t>
        </is>
      </c>
      <c r="C336" s="335" t="n">
        <f>HYPERLINK("https://www.xiaohongshu.com/explore/698937ad000000000b009bb0?xsec_token=TBeAeWMkLJ9etYlFDlK3pguRQ81OSHz-Arl4bPUNqa1vE=&amp;xsec_source=pc_trdark","https://www.xiaohongshu.com/explore/698937ad000000000b009bb0?xsec_token=TBeAeWMkLJ9etYlFDlK3pguRQ81OSHz-Arl4bPUNqa1vE=&amp;xsec_source=pc_trdark")</f>
        <v>0.0</v>
      </c>
      <c r="D336" t="inlineStr">
        <is>
          <t>鲜水湾甄选</t>
        </is>
      </c>
      <c r="E336" t="inlineStr">
        <is>
          <t>27401929161</t>
        </is>
      </c>
      <c r="F336" t="inlineStr">
        <is>
          <t>2026-02-09 09:26:06</t>
        </is>
      </c>
      <c r="G336" t="inlineStr">
        <is>
          <t>图文</t>
        </is>
      </c>
      <c r="H336" t="inlineStr">
        <is>
          <t>智利三文鱼切块·整条三文鱼·深海鱼一人食健康饮食</t>
        </is>
      </c>
      <c r="I336" t="inlineStr">
        <is>
          <t>691ac562a524ee0001b51d7b</t>
        </is>
      </c>
      <c r="J336" t="inlineStr">
        <is>
          <t/>
        </is>
      </c>
      <c r="K336" t="n">
        <v>0.0</v>
      </c>
      <c r="L336" t="n">
        <v>0.0</v>
      </c>
      <c r="M336" t="n">
        <v>3.0</v>
      </c>
      <c r="N336" t="inlineStr">
        <is>
          <t>0.08823529411764706</t>
        </is>
      </c>
      <c r="O336" t="n">
        <v>3.0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inlineStr">
        <is>
          <t/>
        </is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34.0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6.735294117647059</v>
      </c>
      <c r="AL336" t="inlineStr">
        <is>
          <t/>
        </is>
      </c>
    </row>
    <row r="337">
      <c r="A337" t="inlineStr">
        <is>
          <t>一人食手剥海虾仁🍤 终于和老爸敲定上线啦！</t>
        </is>
      </c>
      <c r="B337" t="inlineStr">
        <is>
          <t>69bff38d0000000028009a81</t>
        </is>
      </c>
      <c r="C337" s="336" t="n">
        <f>HYPERLINK("https://www.xiaohongshu.com/explore/69bff38d0000000028009a81?xsec_token=TBpIkisErOCQ5-QyFALsYM8LfbyTNaBbIGQyDzUk6i8g4=&amp;xsec_source=pc_trdark","https://www.xiaohongshu.com/explore/69bff38d0000000028009a81?xsec_token=TBpIkisErOCQ5-QyFALsYM8LfbyTNaBbIGQyDzUk6i8g4=&amp;xsec_source=pc_trdark")</f>
        <v>0.0</v>
      </c>
      <c r="D337" t="inlineStr">
        <is>
          <t>鲜水湾</t>
        </is>
      </c>
      <c r="E337" t="inlineStr">
        <is>
          <t>49316638994</t>
        </is>
      </c>
      <c r="F337" t="inlineStr">
        <is>
          <t>2026-03-22 21:50:05</t>
        </is>
      </c>
      <c r="G337" t="inlineStr">
        <is>
          <t>图文</t>
        </is>
      </c>
      <c r="H337" t="inlineStr">
        <is>
          <t>手剥虾仁 无冰衣无添加 低脂餐一人食 上班带饭 顺丰包邮 5盒装</t>
        </is>
      </c>
      <c r="I337" t="inlineStr">
        <is>
          <t>694baba01d450d00013662f0</t>
        </is>
      </c>
      <c r="J337" t="inlineStr">
        <is>
          <t/>
        </is>
      </c>
      <c r="K337" t="n">
        <v>0.0</v>
      </c>
      <c r="L337" t="n">
        <v>0.0</v>
      </c>
      <c r="M337" t="n">
        <v>6.0</v>
      </c>
      <c r="N337" t="inlineStr">
        <is>
          <t>0.18181818181818182</t>
        </is>
      </c>
      <c r="O337" t="n">
        <v>4.0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inlineStr">
        <is>
          <t/>
        </is>
      </c>
      <c r="X337" t="n">
        <v>0.0</v>
      </c>
      <c r="Y337" t="n">
        <v>1.0</v>
      </c>
      <c r="Z337" t="n">
        <v>0.0</v>
      </c>
      <c r="AA337" t="n">
        <v>0.0</v>
      </c>
      <c r="AB337" t="n">
        <v>0.0</v>
      </c>
      <c r="AC337" t="n">
        <v>0.0</v>
      </c>
      <c r="AD337" t="n">
        <v>33.0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12.0</v>
      </c>
      <c r="AL337" t="inlineStr">
        <is>
          <t/>
        </is>
      </c>
    </row>
    <row r="338">
      <c r="A338" t="inlineStr">
        <is>
          <t>和老爸商量后，加急定制独居人小包装</t>
        </is>
      </c>
      <c r="B338" t="inlineStr">
        <is>
          <t>69a9695d000000000e03e9cb</t>
        </is>
      </c>
      <c r="C338" s="337" t="n">
        <f>HYPERLINK("https://www.xiaohongshu.com/explore/69a9695d000000000e03e9cb?xsec_token=TBX1UPru9xmrqAy_hfS76TmjIg8YL5wkg2FFHNxiTC0Yg=&amp;xsec_source=pc_trdark","https://www.xiaohongshu.com/explore/69a9695d000000000e03e9cb?xsec_token=TBX1UPru9xmrqAy_hfS76TmjIg8YL5wkg2FFHNxiTC0Yg=&amp;xsec_source=pc_trdark")</f>
        <v>0.0</v>
      </c>
      <c r="D338" t="inlineStr">
        <is>
          <t>鲜水湾</t>
        </is>
      </c>
      <c r="E338" t="inlineStr">
        <is>
          <t>49316638994</t>
        </is>
      </c>
      <c r="F338" t="inlineStr">
        <is>
          <t>2026-03-05 19:30:37</t>
        </is>
      </c>
      <c r="G338" t="inlineStr">
        <is>
          <t>图文</t>
        </is>
      </c>
      <c r="H338" t="inlineStr">
        <is>
          <t>手剥虾仁 无冰衣无添加 低脂餐一人食 上班带饭 顺丰包邮 5盒装</t>
        </is>
      </c>
      <c r="I338" t="inlineStr">
        <is>
          <t>694baba01d450d00013662f0</t>
        </is>
      </c>
      <c r="J338" t="inlineStr">
        <is>
          <t/>
        </is>
      </c>
      <c r="K338" t="n">
        <v>196.0</v>
      </c>
      <c r="L338" t="n">
        <v>2.0</v>
      </c>
      <c r="M338" t="n">
        <v>10.0</v>
      </c>
      <c r="N338" t="inlineStr">
        <is>
          <t>0.30303030303030304</t>
        </is>
      </c>
      <c r="O338" t="n">
        <v>9.0</v>
      </c>
      <c r="P338" t="n">
        <v>2.0</v>
      </c>
      <c r="Q338" t="n">
        <v>0.2</v>
      </c>
      <c r="R338" t="n">
        <v>0.2222222222222222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1.0</v>
      </c>
      <c r="Z338" t="n">
        <v>2.0</v>
      </c>
      <c r="AA338" t="n">
        <v>0.0</v>
      </c>
      <c r="AB338" t="n">
        <v>0.0</v>
      </c>
      <c r="AC338" t="n">
        <v>0.0</v>
      </c>
      <c r="AD338" t="n">
        <v>33.0</v>
      </c>
      <c r="AE338" t="n">
        <v>0.0</v>
      </c>
      <c r="AF338" t="n">
        <v>0.0</v>
      </c>
      <c r="AG338" t="n">
        <v>0.0</v>
      </c>
      <c r="AH338" t="n">
        <v>2.0</v>
      </c>
      <c r="AI338" t="n">
        <v>0.0</v>
      </c>
      <c r="AJ338" t="n">
        <v>0.0</v>
      </c>
      <c r="AK338" t="n">
        <v>6.757575757575758</v>
      </c>
      <c r="AL338" t="inlineStr">
        <is>
          <t/>
        </is>
      </c>
    </row>
    <row r="339">
      <c r="A339" t="inlineStr">
        <is>
          <t>咱家乳山生蚝靠的就是实打实的品质～</t>
        </is>
      </c>
      <c r="B339" t="inlineStr">
        <is>
          <t>69a002e0000000000e00eeba</t>
        </is>
      </c>
      <c r="C339" s="338" t="n">
        <f>HYPERLINK("https://www.xiaohongshu.com/explore/69a002e0000000000e00eeba?xsec_token=TBGIgfrKGy2wDtxaQW-J26GQNrSqY4Qy6JIGQyBKpHvmE=&amp;xsec_source=pc_trdark","https://www.xiaohongshu.com/explore/69a002e0000000000e00eeba?xsec_token=TBGIgfrKGy2wDtxaQW-J26GQNrSqY4Qy6JIGQyBKpHvmE=&amp;xsec_source=pc_trdark")</f>
        <v>0.0</v>
      </c>
      <c r="D339" t="inlineStr">
        <is>
          <t>婉婉上班吃什么</t>
        </is>
      </c>
      <c r="E339" t="inlineStr">
        <is>
          <t>11434449706</t>
        </is>
      </c>
      <c r="F339" t="inlineStr">
        <is>
          <t>2026-02-26 16:22:56</t>
        </is>
      </c>
      <c r="G339" t="inlineStr">
        <is>
          <t>图文</t>
        </is>
      </c>
      <c r="H339" t="inlineStr">
        <is>
          <t>生蚝乳山生蚝海蛎子顺丰包邮</t>
        </is>
      </c>
      <c r="I339" t="inlineStr">
        <is>
          <t>690c70971b787900010866cc</t>
        </is>
      </c>
      <c r="J339" t="inlineStr">
        <is>
          <t/>
        </is>
      </c>
      <c r="K339" t="n">
        <v>0.0</v>
      </c>
      <c r="L339" t="n">
        <v>0.0</v>
      </c>
      <c r="M339" t="n">
        <v>3.0</v>
      </c>
      <c r="N339" t="inlineStr">
        <is>
          <t>0.09090909090909091</t>
        </is>
      </c>
      <c r="O339" t="n">
        <v>3.0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inlineStr">
        <is>
          <t/>
        </is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33.0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8.878787878787879</v>
      </c>
      <c r="AL339" t="inlineStr">
        <is>
          <t/>
        </is>
      </c>
    </row>
    <row r="340">
      <c r="A340" t="inlineStr">
        <is>
          <t>和老爸商量后，为早八人推出的专属小包</t>
        </is>
      </c>
      <c r="B340" t="inlineStr">
        <is>
          <t>69babf45000000002301e817</t>
        </is>
      </c>
      <c r="C340" s="339" t="n">
        <f>HYPERLINK("https://www.xiaohongshu.com/explore/69babf45000000002301e817?xsec_token=TBgJVNruMKjnZKfHBYiZtZCStu98H5zeA0Ok453wTNTlw=&amp;xsec_source=pc_trdark","https://www.xiaohongshu.com/explore/69babf45000000002301e817?xsec_token=TBgJVNruMKjnZKfHBYiZtZCStu98H5zeA0Ok453wTNTlw=&amp;xsec_source=pc_trdark")</f>
        <v>0.0</v>
      </c>
      <c r="D340" t="inlineStr">
        <is>
          <t>鲜水湾</t>
        </is>
      </c>
      <c r="E340" t="inlineStr">
        <is>
          <t>49316638994</t>
        </is>
      </c>
      <c r="F340" t="inlineStr">
        <is>
          <t>2026-03-18 23:05:41</t>
        </is>
      </c>
      <c r="G340" t="inlineStr">
        <is>
          <t>图文</t>
        </is>
      </c>
      <c r="H340" t="inlineStr">
        <is>
          <t>手剥虾仁 无冰衣无添加 低脂餐一人食 上班带饭 顺丰包邮 5盒装</t>
        </is>
      </c>
      <c r="I340" t="inlineStr">
        <is>
          <t>694baba01d450d00013662f0</t>
        </is>
      </c>
      <c r="J340" t="inlineStr">
        <is>
          <t/>
        </is>
      </c>
      <c r="K340" t="n">
        <v>0.0</v>
      </c>
      <c r="L340" t="n">
        <v>0.0</v>
      </c>
      <c r="M340" t="n">
        <v>10.0</v>
      </c>
      <c r="N340" t="n">
        <v>0.3125</v>
      </c>
      <c r="O340" t="n">
        <v>10.0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inlineStr">
        <is>
          <t/>
        </is>
      </c>
      <c r="X340" t="n">
        <v>0.0</v>
      </c>
      <c r="Y340" t="n">
        <v>3.0</v>
      </c>
      <c r="Z340" t="n">
        <v>0.0</v>
      </c>
      <c r="AA340" t="n">
        <v>0.0</v>
      </c>
      <c r="AB340" t="n">
        <v>0.0</v>
      </c>
      <c r="AC340" t="n">
        <v>0.0</v>
      </c>
      <c r="AD340" t="n">
        <v>32.0</v>
      </c>
      <c r="AE340" t="n">
        <v>1.0</v>
      </c>
      <c r="AF340" t="n">
        <v>0.0</v>
      </c>
      <c r="AG340" t="n">
        <v>0.0</v>
      </c>
      <c r="AH340" t="n">
        <v>2.0</v>
      </c>
      <c r="AI340" t="n">
        <v>0.0</v>
      </c>
      <c r="AJ340" t="n">
        <v>0.0</v>
      </c>
      <c r="AK340" t="n">
        <v>15.09375</v>
      </c>
      <c r="AL340" t="inlineStr">
        <is>
          <t/>
        </is>
      </c>
    </row>
    <row r="341">
      <c r="A341" t="inlineStr">
        <is>
          <t>感谢小红书！承包了我整年的低卡餐！</t>
        </is>
      </c>
      <c r="B341" t="inlineStr">
        <is>
          <t>69ab88fe000000002801cf73</t>
        </is>
      </c>
      <c r="C341" s="340" t="n">
        <f>HYPERLINK("https://www.xiaohongshu.com/explore/69ab88fe000000002801cf73?xsec_token=TBjk1R4L6FFMBESMYKkkhLfF9UscqApFScMnVpeTHk_u4=&amp;xsec_source=pc_trdark","https://www.xiaohongshu.com/explore/69ab88fe000000002801cf73?xsec_token=TBjk1R4L6FFMBESMYKkkhLfF9UscqApFScMnVpeTHk_u4=&amp;xsec_source=pc_trdark")</f>
        <v>0.0</v>
      </c>
      <c r="D341" t="inlineStr">
        <is>
          <t>婉婉上班吃什么</t>
        </is>
      </c>
      <c r="E341" t="inlineStr">
        <is>
          <t>11434449706</t>
        </is>
      </c>
      <c r="F341" t="inlineStr">
        <is>
          <t>2026-03-07 10:10:06</t>
        </is>
      </c>
      <c r="G341" t="inlineStr">
        <is>
          <t>图文</t>
        </is>
      </c>
      <c r="H341" t="inlineStr">
        <is>
          <t>手剥虾仁 无冰衣无添加 低脂餐一人食 上班带饭 顺丰包邮 5盒装</t>
        </is>
      </c>
      <c r="I341" t="inlineStr">
        <is>
          <t>694baba01d450d00013662f0</t>
        </is>
      </c>
      <c r="J341" t="inlineStr">
        <is>
          <t/>
        </is>
      </c>
      <c r="K341" t="n">
        <v>0.0</v>
      </c>
      <c r="L341" t="n">
        <v>0.0</v>
      </c>
      <c r="M341" t="n">
        <v>1.0</v>
      </c>
      <c r="N341" t="n">
        <v>0.03125</v>
      </c>
      <c r="O341" t="n">
        <v>1.0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inlineStr">
        <is>
          <t/>
        </is>
      </c>
      <c r="X341" t="n">
        <v>0.0</v>
      </c>
      <c r="Y341" t="n">
        <v>1.0</v>
      </c>
      <c r="Z341" t="n">
        <v>1.0</v>
      </c>
      <c r="AA341" t="n">
        <v>0.0</v>
      </c>
      <c r="AB341" t="n">
        <v>0.0</v>
      </c>
      <c r="AC341" t="n">
        <v>0.0</v>
      </c>
      <c r="AD341" t="n">
        <v>32.0</v>
      </c>
      <c r="AE341" t="n">
        <v>1.0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7.25</v>
      </c>
      <c r="AL341" t="inlineStr">
        <is>
          <t/>
        </is>
      </c>
    </row>
    <row r="342">
      <c r="A342" t="inlineStr">
        <is>
          <t>感谢小红书🙏让乳山生蚝卖到了广东</t>
        </is>
      </c>
      <c r="B342" t="inlineStr">
        <is>
          <t>69520efc000000001e0373ae</t>
        </is>
      </c>
      <c r="C342" s="341" t="n">
        <f>HYPERLINK("https://www.xiaohongshu.com/explore/69520efc000000001e0373ae?xsec_token=TBD_qpfRw_GekiL1YWy-5sXpnIJrOzpxvipTOy3jWPWwE=&amp;xsec_source=pc_trdark","https://www.xiaohongshu.com/explore/69520efc000000001e0373ae?xsec_token=TBD_qpfRw_GekiL1YWy-5sXpnIJrOzpxvipTOy3jWPWwE=&amp;xsec_source=pc_trdark")</f>
        <v>0.0</v>
      </c>
      <c r="D342" t="inlineStr">
        <is>
          <t>鲜水湾</t>
        </is>
      </c>
      <c r="E342" t="inlineStr">
        <is>
          <t>49316638994</t>
        </is>
      </c>
      <c r="F342" t="inlineStr">
        <is>
          <t>2025-12-29 13:17:48</t>
        </is>
      </c>
      <c r="G342" t="inlineStr">
        <is>
          <t>图文</t>
        </is>
      </c>
      <c r="H342" t="inlineStr">
        <is>
          <t>生蚝乳山生蚝海蛎子顺丰包邮</t>
        </is>
      </c>
      <c r="I342" t="inlineStr">
        <is>
          <t>690c70971b787900010866cc</t>
        </is>
      </c>
      <c r="J342" t="inlineStr">
        <is>
          <t/>
        </is>
      </c>
      <c r="K342" t="n">
        <v>0.0</v>
      </c>
      <c r="L342" t="n">
        <v>0.0</v>
      </c>
      <c r="M342" t="n">
        <v>5.0</v>
      </c>
      <c r="N342" t="n">
        <v>0.15625</v>
      </c>
      <c r="O342" t="n">
        <v>5.0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inlineStr">
        <is>
          <t/>
        </is>
      </c>
      <c r="X342" t="n">
        <v>0.0</v>
      </c>
      <c r="Y342" t="n">
        <v>0.0</v>
      </c>
      <c r="Z342" t="n">
        <v>1.0</v>
      </c>
      <c r="AA342" t="n">
        <v>0.0</v>
      </c>
      <c r="AB342" t="n">
        <v>0.0</v>
      </c>
      <c r="AC342" t="n">
        <v>0.0</v>
      </c>
      <c r="AD342" t="n">
        <v>32.0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10.25</v>
      </c>
      <c r="AL342" t="inlineStr">
        <is>
          <t/>
        </is>
      </c>
    </row>
    <row r="343">
      <c r="A343" t="inlineStr">
        <is>
          <t>40+一箱的乳山生蚝，真的太好吃了</t>
        </is>
      </c>
      <c r="B343" t="inlineStr">
        <is>
          <t>6950fd77000000001e006b0f</t>
        </is>
      </c>
      <c r="C343" s="342" t="n">
        <f>HYPERLINK("https://www.xiaohongshu.com/explore/6950fd77000000001e006b0f?xsec_token=TBZlsVk_u522I8N-JhGtRMDlspmLxc7mxjuSVFWQkqHe0=&amp;xsec_source=pc_trdark","https://www.xiaohongshu.com/explore/6950fd77000000001e006b0f?xsec_token=TBZlsVk_u522I8N-JhGtRMDlspmLxc7mxjuSVFWQkqHe0=&amp;xsec_source=pc_trdark")</f>
        <v>0.0</v>
      </c>
      <c r="D343" t="inlineStr">
        <is>
          <t>婉婉上班吃什么</t>
        </is>
      </c>
      <c r="E343" t="inlineStr">
        <is>
          <t>11434449706</t>
        </is>
      </c>
      <c r="F343" t="inlineStr">
        <is>
          <t>2025-12-28 18:50:46</t>
        </is>
      </c>
      <c r="G343" t="inlineStr">
        <is>
          <t>视频</t>
        </is>
      </c>
      <c r="H343" t="inlineStr">
        <is>
          <t>生蚝乳山生蚝海蛎子顺丰包邮</t>
        </is>
      </c>
      <c r="I343" t="inlineStr">
        <is>
          <t>690c70971b787900010866cc</t>
        </is>
      </c>
      <c r="J343" t="n">
        <v>24.0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inlineStr">
        <is>
          <t/>
        </is>
      </c>
      <c r="R343" t="inlineStr">
        <is>
          <t/>
        </is>
      </c>
      <c r="S343" t="n">
        <v>0.0</v>
      </c>
      <c r="T343" t="n">
        <v>0.0</v>
      </c>
      <c r="U343" t="n">
        <v>0.0</v>
      </c>
      <c r="V343" t="n">
        <v>0.0</v>
      </c>
      <c r="W343" t="inlineStr">
        <is>
          <t/>
        </is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32.0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4.125</v>
      </c>
      <c r="AL343" t="n">
        <v>0.0</v>
      </c>
    </row>
    <row r="344">
      <c r="A344" t="inlineStr">
        <is>
          <t>连吃了7天大虾，感受到它的威力了</t>
        </is>
      </c>
      <c r="B344" t="inlineStr">
        <is>
          <t>69b3abcc000000001f002e67</t>
        </is>
      </c>
      <c r="C344" s="343" t="n">
        <f>HYPERLINK("https://www.xiaohongshu.com/explore/69b3abcc000000001f002e67?xsec_token=TBu1W-q9yR_0LoYiUu9p9bDyGjjFiLuJzKbjMcmBYfYVo=&amp;xsec_source=pc_trdark","https://www.xiaohongshu.com/explore/69b3abcc000000001f002e67?xsec_token=TBu1W-q9yR_0LoYiUu9p9bDyGjjFiLuJzKbjMcmBYfYVo=&amp;xsec_source=pc_trdark")</f>
        <v>0.0</v>
      </c>
      <c r="D344" t="inlineStr">
        <is>
          <t>鲜水湾</t>
        </is>
      </c>
      <c r="E344" t="inlineStr">
        <is>
          <t>49316638994</t>
        </is>
      </c>
      <c r="F344" t="inlineStr">
        <is>
          <t>2026-03-13 14:16:44</t>
        </is>
      </c>
      <c r="G344" t="inlineStr">
        <is>
          <t>图文</t>
        </is>
      </c>
      <c r="H344" t="inlineStr">
        <is>
          <t>大虾基围虾王牌大虾厄瓜多尔白虾盐冻虾仁海洋大虾送礼顺丰包邮</t>
        </is>
      </c>
      <c r="I344" t="inlineStr">
        <is>
          <t>690aeb7be379430001e686ac</t>
        </is>
      </c>
      <c r="J344" t="inlineStr">
        <is>
          <t/>
        </is>
      </c>
      <c r="K344" t="n">
        <v>0.0</v>
      </c>
      <c r="L344" t="n">
        <v>0.0</v>
      </c>
      <c r="M344" t="n">
        <v>3.0</v>
      </c>
      <c r="N344" t="n">
        <v>0.0967741935483871</v>
      </c>
      <c r="O344" t="n">
        <v>2.0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inlineStr">
        <is>
          <t/>
        </is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31.0</v>
      </c>
      <c r="AE344" t="n">
        <v>1.0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7.903225806451613</v>
      </c>
      <c r="AL344" t="inlineStr">
        <is>
          <t/>
        </is>
      </c>
    </row>
    <row r="345">
      <c r="A345" t="inlineStr">
        <is>
          <t>轻食界最严厉的母亲…🤫</t>
        </is>
      </c>
      <c r="B345" t="inlineStr">
        <is>
          <t>69b39fe2000000001b0214eb</t>
        </is>
      </c>
      <c r="C345" s="344" t="n">
        <f>HYPERLINK("https://www.xiaohongshu.com/explore/69b39fe2000000001b0214eb?xsec_token=TBu1W-q9yR_0LoYiUu9p9bD6L-4Ejd4gHo40QBYKa6qdw=&amp;xsec_source=pc_trdark","https://www.xiaohongshu.com/explore/69b39fe2000000001b0214eb?xsec_token=TBu1W-q9yR_0LoYiUu9p9bD6L-4Ejd4gHo40QBYKa6qdw=&amp;xsec_source=pc_trdark")</f>
        <v>0.0</v>
      </c>
      <c r="D345" t="inlineStr">
        <is>
          <t>婉婉上班吃什么</t>
        </is>
      </c>
      <c r="E345" t="inlineStr">
        <is>
          <t>11434449706</t>
        </is>
      </c>
      <c r="F345" t="inlineStr">
        <is>
          <t>2026-03-13 13:25:54</t>
        </is>
      </c>
      <c r="G345" t="inlineStr">
        <is>
          <t>图文</t>
        </is>
      </c>
      <c r="H345" t="inlineStr">
        <is>
          <t>手剥虾仁 无冰衣无添加 低脂餐一人食 上班带饭 顺丰包邮 5盒装</t>
        </is>
      </c>
      <c r="I345" t="inlineStr">
        <is>
          <t>694baba01d450d00013662f0</t>
        </is>
      </c>
      <c r="J345" t="inlineStr">
        <is>
          <t/>
        </is>
      </c>
      <c r="K345" t="n">
        <v>0.0</v>
      </c>
      <c r="L345" t="n">
        <v>0.0</v>
      </c>
      <c r="M345" t="n">
        <v>2.0</v>
      </c>
      <c r="N345" t="inlineStr">
        <is>
          <t>0.06451612903225806</t>
        </is>
      </c>
      <c r="O345" t="n">
        <v>2.0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inlineStr">
        <is>
          <t/>
        </is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31.0</v>
      </c>
      <c r="AE345" t="n">
        <v>0.0</v>
      </c>
      <c r="AF345" t="n">
        <v>1.0</v>
      </c>
      <c r="AG345" t="n">
        <v>0.0</v>
      </c>
      <c r="AH345" t="n">
        <v>1.0</v>
      </c>
      <c r="AI345" t="n">
        <v>0.0</v>
      </c>
      <c r="AJ345" t="n">
        <v>0.0</v>
      </c>
      <c r="AK345" t="n">
        <v>9.258064516129032</v>
      </c>
      <c r="AL345" t="inlineStr">
        <is>
          <t/>
        </is>
      </c>
    </row>
    <row r="346">
      <c r="A346" t="inlineStr">
        <is>
          <t>区区100块，结果够我吃半个月了！</t>
        </is>
      </c>
      <c r="B346" t="inlineStr">
        <is>
          <t>69a52f2d000000002801ee70</t>
        </is>
      </c>
      <c r="C346" s="345" t="n">
        <f>HYPERLINK("https://www.xiaohongshu.com/explore/69a52f2d000000002801ee70?xsec_token=TBYlw7GbYDMDbP_5WWJv6Kp1kLVFIMgEFfg5fNpzz4lOw=&amp;xsec_source=pc_trdark","https://www.xiaohongshu.com/explore/69a52f2d000000002801ee70?xsec_token=TBYlw7GbYDMDbP_5WWJv6Kp1kLVFIMgEFfg5fNpzz4lOw=&amp;xsec_source=pc_trdark")</f>
        <v>0.0</v>
      </c>
      <c r="D346" t="inlineStr">
        <is>
          <t>鲜水湾</t>
        </is>
      </c>
      <c r="E346" t="inlineStr">
        <is>
          <t>49316638994</t>
        </is>
      </c>
      <c r="F346" t="inlineStr">
        <is>
          <t>2026-03-02 14:33:17</t>
        </is>
      </c>
      <c r="G346" t="inlineStr">
        <is>
          <t>图文</t>
        </is>
      </c>
      <c r="H346" t="inlineStr">
        <is>
          <t>手剥虾仁 无冰衣无添加 低脂餐一人食 上班带饭 顺丰包邮 5盒装</t>
        </is>
      </c>
      <c r="I346" t="inlineStr">
        <is>
          <t>694baba01d450d00013662f0</t>
        </is>
      </c>
      <c r="J346" t="inlineStr">
        <is>
          <t/>
        </is>
      </c>
      <c r="K346" t="n">
        <v>0.0</v>
      </c>
      <c r="L346" t="n">
        <v>0.0</v>
      </c>
      <c r="M346" t="n">
        <v>6.0</v>
      </c>
      <c r="N346" t="n">
        <v>0.1935483870967742</v>
      </c>
      <c r="O346" t="n">
        <v>6.0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inlineStr">
        <is>
          <t/>
        </is>
      </c>
      <c r="X346" t="n">
        <v>0.0</v>
      </c>
      <c r="Y346" t="n">
        <v>0.0</v>
      </c>
      <c r="Z346" t="n">
        <v>1.0</v>
      </c>
      <c r="AA346" t="n">
        <v>0.0</v>
      </c>
      <c r="AB346" t="n">
        <v>0.0</v>
      </c>
      <c r="AC346" t="n">
        <v>0.0</v>
      </c>
      <c r="AD346" t="n">
        <v>31.0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10.870967741935484</v>
      </c>
      <c r="AL346" t="inlineStr">
        <is>
          <t/>
        </is>
      </c>
    </row>
    <row r="347">
      <c r="A347" t="inlineStr">
        <is>
          <t>节后去油腻，特为早八人推出减脂小包装</t>
        </is>
      </c>
      <c r="B347" t="inlineStr">
        <is>
          <t>69a526b1000000000e03d98a</t>
        </is>
      </c>
      <c r="C347" s="346" t="n">
        <f>HYPERLINK("https://www.xiaohongshu.com/explore/69a526b1000000000e03d98a?xsec_token=TBYlw7GbYDMDbP_5WWJv6Kp03sc1hPN2x8L4n5Hdys354=&amp;xsec_source=pc_trdark","https://www.xiaohongshu.com/explore/69a526b1000000000e03d98a?xsec_token=TBYlw7GbYDMDbP_5WWJv6Kp03sc1hPN2x8L4n5Hdys354=&amp;xsec_source=pc_trdark")</f>
        <v>0.0</v>
      </c>
      <c r="D347" t="inlineStr">
        <is>
          <t>鲜水湾</t>
        </is>
      </c>
      <c r="E347" t="inlineStr">
        <is>
          <t>49316638994</t>
        </is>
      </c>
      <c r="F347" t="inlineStr">
        <is>
          <t>2026-03-02 13:57:05</t>
        </is>
      </c>
      <c r="G347" t="inlineStr">
        <is>
          <t>图文</t>
        </is>
      </c>
      <c r="H347" t="inlineStr">
        <is>
          <t>手剥虾仁 无冰衣无添加 低脂餐一人食 上班带饭 顺丰包邮 5盒装</t>
        </is>
      </c>
      <c r="I347" t="inlineStr">
        <is>
          <t>694baba01d450d00013662f0</t>
        </is>
      </c>
      <c r="J347" t="inlineStr">
        <is>
          <t/>
        </is>
      </c>
      <c r="K347" t="n">
        <v>0.0</v>
      </c>
      <c r="L347" t="n">
        <v>0.0</v>
      </c>
      <c r="M347" t="n">
        <v>1.0</v>
      </c>
      <c r="N347" t="inlineStr">
        <is>
          <t>0.03225806451612903</t>
        </is>
      </c>
      <c r="O347" t="n">
        <v>1.0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inlineStr">
        <is>
          <t/>
        </is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31.0</v>
      </c>
      <c r="AE347" t="n">
        <v>0.0</v>
      </c>
      <c r="AF347" t="n">
        <v>0.0</v>
      </c>
      <c r="AG347" t="n">
        <v>0.0</v>
      </c>
      <c r="AH347" t="n">
        <v>5.0</v>
      </c>
      <c r="AI347" t="n">
        <v>0.0</v>
      </c>
      <c r="AJ347" t="n">
        <v>0.0</v>
      </c>
      <c r="AK347" t="n">
        <v>9.096774193548388</v>
      </c>
      <c r="AL347" t="inlineStr">
        <is>
          <t/>
        </is>
      </c>
    </row>
    <row r="348">
      <c r="A348" t="inlineStr">
        <is>
          <t/>
        </is>
      </c>
      <c r="B348" t="inlineStr">
        <is>
          <t>69a3f84c000000002800bd4b</t>
        </is>
      </c>
      <c r="C348" s="347" t="n">
        <f>HYPERLINK("https://www.xiaohongshu.com/explore/69a3f84c000000002800bd4b?xsec_token=TBQqoumW0Nt1tHlYiIHSjG9vAOQp4ItSDrBkjjzGMp9qU=&amp;xsec_source=pc_trdark","https://www.xiaohongshu.com/explore/69a3f84c000000002800bd4b?xsec_token=TBQqoumW0Nt1tHlYiIHSjG9vAOQp4ItSDrBkjjzGMp9qU=&amp;xsec_source=pc_trdark")</f>
        <v>0.0</v>
      </c>
      <c r="D348" t="inlineStr">
        <is>
          <t>鲜水湾</t>
        </is>
      </c>
      <c r="E348" t="inlineStr">
        <is>
          <t>49316638994</t>
        </is>
      </c>
      <c r="F348" t="inlineStr">
        <is>
          <t>2026-03-01 16:26:52</t>
        </is>
      </c>
      <c r="G348" t="inlineStr">
        <is>
          <t>图文</t>
        </is>
      </c>
      <c r="H348" t="inlineStr">
        <is>
          <t>手剥虾仁 无冰衣无添加 低脂餐一人食 上班带饭 顺丰包邮 5盒装</t>
        </is>
      </c>
      <c r="I348" t="inlineStr">
        <is>
          <t>694baba01d450d00013662f0</t>
        </is>
      </c>
      <c r="J348" t="inlineStr">
        <is>
          <t/>
        </is>
      </c>
      <c r="K348" t="n">
        <v>0.0</v>
      </c>
      <c r="L348" t="n">
        <v>0.0</v>
      </c>
      <c r="M348" t="n">
        <v>6.0</v>
      </c>
      <c r="N348" t="n">
        <v>0.1935483870967742</v>
      </c>
      <c r="O348" t="n">
        <v>5.0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inlineStr">
        <is>
          <t/>
        </is>
      </c>
      <c r="X348" t="n">
        <v>0.0</v>
      </c>
      <c r="Y348" t="n">
        <v>0.0</v>
      </c>
      <c r="Z348" t="n">
        <v>1.0</v>
      </c>
      <c r="AA348" t="n">
        <v>0.0</v>
      </c>
      <c r="AB348" t="n">
        <v>0.0</v>
      </c>
      <c r="AC348" t="n">
        <v>0.0</v>
      </c>
      <c r="AD348" t="n">
        <v>31.0</v>
      </c>
      <c r="AE348" t="n">
        <v>3.0</v>
      </c>
      <c r="AF348" t="n">
        <v>0.0</v>
      </c>
      <c r="AG348" t="n">
        <v>0.0</v>
      </c>
      <c r="AH348" t="n">
        <v>2.0</v>
      </c>
      <c r="AI348" t="n">
        <v>0.0</v>
      </c>
      <c r="AJ348" t="n">
        <v>0.0</v>
      </c>
      <c r="AK348" t="n">
        <v>7.935483870967742</v>
      </c>
      <c r="AL348" t="inlineStr">
        <is>
          <t/>
        </is>
      </c>
    </row>
    <row r="349">
      <c r="A349" t="inlineStr">
        <is>
          <t>不要低估了300来块的购买力，能买八九斤……</t>
        </is>
      </c>
      <c r="B349" t="inlineStr">
        <is>
          <t>69894c2b0000000028009f8a</t>
        </is>
      </c>
      <c r="C349" s="348" t="n">
        <f>HYPERLINK("https://www.xiaohongshu.com/explore/69894c2b0000000028009f8a?xsec_token=TBeAeWMkLJ9etYlFDlK3pgub5uCYryT7e8MPcLAVEIto8=&amp;xsec_source=pc_trdark","https://www.xiaohongshu.com/explore/69894c2b0000000028009f8a?xsec_token=TBeAeWMkLJ9etYlFDlK3pgub5uCYryT7e8MPcLAVEIto8=&amp;xsec_source=pc_trdark")</f>
        <v>0.0</v>
      </c>
      <c r="D349" t="inlineStr">
        <is>
          <t>鲜水湾</t>
        </is>
      </c>
      <c r="E349" t="inlineStr">
        <is>
          <t>49316638994</t>
        </is>
      </c>
      <c r="F349" t="inlineStr">
        <is>
          <t>2026-02-09 10:53:31</t>
        </is>
      </c>
      <c r="G349" t="inlineStr">
        <is>
          <t>图文</t>
        </is>
      </c>
      <c r="H349" t="inlineStr">
        <is>
          <t>智利三文鱼切块·整条三文鱼·深海鱼一人食健康饮食</t>
        </is>
      </c>
      <c r="I349" t="inlineStr">
        <is>
          <t>691ac562a524ee0001b51d7b</t>
        </is>
      </c>
      <c r="J349" t="inlineStr">
        <is>
          <t/>
        </is>
      </c>
      <c r="K349" t="n">
        <v>0.0</v>
      </c>
      <c r="L349" t="n">
        <v>0.0</v>
      </c>
      <c r="M349" t="n">
        <v>4.0</v>
      </c>
      <c r="N349" t="inlineStr">
        <is>
          <t>0.12903225806451613</t>
        </is>
      </c>
      <c r="O349" t="n">
        <v>4.0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inlineStr">
        <is>
          <t/>
        </is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31.0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6.258064516129032</v>
      </c>
      <c r="AL349" t="inlineStr">
        <is>
          <t/>
        </is>
      </c>
    </row>
    <row r="350">
      <c r="A350" t="inlineStr">
        <is>
          <t>刚下完大雪，生蚝一下子全肥了，不可控……</t>
        </is>
      </c>
      <c r="B350" t="inlineStr">
        <is>
          <t>6948f647000000001e02af55</t>
        </is>
      </c>
      <c r="C350" s="349" t="n">
        <f>HYPERLINK("https://www.xiaohongshu.com/explore/6948f647000000001e02af55?xsec_token=TBmTqutVtP5Tww83padVl32Pgrvygq-kpw2iEJbtDdN4I=&amp;xsec_source=pc_trdark","https://www.xiaohongshu.com/explore/6948f647000000001e02af55?xsec_token=TBmTqutVtP5Tww83padVl32Pgrvygq-kpw2iEJbtDdN4I=&amp;xsec_source=pc_trdark")</f>
        <v>0.0</v>
      </c>
      <c r="D350" t="inlineStr">
        <is>
          <t>鲜水湾</t>
        </is>
      </c>
      <c r="E350" t="inlineStr">
        <is>
          <t>49316638994</t>
        </is>
      </c>
      <c r="F350" t="inlineStr">
        <is>
          <t>2025-12-22 15:41:59</t>
        </is>
      </c>
      <c r="G350" t="inlineStr">
        <is>
          <t>图文</t>
        </is>
      </c>
      <c r="H350" t="inlineStr">
        <is>
          <t>生蚝乳山生蚝海蛎子顺丰包邮</t>
        </is>
      </c>
      <c r="I350" t="inlineStr">
        <is>
          <t>690c70971b787900010866cc</t>
        </is>
      </c>
      <c r="J350" t="inlineStr">
        <is>
          <t/>
        </is>
      </c>
      <c r="K350" t="n">
        <v>0.0</v>
      </c>
      <c r="L350" t="n">
        <v>0.0</v>
      </c>
      <c r="M350" t="n">
        <v>3.0</v>
      </c>
      <c r="N350" t="n">
        <v>0.0967741935483871</v>
      </c>
      <c r="O350" t="n">
        <v>3.0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inlineStr">
        <is>
          <t/>
        </is>
      </c>
      <c r="X350" t="n">
        <v>0.0</v>
      </c>
      <c r="Y350" t="n">
        <v>1.0</v>
      </c>
      <c r="Z350" t="n">
        <v>1.0</v>
      </c>
      <c r="AA350" t="n">
        <v>0.0</v>
      </c>
      <c r="AB350" t="n">
        <v>0.0</v>
      </c>
      <c r="AC350" t="n">
        <v>0.0</v>
      </c>
      <c r="AD350" t="n">
        <v>31.0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9.064516129032258</v>
      </c>
      <c r="AL350" t="inlineStr">
        <is>
          <t/>
        </is>
      </c>
    </row>
    <row r="351">
      <c r="A351" t="inlineStr">
        <is>
          <t>我也不想买啊！可它是免处理的大虾仁</t>
        </is>
      </c>
      <c r="B351" t="inlineStr">
        <is>
          <t>69a644dc000000001a0319a4</t>
        </is>
      </c>
      <c r="C351" s="350" t="n">
        <f>HYPERLINK("https://www.xiaohongshu.com/explore/69a644dc000000001a0319a4?xsec_token=TBDC5ayGxbZoC8jUhTnn-NfzFK2FmDZnL1Wg-NoUv7clY=&amp;xsec_source=pc_trdark","https://www.xiaohongshu.com/explore/69a644dc000000001a0319a4?xsec_token=TBDC5ayGxbZoC8jUhTnn-NfzFK2FmDZnL1Wg-NoUv7clY=&amp;xsec_source=pc_trdark")</f>
        <v>0.0</v>
      </c>
      <c r="D351" t="inlineStr">
        <is>
          <t>鲜水湾</t>
        </is>
      </c>
      <c r="E351" t="inlineStr">
        <is>
          <t>49316638994</t>
        </is>
      </c>
      <c r="F351" t="inlineStr">
        <is>
          <t>2026-03-03 10:18:04</t>
        </is>
      </c>
      <c r="G351" t="inlineStr">
        <is>
          <t>图文</t>
        </is>
      </c>
      <c r="H351" t="inlineStr">
        <is>
          <t>手剥虾仁 无冰衣无添加 低脂餐一人食 上班带饭 顺丰包邮 5盒装</t>
        </is>
      </c>
      <c r="I351" t="inlineStr">
        <is>
          <t>694baba01d450d00013662f0</t>
        </is>
      </c>
      <c r="J351" t="inlineStr">
        <is>
          <t/>
        </is>
      </c>
      <c r="K351" t="n">
        <v>0.0</v>
      </c>
      <c r="L351" t="n">
        <v>0.0</v>
      </c>
      <c r="M351" t="n">
        <v>2.0</v>
      </c>
      <c r="N351" t="inlineStr">
        <is>
          <t>0.06666666666666667</t>
        </is>
      </c>
      <c r="O351" t="n">
        <v>1.0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inlineStr">
        <is>
          <t/>
        </is>
      </c>
      <c r="X351" t="n">
        <v>0.0</v>
      </c>
      <c r="Y351" t="n">
        <v>0.0</v>
      </c>
      <c r="Z351" t="n">
        <v>4.0</v>
      </c>
      <c r="AA351" t="n">
        <v>0.0</v>
      </c>
      <c r="AB351" t="n">
        <v>0.0</v>
      </c>
      <c r="AC351" t="n">
        <v>0.0</v>
      </c>
      <c r="AD351" t="n">
        <v>30.0</v>
      </c>
      <c r="AE351" t="n">
        <v>0.0</v>
      </c>
      <c r="AF351" t="n">
        <v>0.0</v>
      </c>
      <c r="AG351" t="n">
        <v>0.0</v>
      </c>
      <c r="AH351" t="n">
        <v>6.0</v>
      </c>
      <c r="AI351" t="n">
        <v>1.0</v>
      </c>
      <c r="AJ351" t="n">
        <v>0.0</v>
      </c>
      <c r="AK351" t="n">
        <v>17.5</v>
      </c>
      <c r="AL351" t="inlineStr">
        <is>
          <t/>
        </is>
      </c>
    </row>
    <row r="352">
      <c r="A352" t="inlineStr">
        <is>
          <t>山东朋友推荐的，好好吃🥺忍不住……</t>
        </is>
      </c>
      <c r="B352" t="inlineStr">
        <is>
          <t>693f7f41000000001e026e27</t>
        </is>
      </c>
      <c r="C352" s="351" t="n">
        <f>HYPERLINK("https://www.xiaohongshu.com/explore/693f7f41000000001e026e27?xsec_token=TB1R2yju8ccr97WVPo1goJUOYgkTPvu0HR9X0r4UiwnvA=&amp;xsec_source=pc_trdark","https://www.xiaohongshu.com/explore/693f7f41000000001e026e27?xsec_token=TB1R2yju8ccr97WVPo1goJUOYgkTPvu0HR9X0r4UiwnvA=&amp;xsec_source=pc_trdark")</f>
        <v>0.0</v>
      </c>
      <c r="D352" t="inlineStr">
        <is>
          <t>鲜水湾</t>
        </is>
      </c>
      <c r="E352" t="inlineStr">
        <is>
          <t>49316638994</t>
        </is>
      </c>
      <c r="F352" t="inlineStr">
        <is>
          <t>2025-12-15 11:23:45</t>
        </is>
      </c>
      <c r="G352" t="inlineStr">
        <is>
          <t>图文</t>
        </is>
      </c>
      <c r="H352" t="inlineStr">
        <is>
          <t>生蚝乳山生蚝海蛎子顺丰包邮</t>
        </is>
      </c>
      <c r="I352" t="inlineStr">
        <is>
          <t>690c70971b787900010866cc</t>
        </is>
      </c>
      <c r="J352" t="inlineStr">
        <is>
          <t/>
        </is>
      </c>
      <c r="K352" t="n">
        <v>0.0</v>
      </c>
      <c r="L352" t="n">
        <v>0.0</v>
      </c>
      <c r="M352" t="n">
        <v>2.0</v>
      </c>
      <c r="N352" t="inlineStr">
        <is>
          <t>0.06666666666666667</t>
        </is>
      </c>
      <c r="O352" t="n">
        <v>1.0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inlineStr">
        <is>
          <t/>
        </is>
      </c>
      <c r="X352" t="n">
        <v>0.0</v>
      </c>
      <c r="Y352" t="n">
        <v>0.0</v>
      </c>
      <c r="Z352" t="n">
        <v>1.0</v>
      </c>
      <c r="AA352" t="n">
        <v>0.0</v>
      </c>
      <c r="AB352" t="n">
        <v>0.0</v>
      </c>
      <c r="AC352" t="n">
        <v>0.0</v>
      </c>
      <c r="AD352" t="n">
        <v>30.0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5.633333333333334</v>
      </c>
      <c r="AL352" t="inlineStr">
        <is>
          <t/>
        </is>
      </c>
    </row>
    <row r="353">
      <c r="A353" t="inlineStr">
        <is>
          <t>别乱囤了！69元搞定一周轻食餐🍤</t>
        </is>
      </c>
      <c r="B353" t="inlineStr">
        <is>
          <t>69b6d18d0000000023006acc</t>
        </is>
      </c>
      <c r="C353" s="352" t="n">
        <f>HYPERLINK("https://www.xiaohongshu.com/explore/69b6d18d0000000023006acc?xsec_token=TBwpaEqA4ODk9qkUKPtwfpqVRd0f1lwHQZ9DK_GJu38kw=&amp;xsec_source=pc_trdark","https://www.xiaohongshu.com/explore/69b6d18d0000000023006acc?xsec_token=TBwpaEqA4ODk9qkUKPtwfpqVRd0f1lwHQZ9DK_GJu38kw=&amp;xsec_source=pc_trdark")</f>
        <v>0.0</v>
      </c>
      <c r="D353" t="inlineStr">
        <is>
          <t>婉婉上班吃什么</t>
        </is>
      </c>
      <c r="E353" t="inlineStr">
        <is>
          <t>11434449706</t>
        </is>
      </c>
      <c r="F353" t="inlineStr">
        <is>
          <t>2026-03-15 23:34:37</t>
        </is>
      </c>
      <c r="G353" t="inlineStr">
        <is>
          <t>图文</t>
        </is>
      </c>
      <c r="H353" t="inlineStr">
        <is>
          <t>手剥虾仁 无冰衣无添加 低脂餐一人食 上班带饭 顺丰包邮 5盒装</t>
        </is>
      </c>
      <c r="I353" t="inlineStr">
        <is>
          <t>694baba01d450d00013662f0</t>
        </is>
      </c>
      <c r="J353" t="inlineStr">
        <is>
          <t/>
        </is>
      </c>
      <c r="K353" t="n">
        <v>0.0</v>
      </c>
      <c r="L353" t="n">
        <v>0.0</v>
      </c>
      <c r="M353" t="n">
        <v>3.0</v>
      </c>
      <c r="N353" t="inlineStr">
        <is>
          <t>0.10344827586206896</t>
        </is>
      </c>
      <c r="O353" t="n">
        <v>3.0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inlineStr">
        <is>
          <t/>
        </is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29.0</v>
      </c>
      <c r="AE353" t="n">
        <v>0.0</v>
      </c>
      <c r="AF353" t="n">
        <v>0.0</v>
      </c>
      <c r="AG353" t="n">
        <v>0.0</v>
      </c>
      <c r="AH353" t="n">
        <v>1.0</v>
      </c>
      <c r="AI353" t="n">
        <v>0.0</v>
      </c>
      <c r="AJ353" t="n">
        <v>0.0</v>
      </c>
      <c r="AK353" t="n">
        <v>7.137931034482759</v>
      </c>
      <c r="AL353" t="inlineStr">
        <is>
          <t/>
        </is>
      </c>
    </row>
    <row r="354">
      <c r="A354" t="inlineStr">
        <is>
          <t>厨房小白看这里！0失败的香煎三文鱼教程✅</t>
        </is>
      </c>
      <c r="B354" t="inlineStr">
        <is>
          <t>69415ddb000000001e034d33</t>
        </is>
      </c>
      <c r="C354" s="353" t="n">
        <f>HYPERLINK("https://www.xiaohongshu.com/explore/69415ddb000000001e034d33?xsec_token=TBv6go0WlLO6PYi5tzBr5K9YRgNpyTaicAvnbadSUBCKA=&amp;xsec_source=pc_trdark","https://www.xiaohongshu.com/explore/69415ddb000000001e034d33?xsec_token=TBv6go0WlLO6PYi5tzBr5K9YRgNpyTaicAvnbadSUBCKA=&amp;xsec_source=pc_trdark")</f>
        <v>0.0</v>
      </c>
      <c r="D354" t="inlineStr">
        <is>
          <t>鲜水湾</t>
        </is>
      </c>
      <c r="E354" t="inlineStr">
        <is>
          <t>49316638994</t>
        </is>
      </c>
      <c r="F354" t="inlineStr">
        <is>
          <t>2025-12-16 21:25:47</t>
        </is>
      </c>
      <c r="G354" t="inlineStr">
        <is>
          <t>图文</t>
        </is>
      </c>
      <c r="H354" t="inlineStr">
        <is>
          <t>智利三文鱼切块·整条三文鱼·深海鱼一人食健康饮食</t>
        </is>
      </c>
      <c r="I354" t="inlineStr">
        <is>
          <t>691ac562a524ee0001b51d7b</t>
        </is>
      </c>
      <c r="J354" t="inlineStr">
        <is>
          <t/>
        </is>
      </c>
      <c r="K354" t="n">
        <v>0.0</v>
      </c>
      <c r="L354" t="n">
        <v>0.0</v>
      </c>
      <c r="M354" t="n">
        <v>2.0</v>
      </c>
      <c r="N354" t="inlineStr">
        <is>
          <t>0.06896551724137931</t>
        </is>
      </c>
      <c r="O354" t="n">
        <v>2.0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inlineStr">
        <is>
          <t/>
        </is>
      </c>
      <c r="X354" t="n">
        <v>0.0</v>
      </c>
      <c r="Y354" t="n">
        <v>0.0</v>
      </c>
      <c r="Z354" t="n">
        <v>1.0</v>
      </c>
      <c r="AA354" t="n">
        <v>0.0</v>
      </c>
      <c r="AB354" t="n">
        <v>0.0</v>
      </c>
      <c r="AC354" t="n">
        <v>0.0</v>
      </c>
      <c r="AD354" t="n">
        <v>29.0</v>
      </c>
      <c r="AE354" t="n">
        <v>0.0</v>
      </c>
      <c r="AF354" t="n">
        <v>0.0</v>
      </c>
      <c r="AG354" t="n">
        <v>0.0</v>
      </c>
      <c r="AH354" t="n">
        <v>2.0</v>
      </c>
      <c r="AI354" t="n">
        <v>0.0</v>
      </c>
      <c r="AJ354" t="n">
        <v>0.0</v>
      </c>
      <c r="AK354" t="n">
        <v>26.103448275862068</v>
      </c>
      <c r="AL354" t="inlineStr">
        <is>
          <t/>
        </is>
      </c>
    </row>
    <row r="355">
      <c r="A355" t="inlineStr">
        <is>
          <t>年后控体大法，一般人我不告诉</t>
        </is>
      </c>
      <c r="B355" t="inlineStr">
        <is>
          <t>69a2be17000000002801e15b</t>
        </is>
      </c>
      <c r="C355" s="354" t="n">
        <f>HYPERLINK("https://www.xiaohongshu.com/explore/69a2be17000000002801e15b?xsec_token=TBUws-qSGfQm7WfIK5gxFwZ1Ge2kFHIGG4L62RT6nC3BY=&amp;xsec_source=pc_trdark","https://www.xiaohongshu.com/explore/69a2be17000000002801e15b?xsec_token=TBUws-qSGfQm7WfIK5gxFwZ1Ge2kFHIGG4L62RT6nC3BY=&amp;xsec_source=pc_trdark")</f>
        <v>0.0</v>
      </c>
      <c r="D355" t="inlineStr">
        <is>
          <t>鲜水湾</t>
        </is>
      </c>
      <c r="E355" t="inlineStr">
        <is>
          <t>49316638994</t>
        </is>
      </c>
      <c r="F355" t="inlineStr">
        <is>
          <t>2026-02-28 18:06:15</t>
        </is>
      </c>
      <c r="G355" t="inlineStr">
        <is>
          <t>图文</t>
        </is>
      </c>
      <c r="H355" t="inlineStr">
        <is>
          <t>手剥虾仁 无冰衣无添加 低脂餐一人食 上班带饭 顺丰包邮 5盒装</t>
        </is>
      </c>
      <c r="I355" t="inlineStr">
        <is>
          <t>694baba01d450d00013662f0</t>
        </is>
      </c>
      <c r="J355" t="inlineStr">
        <is>
          <t/>
        </is>
      </c>
      <c r="K355" t="n">
        <v>0.0</v>
      </c>
      <c r="L355" t="n">
        <v>0.0</v>
      </c>
      <c r="M355" t="n">
        <v>5.0</v>
      </c>
      <c r="N355" t="inlineStr">
        <is>
          <t>0.17857142857142858</t>
        </is>
      </c>
      <c r="O355" t="n">
        <v>4.0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inlineStr">
        <is>
          <t/>
        </is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28.0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8.678571428571429</v>
      </c>
      <c r="AL355" t="inlineStr">
        <is>
          <t/>
        </is>
      </c>
    </row>
    <row r="356">
      <c r="A356" t="inlineStr">
        <is>
          <t>现在的年轻人真的对40多的购买力没概念了…</t>
        </is>
      </c>
      <c r="B356" t="inlineStr">
        <is>
          <t>6953f2f4000000001f005a86</t>
        </is>
      </c>
      <c r="C356" s="355" t="n">
        <f>HYPERLINK("https://www.xiaohongshu.com/explore/6953f2f4000000001f005a86?xsec_token=TBmzMOJ_zly84G2ZjeUVNrpc1-iDtOtcbaxweQJHnAiAQ=&amp;xsec_source=pc_trdark","https://www.xiaohongshu.com/explore/6953f2f4000000001f005a86?xsec_token=TBmzMOJ_zly84G2ZjeUVNrpc1-iDtOtcbaxweQJHnAiAQ=&amp;xsec_source=pc_trdark")</f>
        <v>0.0</v>
      </c>
      <c r="D356" t="inlineStr">
        <is>
          <t>鲜水湾</t>
        </is>
      </c>
      <c r="E356" t="inlineStr">
        <is>
          <t>49316638994</t>
        </is>
      </c>
      <c r="F356" t="inlineStr">
        <is>
          <t>2025-12-30 23:42:44</t>
        </is>
      </c>
      <c r="G356" t="inlineStr">
        <is>
          <t>图文</t>
        </is>
      </c>
      <c r="H356" t="inlineStr">
        <is>
          <t>生蚝乳山生蚝海蛎子顺丰包邮</t>
        </is>
      </c>
      <c r="I356" t="inlineStr">
        <is>
          <t>690c70971b787900010866cc</t>
        </is>
      </c>
      <c r="J356" t="inlineStr">
        <is>
          <t/>
        </is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inlineStr">
        <is>
          <t/>
        </is>
      </c>
      <c r="R356" t="inlineStr">
        <is>
          <t/>
        </is>
      </c>
      <c r="S356" t="n">
        <v>0.0</v>
      </c>
      <c r="T356" t="n">
        <v>0.0</v>
      </c>
      <c r="U356" t="n">
        <v>0.0</v>
      </c>
      <c r="V356" t="n">
        <v>0.0</v>
      </c>
      <c r="W356" t="inlineStr">
        <is>
          <t/>
        </is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28.0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8.5</v>
      </c>
      <c r="AL356" t="inlineStr">
        <is>
          <t/>
        </is>
      </c>
    </row>
    <row r="357">
      <c r="A357" t="inlineStr">
        <is>
          <t>60块的购买力又刷新了我的认知！</t>
        </is>
      </c>
      <c r="B357" t="inlineStr">
        <is>
          <t>6916ee160000000005012c8b</t>
        </is>
      </c>
      <c r="C357" s="356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357" t="inlineStr">
        <is>
          <t>婉婉上班吃什么</t>
        </is>
      </c>
      <c r="E357" t="inlineStr">
        <is>
          <t>11434449706</t>
        </is>
      </c>
      <c r="F357" t="inlineStr">
        <is>
          <t>2025-11-14 16:53:42</t>
        </is>
      </c>
      <c r="G357" t="inlineStr">
        <is>
          <t>视频</t>
        </is>
      </c>
      <c r="H357" t="inlineStr">
        <is>
          <t>生蚝乳山生蚝海蛎子顺丰包邮</t>
        </is>
      </c>
      <c r="I357" t="inlineStr">
        <is>
          <t>690c70971b787900010866cc</t>
        </is>
      </c>
      <c r="J357" t="n">
        <v>14.0</v>
      </c>
      <c r="K357" t="n">
        <v>0.0</v>
      </c>
      <c r="L357" t="n">
        <v>0.0</v>
      </c>
      <c r="M357" t="n">
        <v>1.0</v>
      </c>
      <c r="N357" t="inlineStr">
        <is>
          <t>0.037037037037037035</t>
        </is>
      </c>
      <c r="O357" t="n">
        <v>1.0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inlineStr">
        <is>
          <t/>
        </is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27.0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4.851851851851852</v>
      </c>
      <c r="AL357" t="n">
        <v>0.0967741935483871</v>
      </c>
    </row>
    <row r="358">
      <c r="A358" t="inlineStr">
        <is>
          <t>逼自己吃了两周水煮虾仁，结果真的惊到我</t>
        </is>
      </c>
      <c r="B358" t="inlineStr">
        <is>
          <t>69cbd5a3000000001f00702c</t>
        </is>
      </c>
      <c r="C358" s="357" t="n">
        <f>HYPERLINK("https://www.xiaohongshu.com/explore/69cbd5a3000000001f00702c?xsec_token=TBNvk7eB588c7ey-qUUMF7OdLeTEZxb_0FZOaAnUewi20=&amp;xsec_source=pc_trdark","https://www.xiaohongshu.com/explore/69cbd5a3000000001f00702c?xsec_token=TBNvk7eB588c7ey-qUUMF7OdLeTEZxb_0FZOaAnUewi20=&amp;xsec_source=pc_trdark")</f>
        <v>0.0</v>
      </c>
      <c r="D358" t="inlineStr">
        <is>
          <t>婉婉上班吃什么</t>
        </is>
      </c>
      <c r="E358" t="inlineStr">
        <is>
          <t>11434449706</t>
        </is>
      </c>
      <c r="F358" t="inlineStr">
        <is>
          <t>2026-03-31 22:09:39</t>
        </is>
      </c>
      <c r="G358" t="inlineStr">
        <is>
          <t>图文</t>
        </is>
      </c>
      <c r="H358" t="inlineStr">
        <is>
          <t>手剥虾仁 无冰衣无添加 低脂餐一人食 上班带饭 顺丰包邮 5盒装</t>
        </is>
      </c>
      <c r="I358" t="inlineStr">
        <is>
          <t>694baba01d450d00013662f0</t>
        </is>
      </c>
      <c r="J358" t="inlineStr">
        <is>
          <t/>
        </is>
      </c>
      <c r="K358" t="n">
        <v>0.0</v>
      </c>
      <c r="L358" t="n">
        <v>0.0</v>
      </c>
      <c r="M358" t="n">
        <v>2.0</v>
      </c>
      <c r="N358" t="inlineStr">
        <is>
          <t>0.07692307692307693</t>
        </is>
      </c>
      <c r="O358" t="n">
        <v>2.0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inlineStr">
        <is>
          <t/>
        </is>
      </c>
      <c r="X358" t="n">
        <v>0.0</v>
      </c>
      <c r="Y358" t="n">
        <v>1.0</v>
      </c>
      <c r="Z358" t="n">
        <v>0.0</v>
      </c>
      <c r="AA358" t="n">
        <v>0.0</v>
      </c>
      <c r="AB358" t="n">
        <v>0.0</v>
      </c>
      <c r="AC358" t="n">
        <v>0.0</v>
      </c>
      <c r="AD358" t="n">
        <v>26.0</v>
      </c>
      <c r="AE358" t="n">
        <v>0.0</v>
      </c>
      <c r="AF358" t="n">
        <v>0.0</v>
      </c>
      <c r="AG358" t="n">
        <v>1.0</v>
      </c>
      <c r="AH358" t="n">
        <v>2.0</v>
      </c>
      <c r="AI358" t="n">
        <v>0.0</v>
      </c>
      <c r="AJ358" t="n">
        <v>0.0</v>
      </c>
      <c r="AK358" t="n">
        <v>9.115384615384615</v>
      </c>
      <c r="AL358" t="inlineStr">
        <is>
          <t/>
        </is>
      </c>
    </row>
    <row r="359">
      <c r="A359" t="inlineStr">
        <is>
          <t>因为我一个人，带动了办公室…</t>
        </is>
      </c>
      <c r="B359" t="inlineStr">
        <is>
          <t>69c10ac5000000002301d11c</t>
        </is>
      </c>
      <c r="C359" s="358" t="n">
        <f>HYPERLINK("https://www.xiaohongshu.com/explore/69c10ac5000000002301d11c?xsec_token=TBltfkQyXS0u_Ko7SgIzuBYjxWKFk1iLojPrukKWTjTL0=&amp;xsec_source=pc_trdark","https://www.xiaohongshu.com/explore/69c10ac5000000002301d11c?xsec_token=TBltfkQyXS0u_Ko7SgIzuBYjxWKFk1iLojPrukKWTjTL0=&amp;xsec_source=pc_trdark")</f>
        <v>0.0</v>
      </c>
      <c r="D359" t="inlineStr">
        <is>
          <t>菲菲上班吃什么</t>
        </is>
      </c>
      <c r="E359" t="inlineStr">
        <is>
          <t>49936530607</t>
        </is>
      </c>
      <c r="F359" t="inlineStr">
        <is>
          <t>2026-03-23 17:41:25</t>
        </is>
      </c>
      <c r="G359" t="inlineStr">
        <is>
          <t>图文</t>
        </is>
      </c>
      <c r="H359" t="inlineStr">
        <is>
          <t>手剥虾仁 无冰衣无添加 低脂餐一人食 上班带饭 顺丰包邮 5盒装</t>
        </is>
      </c>
      <c r="I359" t="inlineStr">
        <is>
          <t>694baba01d450d00013662f0</t>
        </is>
      </c>
      <c r="J359" t="inlineStr">
        <is>
          <t/>
        </is>
      </c>
      <c r="K359" t="n">
        <v>0.0</v>
      </c>
      <c r="L359" t="n">
        <v>0.0</v>
      </c>
      <c r="M359" t="n">
        <v>4.0</v>
      </c>
      <c r="N359" t="inlineStr">
        <is>
          <t>0.15384615384615385</t>
        </is>
      </c>
      <c r="O359" t="n">
        <v>4.0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inlineStr">
        <is>
          <t/>
        </is>
      </c>
      <c r="X359" t="n">
        <v>0.0</v>
      </c>
      <c r="Y359" t="n">
        <v>1.0</v>
      </c>
      <c r="Z359" t="n">
        <v>0.0</v>
      </c>
      <c r="AA359" t="n">
        <v>0.0</v>
      </c>
      <c r="AB359" t="n">
        <v>0.0</v>
      </c>
      <c r="AC359" t="n">
        <v>0.0</v>
      </c>
      <c r="AD359" t="n">
        <v>26.0</v>
      </c>
      <c r="AE359" t="n">
        <v>1.0</v>
      </c>
      <c r="AF359" t="n">
        <v>0.0</v>
      </c>
      <c r="AG359" t="n">
        <v>0.0</v>
      </c>
      <c r="AH359" t="n">
        <v>1.0</v>
      </c>
      <c r="AI359" t="n">
        <v>0.0</v>
      </c>
      <c r="AJ359" t="n">
        <v>0.0</v>
      </c>
      <c r="AK359" t="n">
        <v>9.807692307692308</v>
      </c>
      <c r="AL359" t="inlineStr">
        <is>
          <t/>
        </is>
      </c>
    </row>
    <row r="360">
      <c r="A360" t="inlineStr">
        <is>
          <t>下个月发工资我要再买30袋</t>
        </is>
      </c>
      <c r="B360" t="inlineStr">
        <is>
          <t>69b7c1a7000000001f002a7e</t>
        </is>
      </c>
      <c r="C360" s="359" t="n">
        <f>HYPERLINK("https://www.xiaohongshu.com/explore/69b7c1a7000000001f002a7e?xsec_token=TBioiHaRPpzHnl86RCtCFk9kz1_ho8y0RTDnZkKQ6sSCA=&amp;xsec_source=pc_trdark","https://www.xiaohongshu.com/explore/69b7c1a7000000001f002a7e?xsec_token=TBioiHaRPpzHnl86RCtCFk9kz1_ho8y0RTDnZkKQ6sSCA=&amp;xsec_source=pc_trdark")</f>
        <v>0.0</v>
      </c>
      <c r="D360" t="inlineStr">
        <is>
          <t>鲜水湾</t>
        </is>
      </c>
      <c r="E360" t="inlineStr">
        <is>
          <t>49316638994</t>
        </is>
      </c>
      <c r="F360" t="inlineStr">
        <is>
          <t>2026-03-16 16:39:03</t>
        </is>
      </c>
      <c r="G360" t="inlineStr">
        <is>
          <t>图文</t>
        </is>
      </c>
      <c r="H360" t="inlineStr">
        <is>
          <t>手剥虾仁 无冰衣无添加 低脂餐一人食 上班带饭 顺丰包邮 5盒装</t>
        </is>
      </c>
      <c r="I360" t="inlineStr">
        <is>
          <t>694baba01d450d00013662f0</t>
        </is>
      </c>
      <c r="J360" t="inlineStr">
        <is>
          <t/>
        </is>
      </c>
      <c r="K360" t="n">
        <v>0.0</v>
      </c>
      <c r="L360" t="n">
        <v>0.0</v>
      </c>
      <c r="M360" t="n">
        <v>5.0</v>
      </c>
      <c r="N360" t="inlineStr">
        <is>
          <t>0.19230769230769232</t>
        </is>
      </c>
      <c r="O360" t="n">
        <v>4.0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inlineStr">
        <is>
          <t/>
        </is>
      </c>
      <c r="X360" t="n">
        <v>0.0</v>
      </c>
      <c r="Y360" t="n">
        <v>0.0</v>
      </c>
      <c r="Z360" t="n">
        <v>1.0</v>
      </c>
      <c r="AA360" t="n">
        <v>0.0</v>
      </c>
      <c r="AB360" t="n">
        <v>0.0</v>
      </c>
      <c r="AC360" t="n">
        <v>0.0</v>
      </c>
      <c r="AD360" t="n">
        <v>26.0</v>
      </c>
      <c r="AE360" t="n">
        <v>1.0</v>
      </c>
      <c r="AF360" t="n">
        <v>0.0</v>
      </c>
      <c r="AG360" t="n">
        <v>0.0</v>
      </c>
      <c r="AH360" t="n">
        <v>1.0</v>
      </c>
      <c r="AI360" t="n">
        <v>0.0</v>
      </c>
      <c r="AJ360" t="n">
        <v>0.0</v>
      </c>
      <c r="AK360" t="n">
        <v>9.26923076923077</v>
      </c>
      <c r="AL360" t="inlineStr">
        <is>
          <t/>
        </is>
      </c>
    </row>
    <row r="361">
      <c r="A361" t="inlineStr">
        <is>
          <t>没人觉得上班带饭减肥真的很省钱吗</t>
        </is>
      </c>
      <c r="B361" t="inlineStr">
        <is>
          <t>69b139ae000000000600af35</t>
        </is>
      </c>
      <c r="C361" s="360" t="n">
        <f>HYPERLINK("https://www.xiaohongshu.com/explore/69b139ae000000000600af35?xsec_token=TBPThwaY7kqe53qUk5J0OyzvleYy_SnK1tB8cjTywYq08=&amp;xsec_source=pc_trdark","https://www.xiaohongshu.com/explore/69b139ae000000000600af35?xsec_token=TBPThwaY7kqe53qUk5J0OyzvleYy_SnK1tB8cjTywYq08=&amp;xsec_source=pc_trdark")</f>
        <v>0.0</v>
      </c>
      <c r="D361" t="inlineStr">
        <is>
          <t>鲜水湾</t>
        </is>
      </c>
      <c r="E361" t="inlineStr">
        <is>
          <t>49316638994</t>
        </is>
      </c>
      <c r="F361" t="inlineStr">
        <is>
          <t>2026-03-11 17:45:18</t>
        </is>
      </c>
      <c r="G361" t="inlineStr">
        <is>
          <t>图文</t>
        </is>
      </c>
      <c r="H361" t="inlineStr">
        <is>
          <t>大虾基围虾王牌大虾厄瓜多尔白虾盐冻虾仁海洋大虾送礼顺丰包邮</t>
        </is>
      </c>
      <c r="I361" t="inlineStr">
        <is>
          <t>690aeb7be379430001e686ac</t>
        </is>
      </c>
      <c r="J361" t="inlineStr">
        <is>
          <t/>
        </is>
      </c>
      <c r="K361" t="n">
        <v>0.0</v>
      </c>
      <c r="L361" t="n">
        <v>0.0</v>
      </c>
      <c r="M361" t="n">
        <v>3.0</v>
      </c>
      <c r="N361" t="inlineStr">
        <is>
          <t>0.11538461538461539</t>
        </is>
      </c>
      <c r="O361" t="n">
        <v>3.0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inlineStr">
        <is>
          <t/>
        </is>
      </c>
      <c r="X361" t="n">
        <v>0.0</v>
      </c>
      <c r="Y361" t="n">
        <v>1.0</v>
      </c>
      <c r="Z361" t="n">
        <v>3.0</v>
      </c>
      <c r="AA361" t="n">
        <v>0.0</v>
      </c>
      <c r="AB361" t="n">
        <v>0.0</v>
      </c>
      <c r="AC361" t="n">
        <v>0.0</v>
      </c>
      <c r="AD361" t="n">
        <v>26.0</v>
      </c>
      <c r="AE361" t="n">
        <v>1.0</v>
      </c>
      <c r="AF361" t="n">
        <v>0.0</v>
      </c>
      <c r="AG361" t="n">
        <v>0.0</v>
      </c>
      <c r="AH361" t="n">
        <v>2.0</v>
      </c>
      <c r="AI361" t="n">
        <v>0.0</v>
      </c>
      <c r="AJ361" t="n">
        <v>0.0</v>
      </c>
      <c r="AK361" t="n">
        <v>11.115384615384615</v>
      </c>
      <c r="AL361" t="inlineStr">
        <is>
          <t/>
        </is>
      </c>
    </row>
    <row r="362">
      <c r="A362" t="inlineStr">
        <is>
          <t>虾仁才是自律期首选！吃完毫无负罪感</t>
        </is>
      </c>
      <c r="B362" t="inlineStr">
        <is>
          <t>69b10f88000000000c01404a</t>
        </is>
      </c>
      <c r="C362" s="361" t="n">
        <f>HYPERLINK("https://www.xiaohongshu.com/explore/69b10f88000000000c01404a?xsec_token=TBPThwaY7kqe53qUk5J0Oyzi3RRZ3P41PMSB-kD548sfE=&amp;xsec_source=pc_trdark","https://www.xiaohongshu.com/explore/69b10f88000000000c01404a?xsec_token=TBPThwaY7kqe53qUk5J0Oyzi3RRZ3P41PMSB-kD548sfE=&amp;xsec_source=pc_trdark")</f>
        <v>0.0</v>
      </c>
      <c r="D362" t="inlineStr">
        <is>
          <t>婉婉上班吃什么</t>
        </is>
      </c>
      <c r="E362" t="inlineStr">
        <is>
          <t>11434449706</t>
        </is>
      </c>
      <c r="F362" t="inlineStr">
        <is>
          <t>2026-03-11 14:45:28</t>
        </is>
      </c>
      <c r="G362" t="inlineStr">
        <is>
          <t>图文</t>
        </is>
      </c>
      <c r="H362" t="inlineStr">
        <is>
          <t>手剥虾仁 无冰衣无添加 低脂餐一人食 上班带饭 顺丰包邮 5盒装</t>
        </is>
      </c>
      <c r="I362" t="inlineStr">
        <is>
          <t>694baba01d450d00013662f0</t>
        </is>
      </c>
      <c r="J362" t="inlineStr">
        <is>
          <t/>
        </is>
      </c>
      <c r="K362" t="n">
        <v>0.0</v>
      </c>
      <c r="L362" t="n">
        <v>0.0</v>
      </c>
      <c r="M362" t="n">
        <v>2.0</v>
      </c>
      <c r="N362" t="inlineStr">
        <is>
          <t>0.07692307692307693</t>
        </is>
      </c>
      <c r="O362" t="n">
        <v>1.0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inlineStr">
        <is>
          <t/>
        </is>
      </c>
      <c r="X362" t="n">
        <v>0.0</v>
      </c>
      <c r="Y362" t="n">
        <v>0.0</v>
      </c>
      <c r="Z362" t="n">
        <v>1.0</v>
      </c>
      <c r="AA362" t="n">
        <v>0.0</v>
      </c>
      <c r="AB362" t="n">
        <v>0.0</v>
      </c>
      <c r="AC362" t="n">
        <v>0.0</v>
      </c>
      <c r="AD362" t="n">
        <v>26.0</v>
      </c>
      <c r="AE362" t="n">
        <v>1.0</v>
      </c>
      <c r="AF362" t="n">
        <v>0.0</v>
      </c>
      <c r="AG362" t="n">
        <v>0.0</v>
      </c>
      <c r="AH362" t="n">
        <v>3.0</v>
      </c>
      <c r="AI362" t="n">
        <v>0.0</v>
      </c>
      <c r="AJ362" t="n">
        <v>0.0</v>
      </c>
      <c r="AK362" t="n">
        <v>5.076923076923077</v>
      </c>
      <c r="AL362" t="inlineStr">
        <is>
          <t/>
        </is>
      </c>
    </row>
    <row r="363">
      <c r="A363" t="inlineStr">
        <is>
          <t>当代减脂人的冰箱！无痛备菜！</t>
        </is>
      </c>
      <c r="B363" t="inlineStr">
        <is>
          <t>69a7f805000000000d009847</t>
        </is>
      </c>
      <c r="C363" s="362" t="n">
        <f>HYPERLINK("https://www.xiaohongshu.com/explore/69a7f805000000000d009847?xsec_token=TBfaHJOfbObHzNAqAc3bkGM3aKtHbBj0Voeot7tjR38rs=&amp;xsec_source=pc_trdark","https://www.xiaohongshu.com/explore/69a7f805000000000d009847?xsec_token=TBfaHJOfbObHzNAqAc3bkGM3aKtHbBj0Voeot7tjR38rs=&amp;xsec_source=pc_trdark")</f>
        <v>0.0</v>
      </c>
      <c r="D363" t="inlineStr">
        <is>
          <t>鲜水湾</t>
        </is>
      </c>
      <c r="E363" t="inlineStr">
        <is>
          <t>49316638994</t>
        </is>
      </c>
      <c r="F363" t="inlineStr">
        <is>
          <t>2026-03-04 17:14:46</t>
        </is>
      </c>
      <c r="G363" t="inlineStr">
        <is>
          <t>图文</t>
        </is>
      </c>
      <c r="H363" t="inlineStr">
        <is>
          <t>手剥虾仁 无冰衣无添加 低脂餐一人食 上班带饭 顺丰包邮 5盒装</t>
        </is>
      </c>
      <c r="I363" t="inlineStr">
        <is>
          <t>694baba01d450d00013662f0</t>
        </is>
      </c>
      <c r="J363" t="inlineStr">
        <is>
          <t/>
        </is>
      </c>
      <c r="K363" t="n">
        <v>0.0</v>
      </c>
      <c r="L363" t="n">
        <v>0.0</v>
      </c>
      <c r="M363" t="n">
        <v>5.0</v>
      </c>
      <c r="N363" t="inlineStr">
        <is>
          <t>0.19230769230769232</t>
        </is>
      </c>
      <c r="O363" t="n">
        <v>3.0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inlineStr">
        <is>
          <t/>
        </is>
      </c>
      <c r="X363" t="n">
        <v>0.0</v>
      </c>
      <c r="Y363" t="n">
        <v>1.0</v>
      </c>
      <c r="Z363" t="n">
        <v>0.0</v>
      </c>
      <c r="AA363" t="n">
        <v>0.0</v>
      </c>
      <c r="AB363" t="n">
        <v>0.0</v>
      </c>
      <c r="AC363" t="n">
        <v>0.0</v>
      </c>
      <c r="AD363" t="n">
        <v>26.0</v>
      </c>
      <c r="AE363" t="n">
        <v>1.0</v>
      </c>
      <c r="AF363" t="n">
        <v>0.0</v>
      </c>
      <c r="AG363" t="n">
        <v>0.0</v>
      </c>
      <c r="AH363" t="n">
        <v>2.0</v>
      </c>
      <c r="AI363" t="n">
        <v>0.0</v>
      </c>
      <c r="AJ363" t="n">
        <v>0.0</v>
      </c>
      <c r="AK363" t="n">
        <v>6.6923076923076925</v>
      </c>
      <c r="AL363" t="inlineStr">
        <is>
          <t/>
        </is>
      </c>
    </row>
    <row r="364">
      <c r="A364" t="inlineStr">
        <is>
          <t>和爸妈商量后，决定69三斤大虾，试试就500单</t>
        </is>
      </c>
      <c r="B364" t="inlineStr">
        <is>
          <t>69805c08000000001a032143</t>
        </is>
      </c>
      <c r="C364" s="363" t="n">
        <f>HYPERLINK("https://www.xiaohongshu.com/explore/69805c08000000001a032143?xsec_token=TBZp4EcwSVhJKyeKQt7CpumdRVIdyVLOrXzt3H_27kwfc=&amp;xsec_source=pc_trdark","https://www.xiaohongshu.com/explore/69805c08000000001a032143?xsec_token=TBZp4EcwSVhJKyeKQt7CpumdRVIdyVLOrXzt3H_27kwfc=&amp;xsec_source=pc_trdark")</f>
        <v>0.0</v>
      </c>
      <c r="D364" t="inlineStr">
        <is>
          <t>鲜水湾</t>
        </is>
      </c>
      <c r="E364" t="inlineStr">
        <is>
          <t>49316638994</t>
        </is>
      </c>
      <c r="F364" t="inlineStr">
        <is>
          <t>2026-02-02 16:10:48</t>
        </is>
      </c>
      <c r="G364" t="inlineStr">
        <is>
          <t>图文</t>
        </is>
      </c>
      <c r="H364" t="inlineStr">
        <is>
          <t>大虾基围虾王牌大虾厄瓜多尔白虾盐冻虾仁海洋大虾送礼顺丰包邮</t>
        </is>
      </c>
      <c r="I364" t="inlineStr">
        <is>
          <t>690aeb7be379430001e686ac</t>
        </is>
      </c>
      <c r="J364" t="inlineStr">
        <is>
          <t/>
        </is>
      </c>
      <c r="K364" t="n">
        <v>0.0</v>
      </c>
      <c r="L364" t="n">
        <v>0.0</v>
      </c>
      <c r="M364" t="n">
        <v>1.0</v>
      </c>
      <c r="N364" t="inlineStr">
        <is>
          <t>0.038461538461538464</t>
        </is>
      </c>
      <c r="O364" t="n">
        <v>1.0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inlineStr">
        <is>
          <t/>
        </is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26.0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6.115384615384615</v>
      </c>
      <c r="AL364" t="inlineStr">
        <is>
          <t/>
        </is>
      </c>
    </row>
    <row r="365">
      <c r="A365" t="inlineStr">
        <is>
          <t>建议12月狠狠吃生蚝，40+一箱的生蚝真好吃</t>
        </is>
      </c>
      <c r="B365" t="inlineStr">
        <is>
          <t>693cce7e000000001e03b55b</t>
        </is>
      </c>
      <c r="C365" s="364" t="n">
        <f>HYPERLINK("https://www.xiaohongshu.com/explore/693cce7e000000001e03b55b?xsec_token=TBby_8TUlAJfj-jHsmZvLUDY0L7dhLBoa4eNU39m3lyug=&amp;xsec_source=pc_trdark","https://www.xiaohongshu.com/explore/693cce7e000000001e03b55b?xsec_token=TBby_8TUlAJfj-jHsmZvLUDY0L7dhLBoa4eNU39m3lyug=&amp;xsec_source=pc_trdark")</f>
        <v>0.0</v>
      </c>
      <c r="D365" t="inlineStr">
        <is>
          <t>婉婉上班吃什么</t>
        </is>
      </c>
      <c r="E365" t="inlineStr">
        <is>
          <t>11434449706</t>
        </is>
      </c>
      <c r="F365" t="inlineStr">
        <is>
          <t>2025-12-13 10:25:02</t>
        </is>
      </c>
      <c r="G365" t="inlineStr">
        <is>
          <t>视频</t>
        </is>
      </c>
      <c r="H365" t="inlineStr">
        <is>
          <t>生蚝乳山生蚝海蛎子顺丰包邮</t>
        </is>
      </c>
      <c r="I365" t="inlineStr">
        <is>
          <t>690c70971b787900010866cc</t>
        </is>
      </c>
      <c r="J365" t="n">
        <v>26.0</v>
      </c>
      <c r="K365" t="n">
        <v>0.0</v>
      </c>
      <c r="L365" t="n">
        <v>0.0</v>
      </c>
      <c r="M365" t="n">
        <v>2.0</v>
      </c>
      <c r="N365" t="inlineStr">
        <is>
          <t>0.07692307692307693</t>
        </is>
      </c>
      <c r="O365" t="n">
        <v>2.0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inlineStr">
        <is>
          <t/>
        </is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26.0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6.153846153846154</v>
      </c>
      <c r="AL365" t="n">
        <v>0.0967741935483871</v>
      </c>
    </row>
    <row r="366">
      <c r="A366" t="inlineStr">
        <is>
          <t>跟厚皮橙老师学的黄油虾仁巨巨巨好吃😋</t>
        </is>
      </c>
      <c r="B366" t="inlineStr">
        <is>
          <t>69c9da59000000002301da91</t>
        </is>
      </c>
      <c r="C366" s="365" t="n">
        <f>HYPERLINK("https://www.xiaohongshu.com/explore/69c9da59000000002301da91?xsec_token=TBbpP5CiN94LtvLtPXlqbAxfs8rU8fKNKTmH7wFGGsKaQ=&amp;xsec_source=pc_trdark","https://www.xiaohongshu.com/explore/69c9da59000000002301da91?xsec_token=TBbpP5CiN94LtvLtPXlqbAxfs8rU8fKNKTmH7wFGGsKaQ=&amp;xsec_source=pc_trdark")</f>
        <v>0.0</v>
      </c>
      <c r="D366" t="inlineStr">
        <is>
          <t>菲菲上班吃什么</t>
        </is>
      </c>
      <c r="E366" t="inlineStr">
        <is>
          <t>49936530607</t>
        </is>
      </c>
      <c r="F366" t="inlineStr">
        <is>
          <t>2026-03-30 10:05:13</t>
        </is>
      </c>
      <c r="G366" t="inlineStr">
        <is>
          <t>图文</t>
        </is>
      </c>
      <c r="H366" t="inlineStr">
        <is>
          <t>手剥虾仁 无冰衣无添加 低脂餐一人食 上班带饭 顺丰包邮 5盒装</t>
        </is>
      </c>
      <c r="I366" t="inlineStr">
        <is>
          <t>694baba01d450d00013662f0</t>
        </is>
      </c>
      <c r="J366" t="inlineStr">
        <is>
          <t/>
        </is>
      </c>
      <c r="K366" t="n">
        <v>0.0</v>
      </c>
      <c r="L366" t="n">
        <v>0.0</v>
      </c>
      <c r="M366" t="n">
        <v>1.0</v>
      </c>
      <c r="N366" t="n">
        <v>0.04</v>
      </c>
      <c r="O366" t="n">
        <v>1.0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inlineStr">
        <is>
          <t/>
        </is>
      </c>
      <c r="X366" t="n">
        <v>0.0</v>
      </c>
      <c r="Y366" t="n">
        <v>0.0</v>
      </c>
      <c r="Z366" t="n">
        <v>2.0</v>
      </c>
      <c r="AA366" t="n">
        <v>0.0</v>
      </c>
      <c r="AB366" t="n">
        <v>0.0</v>
      </c>
      <c r="AC366" t="n">
        <v>0.0</v>
      </c>
      <c r="AD366" t="n">
        <v>25.0</v>
      </c>
      <c r="AE366" t="n">
        <v>0.0</v>
      </c>
      <c r="AF366" t="n">
        <v>0.0</v>
      </c>
      <c r="AG366" t="n">
        <v>0.0</v>
      </c>
      <c r="AH366" t="n">
        <v>1.0</v>
      </c>
      <c r="AI366" t="n">
        <v>1.0</v>
      </c>
      <c r="AJ366" t="n">
        <v>0.0</v>
      </c>
      <c r="AK366" t="n">
        <v>15.72</v>
      </c>
      <c r="AL366" t="inlineStr">
        <is>
          <t/>
        </is>
      </c>
    </row>
    <row r="367">
      <c r="A367" t="inlineStr">
        <is>
          <t>老妈商量后，推出0添加减脂专属小包</t>
        </is>
      </c>
      <c r="B367" t="inlineStr">
        <is>
          <t>69a53fd7000000001a02c36d</t>
        </is>
      </c>
      <c r="C367" s="366" t="n">
        <f>HYPERLINK("https://www.xiaohongshu.com/explore/69a53fd7000000001a02c36d?xsec_token=TBYlw7GbYDMDbP_5WWJv6Kpwmc-Ir5JvcOap5FZXn5rbM=&amp;xsec_source=pc_trdark","https://www.xiaohongshu.com/explore/69a53fd7000000001a02c36d?xsec_token=TBYlw7GbYDMDbP_5WWJv6Kpwmc-Ir5JvcOap5FZXn5rbM=&amp;xsec_source=pc_trdark")</f>
        <v>0.0</v>
      </c>
      <c r="D367" t="inlineStr">
        <is>
          <t>婉婉上班吃什么</t>
        </is>
      </c>
      <c r="E367" t="inlineStr">
        <is>
          <t>11434449706</t>
        </is>
      </c>
      <c r="F367" t="inlineStr">
        <is>
          <t>2026-03-02 15:44:23</t>
        </is>
      </c>
      <c r="G367" t="inlineStr">
        <is>
          <t>图文</t>
        </is>
      </c>
      <c r="H367" t="inlineStr">
        <is>
          <t>手剥虾仁 无冰衣无添加 低脂餐一人食 上班带饭 顺丰包邮 5盒装</t>
        </is>
      </c>
      <c r="I367" t="inlineStr">
        <is>
          <t>694baba01d450d00013662f0</t>
        </is>
      </c>
      <c r="J367" t="inlineStr">
        <is>
          <t/>
        </is>
      </c>
      <c r="K367" t="n">
        <v>0.0</v>
      </c>
      <c r="L367" t="n">
        <v>0.0</v>
      </c>
      <c r="M367" t="n">
        <v>2.0</v>
      </c>
      <c r="N367" t="n">
        <v>0.08</v>
      </c>
      <c r="O367" t="n">
        <v>2.0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inlineStr">
        <is>
          <t/>
        </is>
      </c>
      <c r="X367" t="n">
        <v>0.0</v>
      </c>
      <c r="Y367" t="n">
        <v>1.0</v>
      </c>
      <c r="Z367" t="n">
        <v>0.0</v>
      </c>
      <c r="AA367" t="n">
        <v>0.0</v>
      </c>
      <c r="AB367" t="n">
        <v>0.0</v>
      </c>
      <c r="AC367" t="n">
        <v>0.0</v>
      </c>
      <c r="AD367" t="n">
        <v>25.0</v>
      </c>
      <c r="AE367" t="n">
        <v>1.0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6.8</v>
      </c>
      <c r="AL367" t="inlineStr">
        <is>
          <t/>
        </is>
      </c>
    </row>
    <row r="368">
      <c r="A368" t="inlineStr">
        <is>
          <t>大学生闭眼入！感受一下60块的购买力</t>
        </is>
      </c>
      <c r="B368" t="inlineStr">
        <is>
          <t>69a2a0c60000000026033610</t>
        </is>
      </c>
      <c r="C368" s="367" t="n">
        <f>HYPERLINK("https://www.xiaohongshu.com/explore/69a2a0c60000000026033610?xsec_token=TBUws-qSGfQm7WfIK5gxFwZ_p1fpXI9YdGl6qrssTlDZg=&amp;xsec_source=pc_trdark","https://www.xiaohongshu.com/explore/69a2a0c60000000026033610?xsec_token=TBUws-qSGfQm7WfIK5gxFwZ_p1fpXI9YdGl6qrssTlDZg=&amp;xsec_source=pc_trdark")</f>
        <v>0.0</v>
      </c>
      <c r="D368" t="inlineStr">
        <is>
          <t>鲜水湾甄选</t>
        </is>
      </c>
      <c r="E368" t="inlineStr">
        <is>
          <t>27401929161</t>
        </is>
      </c>
      <c r="F368" t="inlineStr">
        <is>
          <t>2026-02-28 16:01:10</t>
        </is>
      </c>
      <c r="G368" t="inlineStr">
        <is>
          <t>图文</t>
        </is>
      </c>
      <c r="H368" t="inlineStr">
        <is>
          <t>北极甜虾头籽甜虾元宝虾北极熊冰虾孕妈妈宝宝辅食顺丰</t>
        </is>
      </c>
      <c r="I368" t="inlineStr">
        <is>
          <t>6953717eb8f0bb000115158d</t>
        </is>
      </c>
      <c r="J368" t="inlineStr">
        <is>
          <t/>
        </is>
      </c>
      <c r="K368" t="n">
        <v>0.0</v>
      </c>
      <c r="L368" t="n">
        <v>0.0</v>
      </c>
      <c r="M368" t="n">
        <v>2.0</v>
      </c>
      <c r="N368" t="n">
        <v>0.08</v>
      </c>
      <c r="O368" t="n">
        <v>2.0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inlineStr">
        <is>
          <t/>
        </is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25.0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10.2</v>
      </c>
      <c r="AL368" t="inlineStr">
        <is>
          <t/>
        </is>
      </c>
    </row>
    <row r="369">
      <c r="A369" t="inlineStr">
        <is>
          <t>无保水虾仁才是孕妈妈、宝宝辅食的首选</t>
        </is>
      </c>
      <c r="B369" t="inlineStr">
        <is>
          <t>69c8cd4e0000000022028710</t>
        </is>
      </c>
      <c r="C369" s="368" t="n">
        <f>HYPERLINK("https://www.xiaohongshu.com/explore/69c8cd4e0000000022028710?xsec_token=TBSs0bsvi6YGXB042lLCz_JLk-P_R2ttQQGAlg49okX5c=&amp;xsec_source=pc_trdark","https://www.xiaohongshu.com/explore/69c8cd4e0000000022028710?xsec_token=TBSs0bsvi6YGXB042lLCz_JLk-P_R2ttQQGAlg49okX5c=&amp;xsec_source=pc_trdark")</f>
        <v>0.0</v>
      </c>
      <c r="D369" t="inlineStr">
        <is>
          <t>鲜水湾</t>
        </is>
      </c>
      <c r="E369" t="inlineStr">
        <is>
          <t>49316638994</t>
        </is>
      </c>
      <c r="F369" t="inlineStr">
        <is>
          <t>2026-03-29 14:57:18</t>
        </is>
      </c>
      <c r="G369" t="inlineStr">
        <is>
          <t>图文</t>
        </is>
      </c>
      <c r="H369" t="inlineStr">
        <is>
          <t>手剥虾仁 无冰衣无添加 低脂餐一人食 上班带饭 顺丰包邮 5盒装</t>
        </is>
      </c>
      <c r="I369" t="inlineStr">
        <is>
          <t>694baba01d450d00013662f0</t>
        </is>
      </c>
      <c r="J369" t="inlineStr">
        <is>
          <t/>
        </is>
      </c>
      <c r="K369" t="n">
        <v>0.0</v>
      </c>
      <c r="L369" t="n">
        <v>0.0</v>
      </c>
      <c r="M369" t="n">
        <v>4.0</v>
      </c>
      <c r="N369" t="inlineStr">
        <is>
          <t>0.16666666666666666</t>
        </is>
      </c>
      <c r="O369" t="n">
        <v>4.0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inlineStr">
        <is>
          <t/>
        </is>
      </c>
      <c r="X369" t="n">
        <v>0.0</v>
      </c>
      <c r="Y369" t="n">
        <v>2.0</v>
      </c>
      <c r="Z369" t="n">
        <v>0.0</v>
      </c>
      <c r="AA369" t="n">
        <v>0.0</v>
      </c>
      <c r="AB369" t="n">
        <v>0.0</v>
      </c>
      <c r="AC369" t="n">
        <v>0.0</v>
      </c>
      <c r="AD369" t="n">
        <v>24.0</v>
      </c>
      <c r="AE369" t="n">
        <v>0.0</v>
      </c>
      <c r="AF369" t="n">
        <v>0.0</v>
      </c>
      <c r="AG369" t="n">
        <v>0.0</v>
      </c>
      <c r="AH369" t="n">
        <v>2.0</v>
      </c>
      <c r="AI369" t="n">
        <v>0.0</v>
      </c>
      <c r="AJ369" t="n">
        <v>0.0</v>
      </c>
      <c r="AK369" t="n">
        <v>10.333333333333334</v>
      </c>
      <c r="AL369" t="inlineStr">
        <is>
          <t/>
        </is>
      </c>
    </row>
    <row r="370">
      <c r="A370" t="inlineStr">
        <is>
          <t>自己赚钱后真的在报复性吃虾吃到撑！</t>
        </is>
      </c>
      <c r="B370" t="inlineStr">
        <is>
          <t>69be5232000000001e00ef47</t>
        </is>
      </c>
      <c r="C370" s="369" t="n">
        <f>HYPERLINK("https://www.xiaohongshu.com/explore/69be5232000000001e00ef47?xsec_token=TBEV1jCaY14J6usHdX26xRKHKJsrP9a2Rzr_2vHzAEWtY=&amp;xsec_source=pc_trdark","https://www.xiaohongshu.com/explore/69be5232000000001e00ef47?xsec_token=TBEV1jCaY14J6usHdX26xRKHKJsrP9a2Rzr_2vHzAEWtY=&amp;xsec_source=pc_trdark")</f>
        <v>0.0</v>
      </c>
      <c r="D370" t="inlineStr">
        <is>
          <t>婉婉上班吃什么</t>
        </is>
      </c>
      <c r="E370" t="inlineStr">
        <is>
          <t>11434449706</t>
        </is>
      </c>
      <c r="F370" t="inlineStr">
        <is>
          <t>2026-03-21 16:09:22</t>
        </is>
      </c>
      <c r="G370" t="inlineStr">
        <is>
          <t>图文</t>
        </is>
      </c>
      <c r="H370" t="inlineStr">
        <is>
          <t>手剥虾仁 无冰衣无添加 低脂餐一人食 上班带饭 顺丰包邮 5盒装</t>
        </is>
      </c>
      <c r="I370" t="inlineStr">
        <is>
          <t>694baba01d450d00013662f0</t>
        </is>
      </c>
      <c r="J370" t="inlineStr">
        <is>
          <t/>
        </is>
      </c>
      <c r="K370" t="n">
        <v>0.0</v>
      </c>
      <c r="L370" t="n">
        <v>0.0</v>
      </c>
      <c r="M370" t="n">
        <v>3.0</v>
      </c>
      <c r="N370" t="n">
        <v>0.125</v>
      </c>
      <c r="O370" t="n">
        <v>3.0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inlineStr">
        <is>
          <t/>
        </is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24.0</v>
      </c>
      <c r="AE370" t="n">
        <v>1.0</v>
      </c>
      <c r="AF370" t="n">
        <v>0.0</v>
      </c>
      <c r="AG370" t="n">
        <v>0.0</v>
      </c>
      <c r="AH370" t="n">
        <v>2.0</v>
      </c>
      <c r="AI370" t="n">
        <v>0.0</v>
      </c>
      <c r="AJ370" t="n">
        <v>0.0</v>
      </c>
      <c r="AK370" t="n">
        <v>6.208333333333333</v>
      </c>
      <c r="AL370" t="inlineStr">
        <is>
          <t/>
        </is>
      </c>
    </row>
    <row r="371">
      <c r="A371" t="inlineStr">
        <is>
          <t>我妈让我通知各位：23一斤的大虾真的可以冲</t>
        </is>
      </c>
      <c r="B371" t="inlineStr">
        <is>
          <t>693d3be4000000001e0339c1</t>
        </is>
      </c>
      <c r="C371" s="370" t="n">
        <f>HYPERLINK("https://www.xiaohongshu.com/explore/693d3be4000000001e0339c1?xsec_token=TBz651BHP1Dr15NeLsAqSGPjA0MwwK3lizKrf8Smu6AWc=&amp;xsec_source=pc_trdark","https://www.xiaohongshu.com/explore/693d3be4000000001e0339c1?xsec_token=TBz651BHP1Dr15NeLsAqSGPjA0MwwK3lizKrf8Smu6AWc=&amp;xsec_source=pc_trdark")</f>
        <v>0.0</v>
      </c>
      <c r="D371" t="inlineStr">
        <is>
          <t>鲜水湾</t>
        </is>
      </c>
      <c r="E371" t="inlineStr">
        <is>
          <t>49316638994</t>
        </is>
      </c>
      <c r="F371" t="inlineStr">
        <is>
          <t>2025-12-13 18:11:48</t>
        </is>
      </c>
      <c r="G371" t="inlineStr">
        <is>
          <t>图文</t>
        </is>
      </c>
      <c r="H371" t="inlineStr">
        <is>
          <t>大虾基围虾王牌大虾厄瓜多尔白虾盐冻虾仁海洋大虾送礼顺丰包邮</t>
        </is>
      </c>
      <c r="I371" t="inlineStr">
        <is>
          <t>690aeb7be379430001e686ac</t>
        </is>
      </c>
      <c r="J371" t="inlineStr">
        <is>
          <t/>
        </is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inlineStr">
        <is>
          <t/>
        </is>
      </c>
      <c r="R371" t="inlineStr">
        <is>
          <t/>
        </is>
      </c>
      <c r="S371" t="n">
        <v>0.0</v>
      </c>
      <c r="T371" t="n">
        <v>0.0</v>
      </c>
      <c r="U371" t="n">
        <v>0.0</v>
      </c>
      <c r="V371" t="n">
        <v>0.0</v>
      </c>
      <c r="W371" t="inlineStr">
        <is>
          <t/>
        </is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24.0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2.625</v>
      </c>
      <c r="AL371" t="inlineStr">
        <is>
          <t/>
        </is>
      </c>
    </row>
    <row r="372">
      <c r="A372" t="inlineStr">
        <is>
          <t>和老爸一拍即合，专为早八人定制的小包装虾</t>
        </is>
      </c>
      <c r="B372" t="inlineStr">
        <is>
          <t>69b63365000000001a02e736</t>
        </is>
      </c>
      <c r="C372" s="371" t="n">
        <f>HYPERLINK("https://www.xiaohongshu.com/explore/69b63365000000001a02e736?xsec_token=TBwpaEqA4ODk9qkUKPtwfpqULgPpBdCY88kXH1DvrHHDc=&amp;xsec_source=pc_trdark","https://www.xiaohongshu.com/explore/69b63365000000001a02e736?xsec_token=TBwpaEqA4ODk9qkUKPtwfpqULgPpBdCY88kXH1DvrHHDc=&amp;xsec_source=pc_trdark")</f>
        <v>0.0</v>
      </c>
      <c r="D372" t="inlineStr">
        <is>
          <t>婉婉上班吃什么</t>
        </is>
      </c>
      <c r="E372" t="inlineStr">
        <is>
          <t>11434449706</t>
        </is>
      </c>
      <c r="F372" t="inlineStr">
        <is>
          <t>2026-03-15 12:19:49</t>
        </is>
      </c>
      <c r="G372" t="inlineStr">
        <is>
          <t>图文</t>
        </is>
      </c>
      <c r="H372" t="inlineStr">
        <is>
          <t>手剥虾仁 无冰衣无添加 低脂餐一人食 上班带饭 顺丰包邮 5盒装</t>
        </is>
      </c>
      <c r="I372" t="inlineStr">
        <is>
          <t>694baba01d450d00013662f0</t>
        </is>
      </c>
      <c r="J372" t="inlineStr">
        <is>
          <t/>
        </is>
      </c>
      <c r="K372" t="n">
        <v>0.0</v>
      </c>
      <c r="L372" t="n">
        <v>0.0</v>
      </c>
      <c r="M372" t="n">
        <v>4.0</v>
      </c>
      <c r="N372" t="inlineStr">
        <is>
          <t>0.17391304347826086</t>
        </is>
      </c>
      <c r="O372" t="n">
        <v>4.0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inlineStr">
        <is>
          <t/>
        </is>
      </c>
      <c r="X372" t="n">
        <v>0.0</v>
      </c>
      <c r="Y372" t="n">
        <v>1.0</v>
      </c>
      <c r="Z372" t="n">
        <v>0.0</v>
      </c>
      <c r="AA372" t="n">
        <v>0.0</v>
      </c>
      <c r="AB372" t="n">
        <v>0.0</v>
      </c>
      <c r="AC372" t="n">
        <v>0.0</v>
      </c>
      <c r="AD372" t="n">
        <v>23.0</v>
      </c>
      <c r="AE372" t="n">
        <v>1.0</v>
      </c>
      <c r="AF372" t="n">
        <v>0.0</v>
      </c>
      <c r="AG372" t="n">
        <v>0.0</v>
      </c>
      <c r="AH372" t="n">
        <v>2.0</v>
      </c>
      <c r="AI372" t="n">
        <v>0.0</v>
      </c>
      <c r="AJ372" t="n">
        <v>0.0</v>
      </c>
      <c r="AK372" t="n">
        <v>10.826086956521738</v>
      </c>
      <c r="AL372" t="inlineStr">
        <is>
          <t/>
        </is>
      </c>
    </row>
    <row r="373">
      <c r="A373" t="inlineStr">
        <is>
          <t>区区98块，结果够我吃一周的了</t>
        </is>
      </c>
      <c r="B373" t="inlineStr">
        <is>
          <t>69a51b22000000000d00a521</t>
        </is>
      </c>
      <c r="C373" s="372" t="n">
        <f>HYPERLINK("https://www.xiaohongshu.com/explore/69a51b22000000000d00a521?xsec_token=TBYlw7GbYDMDbP_5WWJv6Kp_Vaq8RQvuaATBaetyXqe8s=&amp;xsec_source=pc_trdark","https://www.xiaohongshu.com/explore/69a51b22000000000d00a521?xsec_token=TBYlw7GbYDMDbP_5WWJv6Kp_Vaq8RQvuaATBaetyXqe8s=&amp;xsec_source=pc_trdark")</f>
        <v>0.0</v>
      </c>
      <c r="D373" t="inlineStr">
        <is>
          <t>婉婉上班吃什么</t>
        </is>
      </c>
      <c r="E373" t="inlineStr">
        <is>
          <t>11434449706</t>
        </is>
      </c>
      <c r="F373" t="inlineStr">
        <is>
          <t>2026-03-02 13:07:46</t>
        </is>
      </c>
      <c r="G373" t="inlineStr">
        <is>
          <t>图文</t>
        </is>
      </c>
      <c r="H373" t="inlineStr">
        <is>
          <t>手剥虾仁 无冰衣无添加 低脂餐一人食 上班带饭 顺丰包邮 5盒装</t>
        </is>
      </c>
      <c r="I373" t="inlineStr">
        <is>
          <t>694baba01d450d00013662f0</t>
        </is>
      </c>
      <c r="J373" t="inlineStr">
        <is>
          <t/>
        </is>
      </c>
      <c r="K373" t="n">
        <v>0.0</v>
      </c>
      <c r="L373" t="n">
        <v>0.0</v>
      </c>
      <c r="M373" t="n">
        <v>10.0</v>
      </c>
      <c r="N373" t="inlineStr">
        <is>
          <t>0.43478260869565216</t>
        </is>
      </c>
      <c r="O373" t="n">
        <v>6.0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inlineStr">
        <is>
          <t/>
        </is>
      </c>
      <c r="X373" t="n">
        <v>0.0</v>
      </c>
      <c r="Y373" t="n">
        <v>1.0</v>
      </c>
      <c r="Z373" t="n">
        <v>1.0</v>
      </c>
      <c r="AA373" t="n">
        <v>0.0</v>
      </c>
      <c r="AB373" t="n">
        <v>0.0</v>
      </c>
      <c r="AC373" t="n">
        <v>0.0</v>
      </c>
      <c r="AD373" t="n">
        <v>23.0</v>
      </c>
      <c r="AE373" t="n">
        <v>0.0</v>
      </c>
      <c r="AF373" t="n">
        <v>0.0</v>
      </c>
      <c r="AG373" t="n">
        <v>0.0</v>
      </c>
      <c r="AH373" t="n">
        <v>1.0</v>
      </c>
      <c r="AI373" t="n">
        <v>0.0</v>
      </c>
      <c r="AJ373" t="n">
        <v>0.0</v>
      </c>
      <c r="AK373" t="n">
        <v>10.478260869565217</v>
      </c>
      <c r="AL373" t="inlineStr">
        <is>
          <t/>
        </is>
      </c>
    </row>
    <row r="374">
      <c r="A374" t="inlineStr">
        <is>
          <t>其实，300块能吃一个月的三文鱼🫢</t>
        </is>
      </c>
      <c r="B374" t="inlineStr">
        <is>
          <t>697d850e000000001a029a04</t>
        </is>
      </c>
      <c r="C374" s="373" t="n">
        <f>HYPERLINK("https://www.xiaohongshu.com/explore/697d850e000000001a029a04?xsec_token=TBmDrNth1LGu49cSaHu-q0WwBFFiB_hZBrH6ERNOSl_EI=&amp;xsec_source=pc_trdark","https://www.xiaohongshu.com/explore/697d850e000000001a029a04?xsec_token=TBmDrNth1LGu49cSaHu-q0WwBFFiB_hZBrH6ERNOSl_EI=&amp;xsec_source=pc_trdark")</f>
        <v>0.0</v>
      </c>
      <c r="D374" t="inlineStr">
        <is>
          <t>鲜水湾</t>
        </is>
      </c>
      <c r="E374" t="inlineStr">
        <is>
          <t>49316638994</t>
        </is>
      </c>
      <c r="F374" t="inlineStr">
        <is>
          <t>2026-01-31 12:29:02</t>
        </is>
      </c>
      <c r="G374" t="inlineStr">
        <is>
          <t>图文</t>
        </is>
      </c>
      <c r="H374" t="inlineStr">
        <is>
          <t>智利三文鱼切块·整条三文鱼·深海鱼一人食健康饮食</t>
        </is>
      </c>
      <c r="I374" t="inlineStr">
        <is>
          <t>691ac562a524ee0001b51d7b</t>
        </is>
      </c>
      <c r="J374" t="inlineStr">
        <is>
          <t/>
        </is>
      </c>
      <c r="K374" t="n">
        <v>0.0</v>
      </c>
      <c r="L374" t="n">
        <v>0.0</v>
      </c>
      <c r="M374" t="n">
        <v>4.0</v>
      </c>
      <c r="N374" t="inlineStr">
        <is>
          <t>0.17391304347826086</t>
        </is>
      </c>
      <c r="O374" t="n">
        <v>4.0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inlineStr">
        <is>
          <t/>
        </is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23.0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10.347826086956522</v>
      </c>
      <c r="AL374" t="inlineStr">
        <is>
          <t/>
        </is>
      </c>
    </row>
    <row r="375">
      <c r="A375" t="inlineStr">
        <is>
          <t>买虾不迷路🦐孕妇宝宝都适合吃的大虾</t>
        </is>
      </c>
      <c r="B375" t="inlineStr">
        <is>
          <t>694024d0000000001f005c0c</t>
        </is>
      </c>
      <c r="C375" s="374" t="n">
        <f>HYPERLINK("https://www.xiaohongshu.com/explore/694024d0000000001f005c0c?xsec_token=TBzm36tUj4jhogPihZGtakWaY4X6jgzThj3H79mIfjsHY=&amp;xsec_source=pc_trdark","https://www.xiaohongshu.com/explore/694024d0000000001f005c0c?xsec_token=TBzm36tUj4jhogPihZGtakWaY4X6jgzThj3H79mIfjsHY=&amp;xsec_source=pc_trdark")</f>
        <v>0.0</v>
      </c>
      <c r="D375" t="inlineStr">
        <is>
          <t>鲜水湾</t>
        </is>
      </c>
      <c r="E375" t="inlineStr">
        <is>
          <t>49316638994</t>
        </is>
      </c>
      <c r="F375" t="inlineStr">
        <is>
          <t>2025-12-15 23:10:08</t>
        </is>
      </c>
      <c r="G375" t="inlineStr">
        <is>
          <t>图文</t>
        </is>
      </c>
      <c r="H375" t="inlineStr">
        <is>
          <t>大虾基围虾王牌大虾厄瓜多尔白虾盐冻虾仁海洋大虾送礼顺丰包邮</t>
        </is>
      </c>
      <c r="I375" t="inlineStr">
        <is>
          <t>690aeb7be379430001e686ac</t>
        </is>
      </c>
      <c r="J375" t="inlineStr">
        <is>
          <t/>
        </is>
      </c>
      <c r="K375" t="n">
        <v>0.0</v>
      </c>
      <c r="L375" t="n">
        <v>0.0</v>
      </c>
      <c r="M375" t="n">
        <v>6.0</v>
      </c>
      <c r="N375" t="n">
        <v>0.2608695652173913</v>
      </c>
      <c r="O375" t="n">
        <v>6.0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inlineStr">
        <is>
          <t/>
        </is>
      </c>
      <c r="X375" t="n">
        <v>0.0</v>
      </c>
      <c r="Y375" t="n">
        <v>1.0</v>
      </c>
      <c r="Z375" t="n">
        <v>0.0</v>
      </c>
      <c r="AA375" t="n">
        <v>0.0</v>
      </c>
      <c r="AB375" t="n">
        <v>0.0</v>
      </c>
      <c r="AC375" t="n">
        <v>0.0</v>
      </c>
      <c r="AD375" t="n">
        <v>23.0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7.3478260869565215</v>
      </c>
      <c r="AL375" t="inlineStr">
        <is>
          <t/>
        </is>
      </c>
    </row>
    <row r="376">
      <c r="A376" t="inlineStr">
        <is>
          <t>替大家试过了49.9💰五斤的生蚝是真的肥</t>
        </is>
      </c>
      <c r="B376" t="inlineStr">
        <is>
          <t>69479860000000001f006d2a</t>
        </is>
      </c>
      <c r="C376" s="375" t="n">
        <f>HYPERLINK("https://www.xiaohongshu.com/explore/69479860000000001f006d2a?xsec_token=TBnuuEENMsYpnBa1PDFqnFZMzS_oJZW4bj7QL8P7pGbTA=&amp;xsec_source=pc_trdark","https://www.xiaohongshu.com/explore/69479860000000001f006d2a?xsec_token=TBnuuEENMsYpnBa1PDFqnFZMzS_oJZW4bj7QL8P7pGbTA=&amp;xsec_source=pc_trdark")</f>
        <v>0.0</v>
      </c>
      <c r="D376" t="inlineStr">
        <is>
          <t>鲜水湾</t>
        </is>
      </c>
      <c r="E376" t="inlineStr">
        <is>
          <t>49316638994</t>
        </is>
      </c>
      <c r="F376" t="inlineStr">
        <is>
          <t>2025-12-21 14:49:04</t>
        </is>
      </c>
      <c r="G376" t="inlineStr">
        <is>
          <t>图文</t>
        </is>
      </c>
      <c r="H376" t="inlineStr">
        <is>
          <t>生蚝乳山生蚝海蛎子顺丰包邮</t>
        </is>
      </c>
      <c r="I376" t="inlineStr">
        <is>
          <t>690c70971b787900010866cc</t>
        </is>
      </c>
      <c r="J376" t="inlineStr">
        <is>
          <t/>
        </is>
      </c>
      <c r="K376" t="n">
        <v>0.0</v>
      </c>
      <c r="L376" t="n">
        <v>0.0</v>
      </c>
      <c r="M376" t="n">
        <v>4.0</v>
      </c>
      <c r="N376" t="inlineStr">
        <is>
          <t>0.18181818181818182</t>
        </is>
      </c>
      <c r="O376" t="n">
        <v>3.0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inlineStr">
        <is>
          <t/>
        </is>
      </c>
      <c r="X376" t="n">
        <v>0.0</v>
      </c>
      <c r="Y376" t="n">
        <v>0.0</v>
      </c>
      <c r="Z376" t="n">
        <v>1.0</v>
      </c>
      <c r="AA376" t="n">
        <v>0.0</v>
      </c>
      <c r="AB376" t="n">
        <v>0.0</v>
      </c>
      <c r="AC376" t="n">
        <v>0.0</v>
      </c>
      <c r="AD376" t="n">
        <v>22.0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7.5</v>
      </c>
      <c r="AL376" t="inlineStr">
        <is>
          <t/>
        </is>
      </c>
    </row>
    <row r="377">
      <c r="A377" t="inlineStr">
        <is>
          <t>凭一己之力带动办公室买了十盒大虾</t>
        </is>
      </c>
      <c r="B377" t="inlineStr">
        <is>
          <t>69bcf368000000001f007237</t>
        </is>
      </c>
      <c r="C377" s="376" t="n">
        <f>HYPERLINK("https://www.xiaohongshu.com/explore/69bcf368000000001f007237?xsec_token=TBfIJFVzszocpn5U7ogutYTb4kLDS1TrbXamekLWs7VLY=&amp;xsec_source=pc_trdark","https://www.xiaohongshu.com/explore/69bcf368000000001f007237?xsec_token=TBfIJFVzszocpn5U7ogutYTb4kLDS1TrbXamekLWs7VLY=&amp;xsec_source=pc_trdark")</f>
        <v>0.0</v>
      </c>
      <c r="D377" t="inlineStr">
        <is>
          <t>婉婉上班吃什么</t>
        </is>
      </c>
      <c r="E377" t="inlineStr">
        <is>
          <t>11434449706</t>
        </is>
      </c>
      <c r="F377" t="inlineStr">
        <is>
          <t>2026-03-20 15:12:40</t>
        </is>
      </c>
      <c r="G377" t="inlineStr">
        <is>
          <t>图文</t>
        </is>
      </c>
      <c r="H377" t="inlineStr">
        <is>
          <t>大虾基围虾王牌大虾厄瓜多尔白虾盐冻虾仁海洋大虾送礼顺丰包邮</t>
        </is>
      </c>
      <c r="I377" t="inlineStr">
        <is>
          <t>690aeb7be379430001e686ac</t>
        </is>
      </c>
      <c r="J377" t="inlineStr">
        <is>
          <t/>
        </is>
      </c>
      <c r="K377" t="n">
        <v>0.0</v>
      </c>
      <c r="L377" t="n">
        <v>0.0</v>
      </c>
      <c r="M377" t="n">
        <v>3.0</v>
      </c>
      <c r="N377" t="inlineStr">
        <is>
          <t>0.14285714285714285</t>
        </is>
      </c>
      <c r="O377" t="n">
        <v>2.0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inlineStr">
        <is>
          <t/>
        </is>
      </c>
      <c r="X377" t="n">
        <v>0.0</v>
      </c>
      <c r="Y377" t="n">
        <v>2.0</v>
      </c>
      <c r="Z377" t="n">
        <v>0.0</v>
      </c>
      <c r="AA377" t="n">
        <v>0.0</v>
      </c>
      <c r="AB377" t="n">
        <v>0.0</v>
      </c>
      <c r="AC377" t="n">
        <v>0.0</v>
      </c>
      <c r="AD377" t="n">
        <v>21.0</v>
      </c>
      <c r="AE377" t="n">
        <v>1.0</v>
      </c>
      <c r="AF377" t="n">
        <v>0.0</v>
      </c>
      <c r="AG377" t="n">
        <v>0.0</v>
      </c>
      <c r="AH377" t="n">
        <v>2.0</v>
      </c>
      <c r="AI377" t="n">
        <v>0.0</v>
      </c>
      <c r="AJ377" t="n">
        <v>0.0</v>
      </c>
      <c r="AK377" t="n">
        <v>7.904761904761905</v>
      </c>
      <c r="AL377" t="inlineStr">
        <is>
          <t/>
        </is>
      </c>
    </row>
    <row r="378">
      <c r="A378" t="inlineStr">
        <is>
          <t>感谢小红书！让独居党吃到了“细糠”🍤</t>
        </is>
      </c>
      <c r="B378" t="inlineStr">
        <is>
          <t>69b4fd630000000023015194</t>
        </is>
      </c>
      <c r="C378" s="377" t="n">
        <f>HYPERLINK("https://www.xiaohongshu.com/explore/69b4fd630000000023015194?xsec_token=TB4dy4zP2Sasn_cYXEm_KMI4CSuNPUljYqt8tYsLq168k=&amp;xsec_source=pc_trdark","https://www.xiaohongshu.com/explore/69b4fd630000000023015194?xsec_token=TB4dy4zP2Sasn_cYXEm_KMI4CSuNPUljYqt8tYsLq168k=&amp;xsec_source=pc_trdark")</f>
        <v>0.0</v>
      </c>
      <c r="D378" t="inlineStr">
        <is>
          <t>婉婉上班吃什么</t>
        </is>
      </c>
      <c r="E378" t="inlineStr">
        <is>
          <t>11434449706</t>
        </is>
      </c>
      <c r="F378" t="inlineStr">
        <is>
          <t>2026-03-14 14:17:07</t>
        </is>
      </c>
      <c r="G378" t="inlineStr">
        <is>
          <t>图文</t>
        </is>
      </c>
      <c r="H378" t="inlineStr">
        <is>
          <t>手剥虾仁 无冰衣无添加 低脂餐一人食 上班带饭 顺丰包邮 5盒装</t>
        </is>
      </c>
      <c r="I378" t="inlineStr">
        <is>
          <t>694baba01d450d00013662f0</t>
        </is>
      </c>
      <c r="J378" t="inlineStr">
        <is>
          <t/>
        </is>
      </c>
      <c r="K378" t="n">
        <v>0.0</v>
      </c>
      <c r="L378" t="n">
        <v>0.0</v>
      </c>
      <c r="M378" t="n">
        <v>2.0</v>
      </c>
      <c r="N378" t="inlineStr">
        <is>
          <t>0.09523809523809523</t>
        </is>
      </c>
      <c r="O378" t="n">
        <v>2.0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inlineStr">
        <is>
          <t/>
        </is>
      </c>
      <c r="X378" t="n">
        <v>0.0</v>
      </c>
      <c r="Y378" t="n">
        <v>1.0</v>
      </c>
      <c r="Z378" t="n">
        <v>0.0</v>
      </c>
      <c r="AA378" t="n">
        <v>0.0</v>
      </c>
      <c r="AB378" t="n">
        <v>0.0</v>
      </c>
      <c r="AC378" t="n">
        <v>0.0</v>
      </c>
      <c r="AD378" t="n">
        <v>21.0</v>
      </c>
      <c r="AE378" t="n">
        <v>0.0</v>
      </c>
      <c r="AF378" t="n">
        <v>0.0</v>
      </c>
      <c r="AG378" t="n">
        <v>0.0</v>
      </c>
      <c r="AH378" t="n">
        <v>2.0</v>
      </c>
      <c r="AI378" t="n">
        <v>0.0</v>
      </c>
      <c r="AJ378" t="n">
        <v>0.0</v>
      </c>
      <c r="AK378" t="n">
        <v>6.714285714285714</v>
      </c>
      <c r="AL378" t="inlineStr">
        <is>
          <t/>
        </is>
      </c>
    </row>
    <row r="379">
      <c r="A379" t="inlineStr">
        <is>
          <t>盛明兰，你是陪我吃饭最多的人</t>
        </is>
      </c>
      <c r="B379" t="inlineStr">
        <is>
          <t>69ae94e4000000002801d845</t>
        </is>
      </c>
      <c r="C379" s="378" t="n">
        <f>HYPERLINK("https://www.xiaohongshu.com/explore/69ae94e4000000002801d845?xsec_token=TBy3i3TfmyKE7XGojG_cT9hdOu6K7BqHEZ6-e4cRhfuAA=&amp;xsec_source=pc_trdark","https://www.xiaohongshu.com/explore/69ae94e4000000002801d845?xsec_token=TBy3i3TfmyKE7XGojG_cT9hdOu6K7BqHEZ6-e4cRhfuAA=&amp;xsec_source=pc_trdark")</f>
        <v>0.0</v>
      </c>
      <c r="D379" t="inlineStr">
        <is>
          <t>鲜水湾</t>
        </is>
      </c>
      <c r="E379" t="inlineStr">
        <is>
          <t>49316638994</t>
        </is>
      </c>
      <c r="F379" t="inlineStr">
        <is>
          <t>2026-03-09 17:37:40</t>
        </is>
      </c>
      <c r="G379" t="inlineStr">
        <is>
          <t>图文</t>
        </is>
      </c>
      <c r="H379" t="inlineStr">
        <is>
          <t>大虾基围虾王牌大虾厄瓜多尔白虾盐冻虾仁海洋大虾送礼顺丰包邮</t>
        </is>
      </c>
      <c r="I379" t="inlineStr">
        <is>
          <t>690aeb7be379430001e686ac</t>
        </is>
      </c>
      <c r="J379" t="inlineStr">
        <is>
          <t/>
        </is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inlineStr">
        <is>
          <t/>
        </is>
      </c>
      <c r="R379" t="inlineStr">
        <is>
          <t/>
        </is>
      </c>
      <c r="S379" t="n">
        <v>0.0</v>
      </c>
      <c r="T379" t="n">
        <v>0.0</v>
      </c>
      <c r="U379" t="n">
        <v>0.0</v>
      </c>
      <c r="V379" t="n">
        <v>0.0</v>
      </c>
      <c r="W379" t="inlineStr">
        <is>
          <t/>
        </is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21.0</v>
      </c>
      <c r="AE379" t="n">
        <v>0.0</v>
      </c>
      <c r="AF379" t="n">
        <v>0.0</v>
      </c>
      <c r="AG379" t="n">
        <v>0.0</v>
      </c>
      <c r="AH379" t="n">
        <v>2.0</v>
      </c>
      <c r="AI379" t="n">
        <v>0.0</v>
      </c>
      <c r="AJ379" t="n">
        <v>0.0</v>
      </c>
      <c r="AK379" t="n">
        <v>7.761904761904762</v>
      </c>
      <c r="AL379" t="inlineStr">
        <is>
          <t/>
        </is>
      </c>
    </row>
    <row r="380">
      <c r="A380" t="inlineStr">
        <is>
          <t>被差评了😭建议吃生蚝之前看下详情</t>
        </is>
      </c>
      <c r="B380" t="inlineStr">
        <is>
          <t>693a3286000000001f004188</t>
        </is>
      </c>
      <c r="C380" s="379" t="n">
        <f>HYPERLINK("https://www.xiaohongshu.com/explore/693a3286000000001f004188?xsec_token=TBSe-eT4tPFhzXSmwZAcjHHyWS2i6TsJ7_jyXUvcozKJE=&amp;xsec_source=pc_trdark","https://www.xiaohongshu.com/explore/693a3286000000001f004188?xsec_token=TBSe-eT4tPFhzXSmwZAcjHHyWS2i6TsJ7_jyXUvcozKJE=&amp;xsec_source=pc_trdark")</f>
        <v>0.0</v>
      </c>
      <c r="D380" t="inlineStr">
        <is>
          <t>鲜水湾</t>
        </is>
      </c>
      <c r="E380" t="inlineStr">
        <is>
          <t>49316638994</t>
        </is>
      </c>
      <c r="F380" t="inlineStr">
        <is>
          <t>2025-12-11 10:55:02</t>
        </is>
      </c>
      <c r="G380" t="inlineStr">
        <is>
          <t>图文</t>
        </is>
      </c>
      <c r="H380" t="inlineStr">
        <is>
          <t>生蚝乳山生蚝海蛎子顺丰包邮</t>
        </is>
      </c>
      <c r="I380" t="inlineStr">
        <is>
          <t>690c70971b787900010866cc</t>
        </is>
      </c>
      <c r="J380" t="inlineStr">
        <is>
          <t/>
        </is>
      </c>
      <c r="K380" t="n">
        <v>0.0</v>
      </c>
      <c r="L380" t="n">
        <v>0.0</v>
      </c>
      <c r="M380" t="n">
        <v>4.0</v>
      </c>
      <c r="N380" t="inlineStr">
        <is>
          <t>0.19047619047619047</t>
        </is>
      </c>
      <c r="O380" t="n">
        <v>4.0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inlineStr">
        <is>
          <t/>
        </is>
      </c>
      <c r="X380" t="n">
        <v>0.0</v>
      </c>
      <c r="Y380" t="n">
        <v>0.0</v>
      </c>
      <c r="Z380" t="n">
        <v>3.0</v>
      </c>
      <c r="AA380" t="n">
        <v>0.0</v>
      </c>
      <c r="AB380" t="n">
        <v>0.0</v>
      </c>
      <c r="AC380" t="n">
        <v>0.0</v>
      </c>
      <c r="AD380" t="n">
        <v>21.0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25.142857142857142</v>
      </c>
      <c r="AL380" t="inlineStr">
        <is>
          <t/>
        </is>
      </c>
    </row>
    <row r="381">
      <c r="A381" t="inlineStr">
        <is>
          <t>以为69没多少😂实际够我吃一周了</t>
        </is>
      </c>
      <c r="B381" t="inlineStr">
        <is>
          <t>69b216ac0000000006031681</t>
        </is>
      </c>
      <c r="C381" s="380" t="n">
        <f>HYPERLINK("https://www.xiaohongshu.com/explore/69b216ac0000000006031681?xsec_token=TB020mu_sDtHEgaPvBWpjWuaIhK4qf40PqtKj_pR1GdwA=&amp;xsec_source=pc_trdark","https://www.xiaohongshu.com/explore/69b216ac0000000006031681?xsec_token=TB020mu_sDtHEgaPvBWpjWuaIhK4qf40PqtKj_pR1GdwA=&amp;xsec_source=pc_trdark")</f>
        <v>0.0</v>
      </c>
      <c r="D381" t="inlineStr">
        <is>
          <t>鲜水湾</t>
        </is>
      </c>
      <c r="E381" t="inlineStr">
        <is>
          <t>49316638994</t>
        </is>
      </c>
      <c r="F381" t="inlineStr">
        <is>
          <t>2026-03-12 09:28:12</t>
        </is>
      </c>
      <c r="G381" t="inlineStr">
        <is>
          <t>图文</t>
        </is>
      </c>
      <c r="H381" t="inlineStr">
        <is>
          <t>大虾基围虾王牌大虾厄瓜多尔白虾盐冻虾仁海洋大虾送礼顺丰包邮</t>
        </is>
      </c>
      <c r="I381" t="inlineStr">
        <is>
          <t>690aeb7be379430001e686ac</t>
        </is>
      </c>
      <c r="J381" t="inlineStr">
        <is>
          <t/>
        </is>
      </c>
      <c r="K381" t="n">
        <v>0.0</v>
      </c>
      <c r="L381" t="n">
        <v>0.0</v>
      </c>
      <c r="M381" t="n">
        <v>1.0</v>
      </c>
      <c r="N381" t="n">
        <v>0.05</v>
      </c>
      <c r="O381" t="n">
        <v>1.0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inlineStr">
        <is>
          <t/>
        </is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20.0</v>
      </c>
      <c r="AE381" t="n">
        <v>2.0</v>
      </c>
      <c r="AF381" t="n">
        <v>0.0</v>
      </c>
      <c r="AG381" t="n">
        <v>0.0</v>
      </c>
      <c r="AH381" t="n">
        <v>2.0</v>
      </c>
      <c r="AI381" t="n">
        <v>0.0</v>
      </c>
      <c r="AJ381" t="n">
        <v>0.0</v>
      </c>
      <c r="AK381" t="n">
        <v>9.5</v>
      </c>
      <c r="AL381" t="inlineStr">
        <is>
          <t/>
        </is>
      </c>
    </row>
    <row r="382">
      <c r="A382" t="inlineStr">
        <is>
          <t>爸妈总说我天天吃虾仁太奢侈</t>
        </is>
      </c>
      <c r="B382" t="inlineStr">
        <is>
          <t>69a1874b000000001a02fb68</t>
        </is>
      </c>
      <c r="C382" s="381" t="n">
        <f>HYPERLINK("https://www.xiaohongshu.com/explore/69a1874b000000001a02fb68?xsec_token=TBk7Tu9foWGIsieMmGc2tlwnc7IeAhOdINS519yk2z4JA=&amp;xsec_source=pc_trdark","https://www.xiaohongshu.com/explore/69a1874b000000001a02fb68?xsec_token=TBk7Tu9foWGIsieMmGc2tlwnc7IeAhOdINS519yk2z4JA=&amp;xsec_source=pc_trdark")</f>
        <v>0.0</v>
      </c>
      <c r="D382" t="inlineStr">
        <is>
          <t>鲜水湾</t>
        </is>
      </c>
      <c r="E382" t="inlineStr">
        <is>
          <t>49316638994</t>
        </is>
      </c>
      <c r="F382" t="inlineStr">
        <is>
          <t>2026-02-27 20:00:11</t>
        </is>
      </c>
      <c r="G382" t="inlineStr">
        <is>
          <t>图文</t>
        </is>
      </c>
      <c r="H382" t="inlineStr">
        <is>
          <t>手剥虾仁 无冰衣无添加 低脂餐一人食 上班带饭 顺丰包邮 5盒装</t>
        </is>
      </c>
      <c r="I382" t="inlineStr">
        <is>
          <t>694baba01d450d00013662f0</t>
        </is>
      </c>
      <c r="J382" t="inlineStr">
        <is>
          <t/>
        </is>
      </c>
      <c r="K382" t="n">
        <v>0.0</v>
      </c>
      <c r="L382" t="n">
        <v>0.0</v>
      </c>
      <c r="M382" t="n">
        <v>5.0</v>
      </c>
      <c r="N382" t="n">
        <v>0.25</v>
      </c>
      <c r="O382" t="n">
        <v>5.0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inlineStr">
        <is>
          <t/>
        </is>
      </c>
      <c r="X382" t="n">
        <v>0.0</v>
      </c>
      <c r="Y382" t="n">
        <v>1.0</v>
      </c>
      <c r="Z382" t="n">
        <v>1.0</v>
      </c>
      <c r="AA382" t="n">
        <v>0.0</v>
      </c>
      <c r="AB382" t="n">
        <v>0.0</v>
      </c>
      <c r="AC382" t="n">
        <v>0.0</v>
      </c>
      <c r="AD382" t="n">
        <v>20.0</v>
      </c>
      <c r="AE382" t="n">
        <v>1.0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7.3</v>
      </c>
      <c r="AL382" t="inlineStr">
        <is>
          <t/>
        </is>
      </c>
    </row>
    <row r="383">
      <c r="A383" t="inlineStr">
        <is>
          <t>威海文旅你到是抓紧宣传啊！已经口感巅峰期</t>
        </is>
      </c>
      <c r="B383" t="inlineStr">
        <is>
          <t>698bee7a000000002801ec1a</t>
        </is>
      </c>
      <c r="C383" s="382" t="n">
        <f>HYPERLINK("https://www.xiaohongshu.com/explore/698bee7a000000002801ec1a?xsec_token=TBaxNaL0i9x3ULjrtJNOAFMStkSnnx91LwVE8ICrMdnKs=&amp;xsec_source=pc_trdark","https://www.xiaohongshu.com/explore/698bee7a000000002801ec1a?xsec_token=TBaxNaL0i9x3ULjrtJNOAFMStkSnnx91LwVE8ICrMdnKs=&amp;xsec_source=pc_trdark")</f>
        <v>0.0</v>
      </c>
      <c r="D383" t="inlineStr">
        <is>
          <t>婉婉上班吃什么</t>
        </is>
      </c>
      <c r="E383" t="inlineStr">
        <is>
          <t>11434449706</t>
        </is>
      </c>
      <c r="F383" t="inlineStr">
        <is>
          <t>2026-02-11 10:50:34</t>
        </is>
      </c>
      <c r="G383" t="inlineStr">
        <is>
          <t>图文</t>
        </is>
      </c>
      <c r="H383" t="inlineStr">
        <is>
          <t>生蚝乳山生蚝海蛎子顺丰包邮</t>
        </is>
      </c>
      <c r="I383" t="inlineStr">
        <is>
          <t>690c70971b787900010866cc</t>
        </is>
      </c>
      <c r="J383" t="inlineStr">
        <is>
          <t/>
        </is>
      </c>
      <c r="K383" t="n">
        <v>0.0</v>
      </c>
      <c r="L383" t="n">
        <v>0.0</v>
      </c>
      <c r="M383" t="n">
        <v>2.0</v>
      </c>
      <c r="N383" t="inlineStr">
        <is>
          <t>0.10526315789473684</t>
        </is>
      </c>
      <c r="O383" t="n">
        <v>1.0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inlineStr">
        <is>
          <t/>
        </is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19.0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4.7368421052631575</v>
      </c>
      <c r="AL383" t="inlineStr">
        <is>
          <t/>
        </is>
      </c>
    </row>
    <row r="384">
      <c r="A384" t="inlineStr">
        <is>
          <t>不愧是山东网友推荐的🥹好好吃</t>
        </is>
      </c>
      <c r="B384" t="inlineStr">
        <is>
          <t>6968b1ae000000000e03ffe8</t>
        </is>
      </c>
      <c r="C384" s="383" t="n">
        <f>HYPERLINK("https://www.xiaohongshu.com/explore/6968b1ae000000000e03ffe8?xsec_token=TBt4r6uOUj4MiyxIfh9PpR4G5rZMOyvDGuB3IOlwRartU=&amp;xsec_source=pc_trdark","https://www.xiaohongshu.com/explore/6968b1ae000000000e03ffe8?xsec_token=TBt4r6uOUj4MiyxIfh9PpR4G5rZMOyvDGuB3IOlwRartU=&amp;xsec_source=pc_trdark")</f>
        <v>0.0</v>
      </c>
      <c r="D384" t="inlineStr">
        <is>
          <t>婉婉上班吃什么</t>
        </is>
      </c>
      <c r="E384" t="inlineStr">
        <is>
          <t>11434449706</t>
        </is>
      </c>
      <c r="F384" t="inlineStr">
        <is>
          <t>2026-01-15 17:21:50</t>
        </is>
      </c>
      <c r="G384" t="inlineStr">
        <is>
          <t>视频</t>
        </is>
      </c>
      <c r="H384" t="inlineStr">
        <is>
          <t>生蚝乳山生蚝海蛎子顺丰包邮</t>
        </is>
      </c>
      <c r="I384" t="inlineStr">
        <is>
          <t>690c70971b787900010866cc</t>
        </is>
      </c>
      <c r="J384" t="n">
        <v>27.0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inlineStr">
        <is>
          <t/>
        </is>
      </c>
      <c r="R384" t="inlineStr">
        <is>
          <t/>
        </is>
      </c>
      <c r="S384" t="n">
        <v>0.0</v>
      </c>
      <c r="T384" t="n">
        <v>0.0</v>
      </c>
      <c r="U384" t="n">
        <v>0.0</v>
      </c>
      <c r="V384" t="n">
        <v>0.0</v>
      </c>
      <c r="W384" t="inlineStr">
        <is>
          <t/>
        </is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19.0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1.894736842105263</v>
      </c>
      <c r="AL384" t="n">
        <v>0.0</v>
      </c>
    </row>
    <row r="385">
      <c r="A385" t="inlineStr">
        <is>
          <t>在小红书买的😭在家就轻松复刻的日料大餐</t>
        </is>
      </c>
      <c r="B385" t="inlineStr">
        <is>
          <t>693580e4000000001e03479d</t>
        </is>
      </c>
      <c r="C385" s="384" t="n">
        <f>HYPERLINK("https://www.xiaohongshu.com/explore/693580e4000000001e03479d?xsec_token=TBVD2oNyykPWo5AeaDpfHB-rG1MeWtLMy1MHy2g2_Zb0o=&amp;xsec_source=pc_trdark","https://www.xiaohongshu.com/explore/693580e4000000001e03479d?xsec_token=TBVD2oNyykPWo5AeaDpfHB-rG1MeWtLMy1MHy2g2_Zb0o=&amp;xsec_source=pc_trdark")</f>
        <v>0.0</v>
      </c>
      <c r="D385" t="inlineStr">
        <is>
          <t>鲜水湾</t>
        </is>
      </c>
      <c r="E385" t="inlineStr">
        <is>
          <t>49316638994</t>
        </is>
      </c>
      <c r="F385" t="inlineStr">
        <is>
          <t>2025-12-07 21:28:04</t>
        </is>
      </c>
      <c r="G385" t="inlineStr">
        <is>
          <t>图文</t>
        </is>
      </c>
      <c r="H385" t="inlineStr">
        <is>
          <t>智利三文鱼切块·整条三文鱼·深海鱼一人食健康饮食</t>
        </is>
      </c>
      <c r="I385" t="inlineStr">
        <is>
          <t>691ac562a524ee0001b51d7b</t>
        </is>
      </c>
      <c r="J385" t="inlineStr">
        <is>
          <t/>
        </is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inlineStr">
        <is>
          <t/>
        </is>
      </c>
      <c r="R385" t="inlineStr">
        <is>
          <t/>
        </is>
      </c>
      <c r="S385" t="n">
        <v>0.0</v>
      </c>
      <c r="T385" t="n">
        <v>0.0</v>
      </c>
      <c r="U385" t="n">
        <v>0.0</v>
      </c>
      <c r="V385" t="n">
        <v>0.0</v>
      </c>
      <c r="W385" t="inlineStr">
        <is>
          <t/>
        </is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19.0</v>
      </c>
      <c r="AE385" t="n">
        <v>1.0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5.947368421052632</v>
      </c>
      <c r="AL385" t="inlineStr">
        <is>
          <t/>
        </is>
      </c>
    </row>
    <row r="386">
      <c r="A386" t="inlineStr">
        <is>
          <t>和老爸商量好了！专为一人食姐妹出减脂小包</t>
        </is>
      </c>
      <c r="B386" t="inlineStr">
        <is>
          <t>69b3fe8e000000001b0229ea</t>
        </is>
      </c>
      <c r="C386" s="385" t="n">
        <f>HYPERLINK("https://www.xiaohongshu.com/explore/69b3fe8e000000001b0229ea?xsec_token=TBu1W-q9yR_0LoYiUu9p9bD_6GwZAah_0S9IkPdWKHCEc=&amp;xsec_source=pc_trdark","https://www.xiaohongshu.com/explore/69b3fe8e000000001b0229ea?xsec_token=TBu1W-q9yR_0LoYiUu9p9bD_6GwZAah_0S9IkPdWKHCEc=&amp;xsec_source=pc_trdark")</f>
        <v>0.0</v>
      </c>
      <c r="D386" t="inlineStr">
        <is>
          <t>鲜水湾</t>
        </is>
      </c>
      <c r="E386" t="inlineStr">
        <is>
          <t>49316638994</t>
        </is>
      </c>
      <c r="F386" t="inlineStr">
        <is>
          <t>2026-03-13 20:09:50</t>
        </is>
      </c>
      <c r="G386" t="inlineStr">
        <is>
          <t>图文</t>
        </is>
      </c>
      <c r="H386" t="inlineStr">
        <is>
          <t>手剥虾仁 无冰衣无添加 低脂餐一人食 上班带饭 顺丰包邮 5盒装</t>
        </is>
      </c>
      <c r="I386" t="inlineStr">
        <is>
          <t>694baba01d450d00013662f0</t>
        </is>
      </c>
      <c r="J386" t="inlineStr">
        <is>
          <t/>
        </is>
      </c>
      <c r="K386" t="n">
        <v>0.0</v>
      </c>
      <c r="L386" t="n">
        <v>0.0</v>
      </c>
      <c r="M386" t="n">
        <v>5.0</v>
      </c>
      <c r="N386" t="n">
        <v>0.2777777777777778</v>
      </c>
      <c r="O386" t="n">
        <v>4.0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inlineStr">
        <is>
          <t/>
        </is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18.0</v>
      </c>
      <c r="AE386" t="n">
        <v>0.0</v>
      </c>
      <c r="AF386" t="n">
        <v>0.0</v>
      </c>
      <c r="AG386" t="n">
        <v>0.0</v>
      </c>
      <c r="AH386" t="n">
        <v>2.0</v>
      </c>
      <c r="AI386" t="n">
        <v>0.0</v>
      </c>
      <c r="AJ386" t="n">
        <v>0.0</v>
      </c>
      <c r="AK386" t="n">
        <v>18.555555555555557</v>
      </c>
      <c r="AL386" t="inlineStr">
        <is>
          <t/>
        </is>
      </c>
    </row>
    <row r="387">
      <c r="A387" t="inlineStr">
        <is>
          <t>为什么我宁愿天天吃虾仁也不愿喝蛋白粉？</t>
        </is>
      </c>
      <c r="B387" t="inlineStr">
        <is>
          <t>69ae6a310000000022033fb7</t>
        </is>
      </c>
      <c r="C387" s="386" t="n">
        <f>HYPERLINK("https://www.xiaohongshu.com/explore/69ae6a310000000022033fb7?xsec_token=TBy3i3TfmyKE7XGojG_cT9hS7XU_TgSwL6pxcciAC6Hcg=&amp;xsec_source=pc_trdark","https://www.xiaohongshu.com/explore/69ae6a310000000022033fb7?xsec_token=TBy3i3TfmyKE7XGojG_cT9hS7XU_TgSwL6pxcciAC6Hcg=&amp;xsec_source=pc_trdark")</f>
        <v>0.0</v>
      </c>
      <c r="D387" t="inlineStr">
        <is>
          <t>鲜水湾甄选</t>
        </is>
      </c>
      <c r="E387" t="inlineStr">
        <is>
          <t>27401929161</t>
        </is>
      </c>
      <c r="F387" t="inlineStr">
        <is>
          <t>2026-03-09 14:35:29</t>
        </is>
      </c>
      <c r="G387" t="inlineStr">
        <is>
          <t>图文</t>
        </is>
      </c>
      <c r="H387" t="inlineStr">
        <is>
          <t>手剥虾仁 无冰衣无添加 低脂餐一人食 上班带饭 顺丰包邮 5盒装</t>
        </is>
      </c>
      <c r="I387" t="inlineStr">
        <is>
          <t>694baba01d450d00013662f0</t>
        </is>
      </c>
      <c r="J387" t="inlineStr">
        <is>
          <t/>
        </is>
      </c>
      <c r="K387" t="n">
        <v>0.0</v>
      </c>
      <c r="L387" t="n">
        <v>0.0</v>
      </c>
      <c r="M387" t="n">
        <v>1.0</v>
      </c>
      <c r="N387" t="inlineStr">
        <is>
          <t>0.05555555555555555</t>
        </is>
      </c>
      <c r="O387" t="n">
        <v>1.0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inlineStr">
        <is>
          <t/>
        </is>
      </c>
      <c r="X387" t="n">
        <v>0.0</v>
      </c>
      <c r="Y387" t="n">
        <v>0.0</v>
      </c>
      <c r="Z387" t="n">
        <v>1.0</v>
      </c>
      <c r="AA387" t="n">
        <v>0.0</v>
      </c>
      <c r="AB387" t="n">
        <v>0.0</v>
      </c>
      <c r="AC387" t="n">
        <v>0.0</v>
      </c>
      <c r="AD387" t="n">
        <v>18.0</v>
      </c>
      <c r="AE387" t="n">
        <v>0.0</v>
      </c>
      <c r="AF387" t="n">
        <v>0.0</v>
      </c>
      <c r="AG387" t="n">
        <v>0.0</v>
      </c>
      <c r="AH387" t="n">
        <v>1.0</v>
      </c>
      <c r="AI387" t="n">
        <v>0.0</v>
      </c>
      <c r="AJ387" t="n">
        <v>0.0</v>
      </c>
      <c r="AK387" t="n">
        <v>7.722222222222222</v>
      </c>
      <c r="AL387" t="inlineStr">
        <is>
          <t/>
        </is>
      </c>
    </row>
    <row r="388">
      <c r="A388" t="inlineStr">
        <is>
          <t>某姆没有！因为我为早八姐妹定制的小包装</t>
        </is>
      </c>
      <c r="B388" t="inlineStr">
        <is>
          <t>69a83e5d000000001a034aec</t>
        </is>
      </c>
      <c r="C388" s="387" t="n">
        <f>HYPERLINK("https://www.xiaohongshu.com/explore/69a83e5d000000001a034aec?xsec_token=TBoPbpeIhQUL4QR6_LMsKnIcmF2dFWD17Il9jWEgbYuGU=&amp;xsec_source=pc_trdark","https://www.xiaohongshu.com/explore/69a83e5d000000001a034aec?xsec_token=TBoPbpeIhQUL4QR6_LMsKnIcmF2dFWD17Il9jWEgbYuGU=&amp;xsec_source=pc_trdark")</f>
        <v>0.0</v>
      </c>
      <c r="D388" t="inlineStr">
        <is>
          <t>鲜水湾</t>
        </is>
      </c>
      <c r="E388" t="inlineStr">
        <is>
          <t>49316638994</t>
        </is>
      </c>
      <c r="F388" t="inlineStr">
        <is>
          <t>2026-03-04 22:14:53</t>
        </is>
      </c>
      <c r="G388" t="inlineStr">
        <is>
          <t>图文</t>
        </is>
      </c>
      <c r="H388" t="inlineStr">
        <is>
          <t>手剥虾仁 无冰衣无添加 低脂餐一人食 上班带饭 顺丰包邮 5盒装</t>
        </is>
      </c>
      <c r="I388" t="inlineStr">
        <is>
          <t>694baba01d450d00013662f0</t>
        </is>
      </c>
      <c r="J388" t="inlineStr">
        <is>
          <t/>
        </is>
      </c>
      <c r="K388" t="n">
        <v>0.0</v>
      </c>
      <c r="L388" t="n">
        <v>0.0</v>
      </c>
      <c r="M388" t="n">
        <v>4.0</v>
      </c>
      <c r="N388" t="n">
        <v>0.2222222222222222</v>
      </c>
      <c r="O388" t="n">
        <v>3.0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inlineStr">
        <is>
          <t/>
        </is>
      </c>
      <c r="X388" t="n">
        <v>0.0</v>
      </c>
      <c r="Y388" t="n">
        <v>1.0</v>
      </c>
      <c r="Z388" t="n">
        <v>0.0</v>
      </c>
      <c r="AA388" t="n">
        <v>0.0</v>
      </c>
      <c r="AB388" t="n">
        <v>0.0</v>
      </c>
      <c r="AC388" t="n">
        <v>0.0</v>
      </c>
      <c r="AD388" t="n">
        <v>18.0</v>
      </c>
      <c r="AE388" t="n">
        <v>0.0</v>
      </c>
      <c r="AF388" t="n">
        <v>0.0</v>
      </c>
      <c r="AG388" t="n">
        <v>0.0</v>
      </c>
      <c r="AH388" t="n">
        <v>1.0</v>
      </c>
      <c r="AI388" t="n">
        <v>0.0</v>
      </c>
      <c r="AJ388" t="n">
        <v>0.0</v>
      </c>
      <c r="AK388" t="n">
        <v>8.277777777777779</v>
      </c>
      <c r="AL388" t="inlineStr">
        <is>
          <t/>
        </is>
      </c>
    </row>
    <row r="389">
      <c r="A389" t="inlineStr">
        <is>
          <t>减脂带饭太香了！一周掉6斤还省500块</t>
        </is>
      </c>
      <c r="B389" t="inlineStr">
        <is>
          <t>69a27887000000001a03020d</t>
        </is>
      </c>
      <c r="C389" s="388" t="n">
        <f>HYPERLINK("https://www.xiaohongshu.com/explore/69a27887000000001a03020d?xsec_token=TBUws-qSGfQm7WfIK5gxFwZ8FdwWMgvpaqUTzQavddLn4=&amp;xsec_source=pc_trdark","https://www.xiaohongshu.com/explore/69a27887000000001a03020d?xsec_token=TBUws-qSGfQm7WfIK5gxFwZ8FdwWMgvpaqUTzQavddLn4=&amp;xsec_source=pc_trdark")</f>
        <v>0.0</v>
      </c>
      <c r="D389" t="inlineStr">
        <is>
          <t>鲜水湾</t>
        </is>
      </c>
      <c r="E389" t="inlineStr">
        <is>
          <t>49316638994</t>
        </is>
      </c>
      <c r="F389" t="inlineStr">
        <is>
          <t>2026-02-28 13:09:27</t>
        </is>
      </c>
      <c r="G389" t="inlineStr">
        <is>
          <t>图文</t>
        </is>
      </c>
      <c r="H389" t="inlineStr">
        <is>
          <t>手剥虾仁 无冰衣无添加 低脂餐一人食 上班带饭 顺丰包邮 5盒装</t>
        </is>
      </c>
      <c r="I389" t="inlineStr">
        <is>
          <t>694baba01d450d00013662f0</t>
        </is>
      </c>
      <c r="J389" t="inlineStr">
        <is>
          <t/>
        </is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inlineStr">
        <is>
          <t/>
        </is>
      </c>
      <c r="R389" t="inlineStr">
        <is>
          <t/>
        </is>
      </c>
      <c r="S389" t="n">
        <v>0.0</v>
      </c>
      <c r="T389" t="n">
        <v>0.0</v>
      </c>
      <c r="U389" t="n">
        <v>0.0</v>
      </c>
      <c r="V389" t="n">
        <v>0.0</v>
      </c>
      <c r="W389" t="inlineStr">
        <is>
          <t/>
        </is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18.0</v>
      </c>
      <c r="AE389" t="n">
        <v>0.0</v>
      </c>
      <c r="AF389" t="n">
        <v>0.0</v>
      </c>
      <c r="AG389" t="n">
        <v>0.0</v>
      </c>
      <c r="AH389" t="n">
        <v>2.0</v>
      </c>
      <c r="AI389" t="n">
        <v>0.0</v>
      </c>
      <c r="AJ389" t="n">
        <v>0.0</v>
      </c>
      <c r="AK389" t="n">
        <v>12.0</v>
      </c>
      <c r="AL389" t="inlineStr">
        <is>
          <t/>
        </is>
      </c>
    </row>
    <row r="390">
      <c r="A390" t="inlineStr">
        <is>
          <t>放纵餐吃完了，年后控体还得吃虾！</t>
        </is>
      </c>
      <c r="B390" t="inlineStr">
        <is>
          <t>699fc28e000000002801c457</t>
        </is>
      </c>
      <c r="C390" s="389" t="n">
        <f>HYPERLINK("https://www.xiaohongshu.com/explore/699fc28e000000002801c457?xsec_token=TBmPrNsEp7sytnt8BzCMtNTbhRQxZ0arfNH5r-oLOLs1c=&amp;xsec_source=pc_trdark","https://www.xiaohongshu.com/explore/699fc28e000000002801c457?xsec_token=TBmPrNsEp7sytnt8BzCMtNTbhRQxZ0arfNH5r-oLOLs1c=&amp;xsec_source=pc_trdark")</f>
        <v>0.0</v>
      </c>
      <c r="D390" t="inlineStr">
        <is>
          <t>鲜水湾</t>
        </is>
      </c>
      <c r="E390" t="inlineStr">
        <is>
          <t>49316638994</t>
        </is>
      </c>
      <c r="F390" t="inlineStr">
        <is>
          <t>2026-02-26 11:48:30</t>
        </is>
      </c>
      <c r="G390" t="inlineStr">
        <is>
          <t>图文</t>
        </is>
      </c>
      <c r="H390" t="inlineStr">
        <is>
          <t>手剥虾仁 无冰衣无添加 低脂餐一人食 上班带饭 顺丰包邮 5盒装</t>
        </is>
      </c>
      <c r="I390" t="inlineStr">
        <is>
          <t>694baba01d450d00013662f0</t>
        </is>
      </c>
      <c r="J390" t="inlineStr">
        <is>
          <t/>
        </is>
      </c>
      <c r="K390" t="n">
        <v>0.0</v>
      </c>
      <c r="L390" t="n">
        <v>0.0</v>
      </c>
      <c r="M390" t="n">
        <v>1.0</v>
      </c>
      <c r="N390" t="inlineStr">
        <is>
          <t>0.05555555555555555</t>
        </is>
      </c>
      <c r="O390" t="n">
        <v>1.0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inlineStr">
        <is>
          <t/>
        </is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18.0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3.5555555555555554</v>
      </c>
      <c r="AL390" t="inlineStr">
        <is>
          <t/>
        </is>
      </c>
    </row>
    <row r="391">
      <c r="A391" t="inlineStr">
        <is>
          <t>我的食欲稳定两件套：</t>
        </is>
      </c>
      <c r="B391" t="inlineStr">
        <is>
          <t>699eed440000000028022ad0</t>
        </is>
      </c>
      <c r="C391" s="390" t="n">
        <f>HYPERLINK("https://www.xiaohongshu.com/explore/699eed440000000028022ad0?xsec_token=TBggKgSP0tIUAtqBAPfP3mLRnR-ofEUadYG6kjNx4-7bA=&amp;xsec_source=pc_trdark","https://www.xiaohongshu.com/explore/699eed440000000028022ad0?xsec_token=TBggKgSP0tIUAtqBAPfP3mLRnR-ofEUadYG6kjNx4-7bA=&amp;xsec_source=pc_trdark")</f>
        <v>0.0</v>
      </c>
      <c r="D391" t="inlineStr">
        <is>
          <t>鲜水湾</t>
        </is>
      </c>
      <c r="E391" t="inlineStr">
        <is>
          <t>49316638994</t>
        </is>
      </c>
      <c r="F391" t="inlineStr">
        <is>
          <t>2026-02-25 20:38:28</t>
        </is>
      </c>
      <c r="G391" t="inlineStr">
        <is>
          <t>图文</t>
        </is>
      </c>
      <c r="H391" t="inlineStr">
        <is>
          <t>智利三文鱼切块·整条三文鱼·深海鱼一人食健康饮食</t>
        </is>
      </c>
      <c r="I391" t="inlineStr">
        <is>
          <t>691ac562a524ee0001b51d7b</t>
        </is>
      </c>
      <c r="J391" t="inlineStr">
        <is>
          <t/>
        </is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inlineStr">
        <is>
          <t/>
        </is>
      </c>
      <c r="R391" t="inlineStr">
        <is>
          <t/>
        </is>
      </c>
      <c r="S391" t="n">
        <v>0.0</v>
      </c>
      <c r="T391" t="n">
        <v>0.0</v>
      </c>
      <c r="U391" t="n">
        <v>0.0</v>
      </c>
      <c r="V391" t="n">
        <v>0.0</v>
      </c>
      <c r="W391" t="inlineStr">
        <is>
          <t/>
        </is>
      </c>
      <c r="X391" t="n">
        <v>0.0</v>
      </c>
      <c r="Y391" t="n">
        <v>0.0</v>
      </c>
      <c r="Z391" t="n">
        <v>1.0</v>
      </c>
      <c r="AA391" t="n">
        <v>0.0</v>
      </c>
      <c r="AB391" t="n">
        <v>0.0</v>
      </c>
      <c r="AC391" t="n">
        <v>0.0</v>
      </c>
      <c r="AD391" t="n">
        <v>18.0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5.222222222222222</v>
      </c>
      <c r="AL391" t="inlineStr">
        <is>
          <t/>
        </is>
      </c>
    </row>
    <row r="392">
      <c r="A392" t="inlineStr">
        <is>
          <t>买了整条三文鱼回家，被我妈夸了☺️</t>
        </is>
      </c>
      <c r="B392" t="inlineStr">
        <is>
          <t>6982b7ba000000001a01cbd7</t>
        </is>
      </c>
      <c r="C392" s="391" t="n">
        <f>HYPERLINK("https://www.xiaohongshu.com/explore/6982b7ba000000001a01cbd7?xsec_token=TBRUGO98Ap-B8eSGcZxxfvdDDhjT1ocTPAIOIvN6y36RA=&amp;xsec_source=pc_trdark","https://www.xiaohongshu.com/explore/6982b7ba000000001a01cbd7?xsec_token=TBRUGO98Ap-B8eSGcZxxfvdDDhjT1ocTPAIOIvN6y36RA=&amp;xsec_source=pc_trdark")</f>
        <v>0.0</v>
      </c>
      <c r="D392" t="inlineStr">
        <is>
          <t>鲜水湾</t>
        </is>
      </c>
      <c r="E392" t="inlineStr">
        <is>
          <t>49316638994</t>
        </is>
      </c>
      <c r="F392" t="inlineStr">
        <is>
          <t>2026-02-04 11:06:34</t>
        </is>
      </c>
      <c r="G392" t="inlineStr">
        <is>
          <t>图文</t>
        </is>
      </c>
      <c r="H392" t="inlineStr">
        <is>
          <t>智利三文鱼切块·整条三文鱼·深海鱼一人食健康饮食</t>
        </is>
      </c>
      <c r="I392" t="inlineStr">
        <is>
          <t>691ac562a524ee0001b51d7b</t>
        </is>
      </c>
      <c r="J392" t="inlineStr">
        <is>
          <t/>
        </is>
      </c>
      <c r="K392" t="n">
        <v>0.0</v>
      </c>
      <c r="L392" t="n">
        <v>0.0</v>
      </c>
      <c r="M392" t="n">
        <v>5.0</v>
      </c>
      <c r="N392" t="n">
        <v>0.2777777777777778</v>
      </c>
      <c r="O392" t="n">
        <v>3.0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inlineStr">
        <is>
          <t/>
        </is>
      </c>
      <c r="X392" t="n">
        <v>0.0</v>
      </c>
      <c r="Y392" t="n">
        <v>1.0</v>
      </c>
      <c r="Z392" t="n">
        <v>2.0</v>
      </c>
      <c r="AA392" t="n">
        <v>0.0</v>
      </c>
      <c r="AB392" t="n">
        <v>0.0</v>
      </c>
      <c r="AC392" t="n">
        <v>0.0</v>
      </c>
      <c r="AD392" t="n">
        <v>18.0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15.944444444444445</v>
      </c>
      <c r="AL392" t="inlineStr">
        <is>
          <t/>
        </is>
      </c>
    </row>
    <row r="393">
      <c r="A393" t="inlineStr">
        <is>
          <t>早八人：我怎么没早点发现小包装虾仁🍤</t>
        </is>
      </c>
      <c r="B393" t="inlineStr">
        <is>
          <t>69b6ca1a000000001f003390</t>
        </is>
      </c>
      <c r="C393" s="392" t="n">
        <f>HYPERLINK("https://www.xiaohongshu.com/explore/69b6ca1a000000001f003390?xsec_token=TBwpaEqA4ODk9qkUKPtwfpqSD_w6hBo3VZX2RBfEf9d7Q=&amp;xsec_source=pc_trdark","https://www.xiaohongshu.com/explore/69b6ca1a000000001f003390?xsec_token=TBwpaEqA4ODk9qkUKPtwfpqSD_w6hBo3VZX2RBfEf9d7Q=&amp;xsec_source=pc_trdark")</f>
        <v>0.0</v>
      </c>
      <c r="D393" t="inlineStr">
        <is>
          <t>婉婉上班吃什么</t>
        </is>
      </c>
      <c r="E393" t="inlineStr">
        <is>
          <t>11434449706</t>
        </is>
      </c>
      <c r="F393" t="inlineStr">
        <is>
          <t>2026-03-15 23:02:50</t>
        </is>
      </c>
      <c r="G393" t="inlineStr">
        <is>
          <t>图文</t>
        </is>
      </c>
      <c r="H393" t="inlineStr">
        <is>
          <t>手剥虾仁 无冰衣无添加 低脂餐一人食 上班带饭 顺丰包邮 5盒装</t>
        </is>
      </c>
      <c r="I393" t="inlineStr">
        <is>
          <t>694baba01d450d00013662f0</t>
        </is>
      </c>
      <c r="J393" t="inlineStr">
        <is>
          <t/>
        </is>
      </c>
      <c r="K393" t="n">
        <v>0.0</v>
      </c>
      <c r="L393" t="n">
        <v>0.0</v>
      </c>
      <c r="M393" t="n">
        <v>6.0</v>
      </c>
      <c r="N393" t="inlineStr">
        <is>
          <t>0.35294117647058826</t>
        </is>
      </c>
      <c r="O393" t="n">
        <v>5.0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inlineStr">
        <is>
          <t/>
        </is>
      </c>
      <c r="X393" t="n">
        <v>0.0</v>
      </c>
      <c r="Y393" t="n">
        <v>1.0</v>
      </c>
      <c r="Z393" t="n">
        <v>0.0</v>
      </c>
      <c r="AA393" t="n">
        <v>0.0</v>
      </c>
      <c r="AB393" t="n">
        <v>0.0</v>
      </c>
      <c r="AC393" t="n">
        <v>0.0</v>
      </c>
      <c r="AD393" t="n">
        <v>17.0</v>
      </c>
      <c r="AE393" t="n">
        <v>1.0</v>
      </c>
      <c r="AF393" t="n">
        <v>0.0</v>
      </c>
      <c r="AG393" t="n">
        <v>0.0</v>
      </c>
      <c r="AH393" t="n">
        <v>1.0</v>
      </c>
      <c r="AI393" t="n">
        <v>0.0</v>
      </c>
      <c r="AJ393" t="n">
        <v>0.0</v>
      </c>
      <c r="AK393" t="n">
        <v>16.352941176470587</v>
      </c>
      <c r="AL393" t="inlineStr">
        <is>
          <t/>
        </is>
      </c>
    </row>
    <row r="394">
      <c r="A394" t="inlineStr">
        <is>
          <t>每天变着花样做饭 哄自己开心😋</t>
        </is>
      </c>
      <c r="B394" t="inlineStr">
        <is>
          <t>69b25c1f000000000601dab8</t>
        </is>
      </c>
      <c r="C394" s="393" t="n">
        <f>HYPERLINK("https://www.xiaohongshu.com/explore/69b25c1f000000000601dab8?xsec_token=TB020mu_sDtHEgaPvBWpjWucJXc5QxJUBxwxyv-22Zj7M=&amp;xsec_source=pc_trdark","https://www.xiaohongshu.com/explore/69b25c1f000000000601dab8?xsec_token=TB020mu_sDtHEgaPvBWpjWucJXc5QxJUBxwxyv-22Zj7M=&amp;xsec_source=pc_trdark")</f>
        <v>0.0</v>
      </c>
      <c r="D394" t="inlineStr">
        <is>
          <t>鲜水湾</t>
        </is>
      </c>
      <c r="E394" t="inlineStr">
        <is>
          <t>49316638994</t>
        </is>
      </c>
      <c r="F394" t="inlineStr">
        <is>
          <t>2026-03-12 14:24:31</t>
        </is>
      </c>
      <c r="G394" t="inlineStr">
        <is>
          <t>图文</t>
        </is>
      </c>
      <c r="H394" t="inlineStr">
        <is>
          <t>智利三文鱼切块·整条三文鱼·深海鱼一人食健康饮食</t>
        </is>
      </c>
      <c r="I394" t="inlineStr">
        <is>
          <t>691ac562a524ee0001b51d7b</t>
        </is>
      </c>
      <c r="J394" t="inlineStr">
        <is>
          <t/>
        </is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inlineStr">
        <is>
          <t/>
        </is>
      </c>
      <c r="R394" t="inlineStr">
        <is>
          <t/>
        </is>
      </c>
      <c r="S394" t="n">
        <v>0.0</v>
      </c>
      <c r="T394" t="n">
        <v>0.0</v>
      </c>
      <c r="U394" t="n">
        <v>0.0</v>
      </c>
      <c r="V394" t="n">
        <v>0.0</v>
      </c>
      <c r="W394" t="inlineStr">
        <is>
          <t/>
        </is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17.0</v>
      </c>
      <c r="AE394" t="n">
        <v>1.0</v>
      </c>
      <c r="AF394" t="n">
        <v>0.0</v>
      </c>
      <c r="AG394" t="n">
        <v>0.0</v>
      </c>
      <c r="AH394" t="n">
        <v>2.0</v>
      </c>
      <c r="AI394" t="n">
        <v>0.0</v>
      </c>
      <c r="AJ394" t="n">
        <v>0.0</v>
      </c>
      <c r="AK394" t="n">
        <v>4.764705882352941</v>
      </c>
      <c r="AL394" t="inlineStr">
        <is>
          <t/>
        </is>
      </c>
    </row>
    <row r="395">
      <c r="A395" t="inlineStr">
        <is>
          <t>热知识：虾仁吃撑了也不会胖！</t>
        </is>
      </c>
      <c r="B395" t="inlineStr">
        <is>
          <t>69afc301000000000601d071</t>
        </is>
      </c>
      <c r="C395" s="394" t="n">
        <f>HYPERLINK("https://www.xiaohongshu.com/explore/69afc301000000000601d071?xsec_token=TBvA7Hz6ko-xGwfQy35gan6VGakt5Gcq1DmLgYX6kmFz4=&amp;xsec_source=pc_trdark","https://www.xiaohongshu.com/explore/69afc301000000000601d071?xsec_token=TBvA7Hz6ko-xGwfQy35gan6VGakt5Gcq1DmLgYX6kmFz4=&amp;xsec_source=pc_trdark")</f>
        <v>0.0</v>
      </c>
      <c r="D395" t="inlineStr">
        <is>
          <t>婉婉上班吃什么</t>
        </is>
      </c>
      <c r="E395" t="inlineStr">
        <is>
          <t>11434449706</t>
        </is>
      </c>
      <c r="F395" t="inlineStr">
        <is>
          <t>2026-03-10 15:06:41</t>
        </is>
      </c>
      <c r="G395" t="inlineStr">
        <is>
          <t>图文</t>
        </is>
      </c>
      <c r="H395" t="inlineStr">
        <is>
          <t>手剥虾仁 无冰衣无添加 低脂餐一人食 上班带饭 顺丰包邮 5盒装</t>
        </is>
      </c>
      <c r="I395" t="inlineStr">
        <is>
          <t>694baba01d450d00013662f0</t>
        </is>
      </c>
      <c r="J395" t="inlineStr">
        <is>
          <t/>
        </is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inlineStr">
        <is>
          <t/>
        </is>
      </c>
      <c r="R395" t="inlineStr">
        <is>
          <t/>
        </is>
      </c>
      <c r="S395" t="n">
        <v>0.0</v>
      </c>
      <c r="T395" t="n">
        <v>0.0</v>
      </c>
      <c r="U395" t="n">
        <v>0.0</v>
      </c>
      <c r="V395" t="n">
        <v>0.0</v>
      </c>
      <c r="W395" t="inlineStr">
        <is>
          <t/>
        </is>
      </c>
      <c r="X395" t="n">
        <v>0.0</v>
      </c>
      <c r="Y395" t="n">
        <v>0.0</v>
      </c>
      <c r="Z395" t="n">
        <v>2.0</v>
      </c>
      <c r="AA395" t="n">
        <v>0.0</v>
      </c>
      <c r="AB395" t="n">
        <v>0.0</v>
      </c>
      <c r="AC395" t="n">
        <v>0.0</v>
      </c>
      <c r="AD395" t="n">
        <v>17.0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6.235294117647059</v>
      </c>
      <c r="AL395" t="inlineStr">
        <is>
          <t/>
        </is>
      </c>
    </row>
    <row r="396">
      <c r="A396" t="inlineStr">
        <is>
          <t>年后控体，我就这样吃！</t>
        </is>
      </c>
      <c r="B396" t="inlineStr">
        <is>
          <t>69a419b000000000280237c4</t>
        </is>
      </c>
      <c r="C396" s="395" t="n">
        <f>HYPERLINK("https://www.xiaohongshu.com/explore/69a419b000000000280237c4?xsec_token=TBLmCJorSrUdBsABTJAPHFq5SKBPfNY6USjtOw_i8nMiI=&amp;xsec_source=pc_trdark","https://www.xiaohongshu.com/explore/69a419b000000000280237c4?xsec_token=TBLmCJorSrUdBsABTJAPHFq5SKBPfNY6USjtOw_i8nMiI=&amp;xsec_source=pc_trdark")</f>
        <v>0.0</v>
      </c>
      <c r="D396" t="inlineStr">
        <is>
          <t>鲜水湾</t>
        </is>
      </c>
      <c r="E396" t="inlineStr">
        <is>
          <t>49316638994</t>
        </is>
      </c>
      <c r="F396" t="inlineStr">
        <is>
          <t>2026-03-01 18:49:20</t>
        </is>
      </c>
      <c r="G396" t="inlineStr">
        <is>
          <t>图文</t>
        </is>
      </c>
      <c r="H396" t="inlineStr">
        <is>
          <t>手剥虾仁 无冰衣无添加 低脂餐一人食 上班带饭 顺丰包邮 5盒装</t>
        </is>
      </c>
      <c r="I396" t="inlineStr">
        <is>
          <t>694baba01d450d00013662f0</t>
        </is>
      </c>
      <c r="J396" t="inlineStr">
        <is>
          <t/>
        </is>
      </c>
      <c r="K396" t="n">
        <v>0.0</v>
      </c>
      <c r="L396" t="n">
        <v>0.0</v>
      </c>
      <c r="M396" t="n">
        <v>2.0</v>
      </c>
      <c r="N396" t="inlineStr">
        <is>
          <t>0.11764705882352941</t>
        </is>
      </c>
      <c r="O396" t="n">
        <v>1.0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inlineStr">
        <is>
          <t/>
        </is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17.0</v>
      </c>
      <c r="AE396" t="n">
        <v>1.0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8.0</v>
      </c>
      <c r="AL396" t="inlineStr">
        <is>
          <t/>
        </is>
      </c>
    </row>
    <row r="397">
      <c r="A397" t="inlineStr">
        <is>
          <t>冬天上班就这么吃，裤子都穿不住了</t>
        </is>
      </c>
      <c r="B397" t="inlineStr">
        <is>
          <t>69998adb000000001a0298c7</t>
        </is>
      </c>
      <c r="C397" s="396" t="n">
        <f>HYPERLINK("https://www.xiaohongshu.com/explore/69998adb000000001a0298c7?xsec_token=TBAfDGKDuzeCZ7_t6xBolPunj4US8MG6VrW6Te24ux3vc=&amp;xsec_source=pc_trdark","https://www.xiaohongshu.com/explore/69998adb000000001a0298c7?xsec_token=TBAfDGKDuzeCZ7_t6xBolPunj4US8MG6VrW6Te24ux3vc=&amp;xsec_source=pc_trdark")</f>
        <v>0.0</v>
      </c>
      <c r="D397" t="inlineStr">
        <is>
          <t>鲜水湾</t>
        </is>
      </c>
      <c r="E397" t="inlineStr">
        <is>
          <t>49316638994</t>
        </is>
      </c>
      <c r="F397" t="inlineStr">
        <is>
          <t>2026-02-21 18:37:15</t>
        </is>
      </c>
      <c r="G397" t="inlineStr">
        <is>
          <t>图文</t>
        </is>
      </c>
      <c r="H397" t="inlineStr">
        <is>
          <t>大虾基围虾王牌大虾厄瓜多尔白虾盐冻虾仁海洋大虾送礼顺丰包邮</t>
        </is>
      </c>
      <c r="I397" t="inlineStr">
        <is>
          <t>690aeb7be379430001e686ac</t>
        </is>
      </c>
      <c r="J397" t="inlineStr">
        <is>
          <t/>
        </is>
      </c>
      <c r="K397" t="n">
        <v>0.0</v>
      </c>
      <c r="L397" t="n">
        <v>0.0</v>
      </c>
      <c r="M397" t="n">
        <v>1.0</v>
      </c>
      <c r="N397" t="inlineStr">
        <is>
          <t>0.058823529411764705</t>
        </is>
      </c>
      <c r="O397" t="n">
        <v>1.0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inlineStr">
        <is>
          <t/>
        </is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17.0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7.411764705882353</v>
      </c>
      <c r="AL397" t="inlineStr">
        <is>
          <t/>
        </is>
      </c>
    </row>
    <row r="398">
      <c r="A398" t="inlineStr">
        <is>
          <t>真心建议孕妈妈试试我家这种无保水虾仁</t>
        </is>
      </c>
      <c r="B398" t="inlineStr">
        <is>
          <t>69cb9556000000001e00efd8</t>
        </is>
      </c>
      <c r="C398" s="397" t="n">
        <f>HYPERLINK("https://www.xiaohongshu.com/explore/69cb9556000000001e00efd8?xsec_token=TBNvk7eB588c7ey-qUUMF7OXz--O4N9Fntg0McP9rX97g=&amp;xsec_source=pc_trdark","https://www.xiaohongshu.com/explore/69cb9556000000001e00efd8?xsec_token=TBNvk7eB588c7ey-qUUMF7OXz--O4N9Fntg0McP9rX97g=&amp;xsec_source=pc_trdark")</f>
        <v>0.0</v>
      </c>
      <c r="D398" t="inlineStr">
        <is>
          <t>鲜水湾</t>
        </is>
      </c>
      <c r="E398" t="inlineStr">
        <is>
          <t>49316638994</t>
        </is>
      </c>
      <c r="F398" t="inlineStr">
        <is>
          <t>2026-03-31 17:35:18</t>
        </is>
      </c>
      <c r="G398" t="inlineStr">
        <is>
          <t>图文</t>
        </is>
      </c>
      <c r="H398" t="inlineStr">
        <is>
          <t>手剥虾仁 无冰衣无添加 低脂餐一人食 上班带饭 顺丰包邮 5盒装</t>
        </is>
      </c>
      <c r="I398" t="inlineStr">
        <is>
          <t>694baba01d450d00013662f0</t>
        </is>
      </c>
      <c r="J398" t="inlineStr">
        <is>
          <t/>
        </is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inlineStr">
        <is>
          <t/>
        </is>
      </c>
      <c r="R398" t="inlineStr">
        <is>
          <t/>
        </is>
      </c>
      <c r="S398" t="n">
        <v>0.0</v>
      </c>
      <c r="T398" t="n">
        <v>0.0</v>
      </c>
      <c r="U398" t="n">
        <v>0.0</v>
      </c>
      <c r="V398" t="n">
        <v>0.0</v>
      </c>
      <c r="W398" t="inlineStr">
        <is>
          <t/>
        </is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16.0</v>
      </c>
      <c r="AE398" t="n">
        <v>1.0</v>
      </c>
      <c r="AF398" t="n">
        <v>0.0</v>
      </c>
      <c r="AG398" t="n">
        <v>0.0</v>
      </c>
      <c r="AH398" t="n">
        <v>3.0</v>
      </c>
      <c r="AI398" t="n">
        <v>0.0</v>
      </c>
      <c r="AJ398" t="n">
        <v>0.0</v>
      </c>
      <c r="AK398" t="n">
        <v>7.6875</v>
      </c>
      <c r="AL398" t="inlineStr">
        <is>
          <t/>
        </is>
      </c>
    </row>
    <row r="399">
      <c r="A399" t="inlineStr">
        <is>
          <t>唯一的缺点：✂️脂期吃不停😭😭</t>
        </is>
      </c>
      <c r="B399" t="inlineStr">
        <is>
          <t>69b7cb750000000022025334</t>
        </is>
      </c>
      <c r="C399" s="398" t="n">
        <f>HYPERLINK("https://www.xiaohongshu.com/explore/69b7cb750000000022025334?xsec_token=TBioiHaRPpzHnl86RCtCFk9pry93nfn4ypBftI1fNMMxE=&amp;xsec_source=pc_trdark","https://www.xiaohongshu.com/explore/69b7cb750000000022025334?xsec_token=TBioiHaRPpzHnl86RCtCFk9pry93nfn4ypBftI1fNMMxE=&amp;xsec_source=pc_trdark")</f>
        <v>0.0</v>
      </c>
      <c r="D399" t="inlineStr">
        <is>
          <t>婉婉上班吃什么</t>
        </is>
      </c>
      <c r="E399" t="inlineStr">
        <is>
          <t>11434449706</t>
        </is>
      </c>
      <c r="F399" t="inlineStr">
        <is>
          <t>2026-03-16 17:20:53</t>
        </is>
      </c>
      <c r="G399" t="inlineStr">
        <is>
          <t>图文</t>
        </is>
      </c>
      <c r="H399" t="inlineStr">
        <is>
          <t>手剥虾仁 无冰衣无添加 低脂餐一人食 上班带饭 顺丰包邮 5盒装</t>
        </is>
      </c>
      <c r="I399" t="inlineStr">
        <is>
          <t>694baba01d450d00013662f0</t>
        </is>
      </c>
      <c r="J399" t="inlineStr">
        <is>
          <t/>
        </is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inlineStr">
        <is>
          <t/>
        </is>
      </c>
      <c r="R399" t="inlineStr">
        <is>
          <t/>
        </is>
      </c>
      <c r="S399" t="n">
        <v>0.0</v>
      </c>
      <c r="T399" t="n">
        <v>0.0</v>
      </c>
      <c r="U399" t="n">
        <v>0.0</v>
      </c>
      <c r="V399" t="n">
        <v>0.0</v>
      </c>
      <c r="W399" t="inlineStr">
        <is>
          <t/>
        </is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16.0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11.75</v>
      </c>
      <c r="AL399" t="inlineStr">
        <is>
          <t/>
        </is>
      </c>
    </row>
    <row r="400">
      <c r="A400" t="inlineStr">
        <is>
          <t>试过了，确实比鸡胸肉香！</t>
        </is>
      </c>
      <c r="B400" t="inlineStr">
        <is>
          <t>69b28d3b000000000600df7a</t>
        </is>
      </c>
      <c r="C400" s="399" t="n">
        <f>HYPERLINK("https://www.xiaohongshu.com/explore/69b28d3b000000000600df7a?xsec_token=TB020mu_sDtHEgaPvBWpjWucPgP9nDR2wfYGLQoYl7DuE=&amp;xsec_source=pc_trdark","https://www.xiaohongshu.com/explore/69b28d3b000000000600df7a?xsec_token=TB020mu_sDtHEgaPvBWpjWucPgP9nDR2wfYGLQoYl7DuE=&amp;xsec_source=pc_trdark")</f>
        <v>0.0</v>
      </c>
      <c r="D400" t="inlineStr">
        <is>
          <t>婉婉上班吃什么</t>
        </is>
      </c>
      <c r="E400" t="inlineStr">
        <is>
          <t>11434449706</t>
        </is>
      </c>
      <c r="F400" t="inlineStr">
        <is>
          <t>2026-03-12 17:54:03</t>
        </is>
      </c>
      <c r="G400" t="inlineStr">
        <is>
          <t>图文</t>
        </is>
      </c>
      <c r="H400" t="inlineStr">
        <is>
          <t>智利三文鱼切块·整条三文鱼·深海鱼一人食健康饮食</t>
        </is>
      </c>
      <c r="I400" t="inlineStr">
        <is>
          <t>691ac562a524ee0001b51d7b</t>
        </is>
      </c>
      <c r="J400" t="inlineStr">
        <is>
          <t/>
        </is>
      </c>
      <c r="K400" t="n">
        <v>0.0</v>
      </c>
      <c r="L400" t="n">
        <v>0.0</v>
      </c>
      <c r="M400" t="n">
        <v>2.0</v>
      </c>
      <c r="N400" t="n">
        <v>0.125</v>
      </c>
      <c r="O400" t="n">
        <v>2.0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inlineStr">
        <is>
          <t/>
        </is>
      </c>
      <c r="X400" t="n">
        <v>0.0</v>
      </c>
      <c r="Y400" t="n">
        <v>0.0</v>
      </c>
      <c r="Z400" t="n">
        <v>1.0</v>
      </c>
      <c r="AA400" t="n">
        <v>0.0</v>
      </c>
      <c r="AB400" t="n">
        <v>0.0</v>
      </c>
      <c r="AC400" t="n">
        <v>0.0</v>
      </c>
      <c r="AD400" t="n">
        <v>16.0</v>
      </c>
      <c r="AE400" t="n">
        <v>2.0</v>
      </c>
      <c r="AF400" t="n">
        <v>0.0</v>
      </c>
      <c r="AG400" t="n">
        <v>0.0</v>
      </c>
      <c r="AH400" t="n">
        <v>3.0</v>
      </c>
      <c r="AI400" t="n">
        <v>0.0</v>
      </c>
      <c r="AJ400" t="n">
        <v>0.0</v>
      </c>
      <c r="AK400" t="n">
        <v>9.125</v>
      </c>
      <c r="AL400" t="inlineStr">
        <is>
          <t/>
        </is>
      </c>
    </row>
    <row r="401">
      <c r="A401" t="inlineStr">
        <is>
          <t>我爸让我通知各位，乳山超大生蚝59.9r5斤</t>
        </is>
      </c>
      <c r="B401" t="inlineStr">
        <is>
          <t>691aeb55000000000503963f</t>
        </is>
      </c>
      <c r="C401" s="400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401" t="inlineStr">
        <is>
          <t>婉婉上班吃什么</t>
        </is>
      </c>
      <c r="E401" t="inlineStr">
        <is>
          <t>11434449706</t>
        </is>
      </c>
      <c r="F401" t="inlineStr">
        <is>
          <t>2025-11-17 17:31:01</t>
        </is>
      </c>
      <c r="G401" t="inlineStr">
        <is>
          <t>视频</t>
        </is>
      </c>
      <c r="H401" t="inlineStr">
        <is>
          <t>生蚝乳山生蚝海蛎子顺丰包邮</t>
        </is>
      </c>
      <c r="I401" t="inlineStr">
        <is>
          <t>690c70971b787900010866cc</t>
        </is>
      </c>
      <c r="J401" t="n">
        <v>33.0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inlineStr">
        <is>
          <t/>
        </is>
      </c>
      <c r="R401" t="inlineStr">
        <is>
          <t/>
        </is>
      </c>
      <c r="S401" t="n">
        <v>0.0</v>
      </c>
      <c r="T401" t="n">
        <v>0.0</v>
      </c>
      <c r="U401" t="n">
        <v>0.0</v>
      </c>
      <c r="V401" t="n">
        <v>0.0</v>
      </c>
      <c r="W401" t="inlineStr">
        <is>
          <t/>
        </is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16.0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16.75</v>
      </c>
      <c r="AL401" t="inlineStr">
        <is>
          <t>0.23809523809523808</t>
        </is>
      </c>
    </row>
    <row r="402">
      <c r="A402" t="inlineStr">
        <is>
          <t>还好被我找到了，不用处理的蛋白质补给</t>
        </is>
      </c>
      <c r="B402" t="inlineStr">
        <is>
          <t>69ca0620000000001a037781</t>
        </is>
      </c>
      <c r="C402" s="401" t="n">
        <f>HYPERLINK("https://www.xiaohongshu.com/explore/69ca0620000000001a037781?xsec_token=TBZMwIQ43aS0K0DsaEHGlBqsH8zufDUsptKb9sv29pnMg=&amp;xsec_source=pc_trdark","https://www.xiaohongshu.com/explore/69ca0620000000001a037781?xsec_token=TBZMwIQ43aS0K0DsaEHGlBqsH8zufDUsptKb9sv29pnMg=&amp;xsec_source=pc_trdark")</f>
        <v>0.0</v>
      </c>
      <c r="D402" t="inlineStr">
        <is>
          <t>菲菲上班吃什么</t>
        </is>
      </c>
      <c r="E402" t="inlineStr">
        <is>
          <t>49936530607</t>
        </is>
      </c>
      <c r="F402" t="inlineStr">
        <is>
          <t>2026-03-30 13:12:00</t>
        </is>
      </c>
      <c r="G402" t="inlineStr">
        <is>
          <t>图文</t>
        </is>
      </c>
      <c r="H402" t="inlineStr">
        <is>
          <t>手剥虾仁 无冰衣无添加 低脂餐一人食 上班带饭 顺丰包邮 5盒装</t>
        </is>
      </c>
      <c r="I402" t="inlineStr">
        <is>
          <t>694baba01d450d00013662f0</t>
        </is>
      </c>
      <c r="J402" t="inlineStr">
        <is>
          <t/>
        </is>
      </c>
      <c r="K402" t="n">
        <v>0.0</v>
      </c>
      <c r="L402" t="n">
        <v>0.0</v>
      </c>
      <c r="M402" t="n">
        <v>3.0</v>
      </c>
      <c r="N402" t="n">
        <v>0.2</v>
      </c>
      <c r="O402" t="n">
        <v>3.0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inlineStr">
        <is>
          <t/>
        </is>
      </c>
      <c r="X402" t="n">
        <v>0.0</v>
      </c>
      <c r="Y402" t="n">
        <v>1.0</v>
      </c>
      <c r="Z402" t="n">
        <v>0.0</v>
      </c>
      <c r="AA402" t="n">
        <v>0.0</v>
      </c>
      <c r="AB402" t="n">
        <v>0.0</v>
      </c>
      <c r="AC402" t="n">
        <v>0.0</v>
      </c>
      <c r="AD402" t="n">
        <v>15.0</v>
      </c>
      <c r="AE402" t="n">
        <v>1.0</v>
      </c>
      <c r="AF402" t="n">
        <v>0.0</v>
      </c>
      <c r="AG402" t="n">
        <v>0.0</v>
      </c>
      <c r="AH402" t="n">
        <v>1.0</v>
      </c>
      <c r="AI402" t="n">
        <v>0.0</v>
      </c>
      <c r="AJ402" t="n">
        <v>0.0</v>
      </c>
      <c r="AK402" t="n">
        <v>9.266666666666667</v>
      </c>
      <c r="AL402" t="inlineStr">
        <is>
          <t/>
        </is>
      </c>
    </row>
    <row r="403">
      <c r="A403" t="inlineStr">
        <is>
          <t>小红书上买的盐冻虾！已经加入无限回购清</t>
        </is>
      </c>
      <c r="B403" t="inlineStr">
        <is>
          <t>69b03597000000000902206f</t>
        </is>
      </c>
      <c r="C403" s="402" t="n">
        <f>HYPERLINK("https://www.xiaohongshu.com/explore/69b03597000000000902206f?xsec_token=TB1fCSoBGZhUEvn2zrb_Bw2gCeEfC6pflG58DIMFtflZQ=&amp;xsec_source=pc_trdark","https://www.xiaohongshu.com/explore/69b03597000000000902206f?xsec_token=TB1fCSoBGZhUEvn2zrb_Bw2gCeEfC6pflG58DIMFtflZQ=&amp;xsec_source=pc_trdark")</f>
        <v>0.0</v>
      </c>
      <c r="D403" t="inlineStr">
        <is>
          <t>鲜水湾</t>
        </is>
      </c>
      <c r="E403" t="inlineStr">
        <is>
          <t>49316638994</t>
        </is>
      </c>
      <c r="F403" t="inlineStr">
        <is>
          <t>2026-03-10 23:15:35</t>
        </is>
      </c>
      <c r="G403" t="inlineStr">
        <is>
          <t>图文</t>
        </is>
      </c>
      <c r="H403" t="inlineStr">
        <is>
          <t>大虾基围虾王牌大虾厄瓜多尔白虾盐冻虾仁海洋大虾送礼顺丰包邮</t>
        </is>
      </c>
      <c r="I403" t="inlineStr">
        <is>
          <t>690aeb7be379430001e686ac</t>
        </is>
      </c>
      <c r="J403" t="inlineStr">
        <is>
          <t/>
        </is>
      </c>
      <c r="K403" t="n">
        <v>0.0</v>
      </c>
      <c r="L403" t="n">
        <v>0.0</v>
      </c>
      <c r="M403" t="n">
        <v>2.0</v>
      </c>
      <c r="N403" t="inlineStr">
        <is>
          <t>0.13333333333333333</t>
        </is>
      </c>
      <c r="O403" t="n">
        <v>2.0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inlineStr">
        <is>
          <t/>
        </is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15.0</v>
      </c>
      <c r="AE403" t="n">
        <v>0.0</v>
      </c>
      <c r="AF403" t="n">
        <v>0.0</v>
      </c>
      <c r="AG403" t="n">
        <v>0.0</v>
      </c>
      <c r="AH403" t="n">
        <v>2.0</v>
      </c>
      <c r="AI403" t="n">
        <v>0.0</v>
      </c>
      <c r="AJ403" t="n">
        <v>0.0</v>
      </c>
      <c r="AK403" t="n">
        <v>4.466666666666667</v>
      </c>
      <c r="AL403" t="inlineStr">
        <is>
          <t/>
        </is>
      </c>
    </row>
    <row r="404">
      <c r="A404" t="inlineStr">
        <is>
          <t>三文鱼要好吃，煎鱼基础，鱼搭子就不基础</t>
        </is>
      </c>
      <c r="B404" t="inlineStr">
        <is>
          <t>694396c2000000001e039870</t>
        </is>
      </c>
      <c r="C404" s="403" t="n">
        <f>HYPERLINK("https://www.xiaohongshu.com/explore/694396c2000000001e039870?xsec_token=TB3ISCGERC3xZFl0ewfdTFyM58d86DCe--zZTX8HivPVY=&amp;xsec_source=pc_trdark","https://www.xiaohongshu.com/explore/694396c2000000001e039870?xsec_token=TB3ISCGERC3xZFl0ewfdTFyM58d86DCe--zZTX8HivPVY=&amp;xsec_source=pc_trdark")</f>
        <v>0.0</v>
      </c>
      <c r="D404" t="inlineStr">
        <is>
          <t>鲜水湾</t>
        </is>
      </c>
      <c r="E404" t="inlineStr">
        <is>
          <t>49316638994</t>
        </is>
      </c>
      <c r="F404" t="inlineStr">
        <is>
          <t>2025-12-18 13:53:06</t>
        </is>
      </c>
      <c r="G404" t="inlineStr">
        <is>
          <t>图文</t>
        </is>
      </c>
      <c r="H404" t="inlineStr">
        <is>
          <t>智利三文鱼切块·整条三文鱼·深海鱼一人食健康饮食</t>
        </is>
      </c>
      <c r="I404" t="inlineStr">
        <is>
          <t>691ac562a524ee0001b51d7b</t>
        </is>
      </c>
      <c r="J404" t="inlineStr">
        <is>
          <t/>
        </is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inlineStr">
        <is>
          <t/>
        </is>
      </c>
      <c r="R404" t="inlineStr">
        <is>
          <t/>
        </is>
      </c>
      <c r="S404" t="n">
        <v>0.0</v>
      </c>
      <c r="T404" t="n">
        <v>0.0</v>
      </c>
      <c r="U404" t="n">
        <v>0.0</v>
      </c>
      <c r="V404" t="n">
        <v>0.0</v>
      </c>
      <c r="W404" t="inlineStr">
        <is>
          <t/>
        </is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15.0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31.4</v>
      </c>
      <c r="AL404" t="inlineStr">
        <is>
          <t/>
        </is>
      </c>
    </row>
    <row r="405">
      <c r="A405" t="inlineStr">
        <is>
          <t>以前是山姆，现在是小红书</t>
        </is>
      </c>
      <c r="B405" t="inlineStr">
        <is>
          <t>6933b8fe000000001e03b9f0</t>
        </is>
      </c>
      <c r="C405" s="404" t="n">
        <f>HYPERLINK("https://www.xiaohongshu.com/explore/6933b8fe000000001e03b9f0?xsec_token=TBtLw60d0rN_yGhfj7_ewzhSlK-dul8ye9Ak2yEu59ojA=&amp;xsec_source=pc_trdark","https://www.xiaohongshu.com/explore/6933b8fe000000001e03b9f0?xsec_token=TBtLw60d0rN_yGhfj7_ewzhSlK-dul8ye9Ak2yEu59ojA=&amp;xsec_source=pc_trdark")</f>
        <v>0.0</v>
      </c>
      <c r="D405" t="inlineStr">
        <is>
          <t>鲜水湾</t>
        </is>
      </c>
      <c r="E405" t="inlineStr">
        <is>
          <t>49316638994</t>
        </is>
      </c>
      <c r="F405" t="inlineStr">
        <is>
          <t>2025-12-06 13:02:54</t>
        </is>
      </c>
      <c r="G405" t="inlineStr">
        <is>
          <t>图文</t>
        </is>
      </c>
      <c r="H405" t="inlineStr">
        <is>
          <t>智利三文鱼切块·整条三文鱼·深海鱼一人食健康饮食</t>
        </is>
      </c>
      <c r="I405" t="inlineStr">
        <is>
          <t>691ac562a524ee0001b51d7b</t>
        </is>
      </c>
      <c r="J405" t="inlineStr">
        <is>
          <t/>
        </is>
      </c>
      <c r="K405" t="n">
        <v>0.0</v>
      </c>
      <c r="L405" t="n">
        <v>0.0</v>
      </c>
      <c r="M405" t="n">
        <v>1.0</v>
      </c>
      <c r="N405" t="inlineStr">
        <is>
          <t>0.06666666666666667</t>
        </is>
      </c>
      <c r="O405" t="n">
        <v>1.0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inlineStr">
        <is>
          <t/>
        </is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15.0</v>
      </c>
      <c r="AE405" t="n">
        <v>0.0</v>
      </c>
      <c r="AF405" t="n">
        <v>1.0</v>
      </c>
      <c r="AG405" t="n">
        <v>0.0</v>
      </c>
      <c r="AH405" t="n">
        <v>0.0</v>
      </c>
      <c r="AI405" t="n">
        <v>0.0</v>
      </c>
      <c r="AJ405" t="n">
        <v>0.0</v>
      </c>
      <c r="AK405" t="n">
        <v>9.133333333333333</v>
      </c>
      <c r="AL405" t="inlineStr">
        <is>
          <t/>
        </is>
      </c>
    </row>
    <row r="406">
      <c r="A406" t="inlineStr">
        <is>
          <t>和老爸商量，专为独居人定制了小包装</t>
        </is>
      </c>
      <c r="B406" t="inlineStr">
        <is>
          <t>69a4ffa10000000028022ff2</t>
        </is>
      </c>
      <c r="C406" s="405" t="n">
        <f>HYPERLINK("https://www.xiaohongshu.com/explore/69a4ffa10000000028022ff2?xsec_token=TBLmCJorSrUdBsABTJAPHFq8tNtMPjZQmBVjswHrZ0oOY=&amp;xsec_source=pc_trdark","https://www.xiaohongshu.com/explore/69a4ffa10000000028022ff2?xsec_token=TBLmCJorSrUdBsABTJAPHFq8tNtMPjZQmBVjswHrZ0oOY=&amp;xsec_source=pc_trdark")</f>
        <v>0.0</v>
      </c>
      <c r="D406" t="inlineStr">
        <is>
          <t>鲜水湾</t>
        </is>
      </c>
      <c r="E406" t="inlineStr">
        <is>
          <t>49316638994</t>
        </is>
      </c>
      <c r="F406" t="inlineStr">
        <is>
          <t>2026-03-02 11:10:25</t>
        </is>
      </c>
      <c r="G406" t="inlineStr">
        <is>
          <t>图文</t>
        </is>
      </c>
      <c r="H406" t="inlineStr">
        <is>
          <t>手剥虾仁 无冰衣无添加 低脂餐一人食 上班带饭 顺丰包邮 5盒装</t>
        </is>
      </c>
      <c r="I406" t="inlineStr">
        <is>
          <t>694baba01d450d00013662f0</t>
        </is>
      </c>
      <c r="J406" t="inlineStr">
        <is>
          <t/>
        </is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inlineStr">
        <is>
          <t/>
        </is>
      </c>
      <c r="R406" t="inlineStr">
        <is>
          <t/>
        </is>
      </c>
      <c r="S406" t="n">
        <v>0.0</v>
      </c>
      <c r="T406" t="n">
        <v>0.0</v>
      </c>
      <c r="U406" t="n">
        <v>0.0</v>
      </c>
      <c r="V406" t="n">
        <v>0.0</v>
      </c>
      <c r="W406" t="inlineStr">
        <is>
          <t/>
        </is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14.0</v>
      </c>
      <c r="AE406" t="n">
        <v>0.0</v>
      </c>
      <c r="AF406" t="n">
        <v>0.0</v>
      </c>
      <c r="AG406" t="n">
        <v>0.0</v>
      </c>
      <c r="AH406" t="n">
        <v>2.0</v>
      </c>
      <c r="AI406" t="n">
        <v>0.0</v>
      </c>
      <c r="AJ406" t="n">
        <v>0.0</v>
      </c>
      <c r="AK406" t="n">
        <v>5.214285714285714</v>
      </c>
      <c r="AL406" t="inlineStr">
        <is>
          <t/>
        </is>
      </c>
    </row>
    <row r="407">
      <c r="A407" t="inlineStr">
        <is>
          <t>不啰嗦了！！300来块一整条</t>
        </is>
      </c>
      <c r="B407" t="inlineStr">
        <is>
          <t>699ff03d000000001a02073e</t>
        </is>
      </c>
      <c r="C407" s="406" t="n">
        <f>HYPERLINK("https://www.xiaohongshu.com/explore/699ff03d000000001a02073e?xsec_token=TBmPrNsEp7sytnt8BzCMtNTVtndlWLUwRuqnamxfgVA6Y=&amp;xsec_source=pc_trdark","https://www.xiaohongshu.com/explore/699ff03d000000001a02073e?xsec_token=TBmPrNsEp7sytnt8BzCMtNTVtndlWLUwRuqnamxfgVA6Y=&amp;xsec_source=pc_trdark")</f>
        <v>0.0</v>
      </c>
      <c r="D407" t="inlineStr">
        <is>
          <t>鲜水湾</t>
        </is>
      </c>
      <c r="E407" t="inlineStr">
        <is>
          <t>49316638994</t>
        </is>
      </c>
      <c r="F407" t="inlineStr">
        <is>
          <t>2026-02-26 15:03:25</t>
        </is>
      </c>
      <c r="G407" t="inlineStr">
        <is>
          <t>图文</t>
        </is>
      </c>
      <c r="H407" t="inlineStr">
        <is>
          <t>智利三文鱼切块·整条三文鱼·深海鱼一人食健康饮食</t>
        </is>
      </c>
      <c r="I407" t="inlineStr">
        <is>
          <t>691ac562a524ee0001b51d7b</t>
        </is>
      </c>
      <c r="J407" t="inlineStr">
        <is>
          <t/>
        </is>
      </c>
      <c r="K407" t="n">
        <v>0.0</v>
      </c>
      <c r="L407" t="n">
        <v>0.0</v>
      </c>
      <c r="M407" t="n">
        <v>5.0</v>
      </c>
      <c r="N407" t="inlineStr">
        <is>
          <t>0.35714285714285715</t>
        </is>
      </c>
      <c r="O407" t="n">
        <v>5.0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inlineStr">
        <is>
          <t/>
        </is>
      </c>
      <c r="X407" t="n">
        <v>0.0</v>
      </c>
      <c r="Y407" t="n">
        <v>0.0</v>
      </c>
      <c r="Z407" t="n">
        <v>1.0</v>
      </c>
      <c r="AA407" t="n">
        <v>0.0</v>
      </c>
      <c r="AB407" t="n">
        <v>0.0</v>
      </c>
      <c r="AC407" t="n">
        <v>0.0</v>
      </c>
      <c r="AD407" t="n">
        <v>14.0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12.0</v>
      </c>
      <c r="AL407" t="inlineStr">
        <is>
          <t/>
        </is>
      </c>
    </row>
    <row r="408">
      <c r="A408" t="inlineStr">
        <is>
          <t>青岛🚗整条三文鱼礼盒已经 next level</t>
        </is>
      </c>
      <c r="B408" t="inlineStr">
        <is>
          <t>6986f477000000002800b5b6</t>
        </is>
      </c>
      <c r="C408" s="407" t="n">
        <f>HYPERLINK("https://www.xiaohongshu.com/explore/6986f477000000002800b5b6?xsec_token=TB-LsRJw2UEyjZbU1RZqmjvp12LbpoqBwvz9mnH2XZzV8=&amp;xsec_source=pc_trdark","https://www.xiaohongshu.com/explore/6986f477000000002800b5b6?xsec_token=TB-LsRJw2UEyjZbU1RZqmjvp12LbpoqBwvz9mnH2XZzV8=&amp;xsec_source=pc_trdark")</f>
        <v>0.0</v>
      </c>
      <c r="D408" t="inlineStr">
        <is>
          <t>鲜水湾</t>
        </is>
      </c>
      <c r="E408" t="inlineStr">
        <is>
          <t>49316638994</t>
        </is>
      </c>
      <c r="F408" t="inlineStr">
        <is>
          <t>2026-02-07 16:14:47</t>
        </is>
      </c>
      <c r="G408" t="inlineStr">
        <is>
          <t>图文</t>
        </is>
      </c>
      <c r="H408" t="inlineStr">
        <is>
          <t>智利三文鱼切块·整条三文鱼·深海鱼一人食健康饮食</t>
        </is>
      </c>
      <c r="I408" t="inlineStr">
        <is>
          <t>691ac562a524ee0001b51d7b</t>
        </is>
      </c>
      <c r="J408" t="inlineStr">
        <is>
          <t/>
        </is>
      </c>
      <c r="K408" t="n">
        <v>116.0</v>
      </c>
      <c r="L408" t="n">
        <v>1.0</v>
      </c>
      <c r="M408" t="n">
        <v>4.0</v>
      </c>
      <c r="N408" t="n">
        <v>0.2857142857142857</v>
      </c>
      <c r="O408" t="n">
        <v>4.0</v>
      </c>
      <c r="P408" t="n">
        <v>1.0</v>
      </c>
      <c r="Q408" t="n">
        <v>0.25</v>
      </c>
      <c r="R408" t="n">
        <v>0.25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1.0</v>
      </c>
      <c r="AA408" t="n">
        <v>0.0</v>
      </c>
      <c r="AB408" t="n">
        <v>0.0</v>
      </c>
      <c r="AC408" t="n">
        <v>0.0</v>
      </c>
      <c r="AD408" t="n">
        <v>14.0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11.785714285714286</v>
      </c>
      <c r="AL408" t="inlineStr">
        <is>
          <t/>
        </is>
      </c>
    </row>
    <row r="409">
      <c r="A409" t="inlineStr">
        <is>
          <t>40+一箱的乳山生蚝太鲜了，好好吃🤤</t>
        </is>
      </c>
      <c r="B409" t="inlineStr">
        <is>
          <t>69609677000000001a023d13</t>
        </is>
      </c>
      <c r="C409" s="408" t="n">
        <f>HYPERLINK("https://www.xiaohongshu.com/explore/69609677000000001a023d13?xsec_token=TBYg-Zp66x4R1hUeuB0jKgE4bQY0Kwsr_n7NqbssxncXg=&amp;xsec_source=pc_trdark","https://www.xiaohongshu.com/explore/69609677000000001a023d13?xsec_token=TBYg-Zp66x4R1hUeuB0jKgE4bQY0Kwsr_n7NqbssxncXg=&amp;xsec_source=pc_trdark")</f>
        <v>0.0</v>
      </c>
      <c r="D409" t="inlineStr">
        <is>
          <t>婉婉上班吃什么</t>
        </is>
      </c>
      <c r="E409" t="inlineStr">
        <is>
          <t>11434449706</t>
        </is>
      </c>
      <c r="F409" t="inlineStr">
        <is>
          <t>2026-01-09 13:47:35</t>
        </is>
      </c>
      <c r="G409" t="inlineStr">
        <is>
          <t>视频</t>
        </is>
      </c>
      <c r="H409" t="inlineStr">
        <is>
          <t>生蚝乳山生蚝海蛎子顺丰包邮</t>
        </is>
      </c>
      <c r="I409" t="inlineStr">
        <is>
          <t>690c70971b787900010866cc</t>
        </is>
      </c>
      <c r="J409" t="n">
        <v>27.0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inlineStr">
        <is>
          <t/>
        </is>
      </c>
      <c r="R409" t="inlineStr">
        <is>
          <t/>
        </is>
      </c>
      <c r="S409" t="n">
        <v>0.0</v>
      </c>
      <c r="T409" t="n">
        <v>0.0</v>
      </c>
      <c r="U409" t="n">
        <v>0.0</v>
      </c>
      <c r="V409" t="n">
        <v>0.0</v>
      </c>
      <c r="W409" t="inlineStr">
        <is>
          <t/>
        </is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14.0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3.7857142857142856</v>
      </c>
      <c r="AL409" t="n">
        <v>0.0625</v>
      </c>
    </row>
    <row r="410">
      <c r="A410" t="inlineStr">
        <is>
          <t>建议冬至后狠狠吃生蚝，40+一箱的生蚝真肥</t>
        </is>
      </c>
      <c r="B410" t="inlineStr">
        <is>
          <t>6943d39b000000000d034d4f</t>
        </is>
      </c>
      <c r="C410" s="409" t="n">
        <f>HYPERLINK("https://www.xiaohongshu.com/explore/6943d39b000000000d034d4f?xsec_token=TB3ISCGERC3xZFl0ewfdTFyId3-4629b3-nxVDswtkamo=&amp;xsec_source=pc_trdark","https://www.xiaohongshu.com/explore/6943d39b000000000d034d4f?xsec_token=TB3ISCGERC3xZFl0ewfdTFyId3-4629b3-nxVDswtkamo=&amp;xsec_source=pc_trdark")</f>
        <v>0.0</v>
      </c>
      <c r="D410" t="inlineStr">
        <is>
          <t>婉婉上班吃什么</t>
        </is>
      </c>
      <c r="E410" t="inlineStr">
        <is>
          <t>11434449706</t>
        </is>
      </c>
      <c r="F410" t="inlineStr">
        <is>
          <t>2025-12-18 18:12:43</t>
        </is>
      </c>
      <c r="G410" t="inlineStr">
        <is>
          <t>视频</t>
        </is>
      </c>
      <c r="H410" t="inlineStr">
        <is>
          <t>生蚝乳山生蚝海蛎子顺丰包邮</t>
        </is>
      </c>
      <c r="I410" t="inlineStr">
        <is>
          <t>690c70971b787900010866cc</t>
        </is>
      </c>
      <c r="J410" t="n">
        <v>37.0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inlineStr">
        <is>
          <t/>
        </is>
      </c>
      <c r="R410" t="inlineStr">
        <is>
          <t/>
        </is>
      </c>
      <c r="S410" t="n">
        <v>0.0</v>
      </c>
      <c r="T410" t="n">
        <v>0.0</v>
      </c>
      <c r="U410" t="n">
        <v>0.0</v>
      </c>
      <c r="V410" t="n">
        <v>0.0</v>
      </c>
      <c r="W410" t="inlineStr">
        <is>
          <t/>
        </is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14.0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4.357142857142857</v>
      </c>
      <c r="AL410" t="n">
        <v>0.0</v>
      </c>
    </row>
    <row r="411">
      <c r="A411" t="inlineStr">
        <is>
          <t>现在的年轻人真的低估了60来块的购买力！</t>
        </is>
      </c>
      <c r="B411" t="inlineStr">
        <is>
          <t>69ba0b0c00000000280087fb</t>
        </is>
      </c>
      <c r="C411" s="410" t="n">
        <f>HYPERLINK("https://www.xiaohongshu.com/explore/69ba0b0c00000000280087fb?xsec_token=TBgJVNruMKjnZKfHBYiZtZCdazcfAer2NNC7zPDSEIpog=&amp;xsec_source=pc_trdark","https://www.xiaohongshu.com/explore/69ba0b0c00000000280087fb?xsec_token=TBgJVNruMKjnZKfHBYiZtZCdazcfAer2NNC7zPDSEIpog=&amp;xsec_source=pc_trdark")</f>
        <v>0.0</v>
      </c>
      <c r="D411" t="inlineStr">
        <is>
          <t>鲜水湾</t>
        </is>
      </c>
      <c r="E411" t="inlineStr">
        <is>
          <t>49316638994</t>
        </is>
      </c>
      <c r="F411" t="inlineStr">
        <is>
          <t>2026-03-18 10:16:44</t>
        </is>
      </c>
      <c r="G411" t="inlineStr">
        <is>
          <t>图文</t>
        </is>
      </c>
      <c r="H411" t="inlineStr">
        <is>
          <t>手剥虾仁 无冰衣无添加 低脂餐一人食 上班带饭 顺丰包邮 5盒装</t>
        </is>
      </c>
      <c r="I411" t="inlineStr">
        <is>
          <t>694baba01d450d00013662f0</t>
        </is>
      </c>
      <c r="J411" t="inlineStr">
        <is>
          <t/>
        </is>
      </c>
      <c r="K411" t="n">
        <v>0.0</v>
      </c>
      <c r="L411" t="n">
        <v>0.0</v>
      </c>
      <c r="M411" t="n">
        <v>1.0</v>
      </c>
      <c r="N411" t="inlineStr">
        <is>
          <t>0.07692307692307693</t>
        </is>
      </c>
      <c r="O411" t="n">
        <v>1.0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inlineStr">
        <is>
          <t/>
        </is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13.0</v>
      </c>
      <c r="AE411" t="n">
        <v>0.0</v>
      </c>
      <c r="AF411" t="n">
        <v>0.0</v>
      </c>
      <c r="AG411" t="n">
        <v>0.0</v>
      </c>
      <c r="AH411" t="n">
        <v>2.0</v>
      </c>
      <c r="AI411" t="n">
        <v>0.0</v>
      </c>
      <c r="AJ411" t="n">
        <v>0.0</v>
      </c>
      <c r="AK411" t="n">
        <v>11.076923076923077</v>
      </c>
      <c r="AL411" t="inlineStr">
        <is>
          <t/>
        </is>
      </c>
    </row>
    <row r="412">
      <c r="A412" t="inlineStr">
        <is>
          <t>我也不想吃啊，可它69承包了我一周减脂餐🤣</t>
        </is>
      </c>
      <c r="B412" t="inlineStr">
        <is>
          <t>69b37018000000000601fe51</t>
        </is>
      </c>
      <c r="C412" s="411" t="n">
        <f>HYPERLINK("https://www.xiaohongshu.com/explore/69b37018000000000601fe51?xsec_token=TBu1W-q9yR_0LoYiUu9p9bD1vEqHSGZT0rQSPAiS7-jqI=&amp;xsec_source=pc_trdark","https://www.xiaohongshu.com/explore/69b37018000000000601fe51?xsec_token=TBu1W-q9yR_0LoYiUu9p9bD1vEqHSGZT0rQSPAiS7-jqI=&amp;xsec_source=pc_trdark")</f>
        <v>0.0</v>
      </c>
      <c r="D412" t="inlineStr">
        <is>
          <t>鲜水湾</t>
        </is>
      </c>
      <c r="E412" t="inlineStr">
        <is>
          <t>49316638994</t>
        </is>
      </c>
      <c r="F412" t="inlineStr">
        <is>
          <t>2026-03-13 10:02:00</t>
        </is>
      </c>
      <c r="G412" t="inlineStr">
        <is>
          <t>图文</t>
        </is>
      </c>
      <c r="H412" t="inlineStr">
        <is>
          <t>大虾基围虾王牌大虾厄瓜多尔白虾盐冻虾仁海洋大虾送礼顺丰包邮</t>
        </is>
      </c>
      <c r="I412" t="inlineStr">
        <is>
          <t>690aeb7be379430001e686ac</t>
        </is>
      </c>
      <c r="J412" t="inlineStr">
        <is>
          <t/>
        </is>
      </c>
      <c r="K412" t="n">
        <v>0.0</v>
      </c>
      <c r="L412" t="n">
        <v>0.0</v>
      </c>
      <c r="M412" t="n">
        <v>1.0</v>
      </c>
      <c r="N412" t="inlineStr">
        <is>
          <t>0.07692307692307693</t>
        </is>
      </c>
      <c r="O412" t="n">
        <v>1.0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inlineStr">
        <is>
          <t/>
        </is>
      </c>
      <c r="X412" t="n">
        <v>0.0</v>
      </c>
      <c r="Y412" t="n">
        <v>1.0</v>
      </c>
      <c r="Z412" t="n">
        <v>0.0</v>
      </c>
      <c r="AA412" t="n">
        <v>0.0</v>
      </c>
      <c r="AB412" t="n">
        <v>0.0</v>
      </c>
      <c r="AC412" t="n">
        <v>0.0</v>
      </c>
      <c r="AD412" t="n">
        <v>13.0</v>
      </c>
      <c r="AE412" t="n">
        <v>0.0</v>
      </c>
      <c r="AF412" t="n">
        <v>0.0</v>
      </c>
      <c r="AG412" t="n">
        <v>0.0</v>
      </c>
      <c r="AH412" t="n">
        <v>2.0</v>
      </c>
      <c r="AI412" t="n">
        <v>0.0</v>
      </c>
      <c r="AJ412" t="n">
        <v>0.0</v>
      </c>
      <c r="AK412" t="n">
        <v>8.538461538461538</v>
      </c>
      <c r="AL412" t="inlineStr">
        <is>
          <t/>
        </is>
      </c>
    </row>
    <row r="413">
      <c r="A413" t="inlineStr">
        <is>
          <t>带饭的尽头…真的是免加热！🍤</t>
        </is>
      </c>
      <c r="B413" t="inlineStr">
        <is>
          <t>69b283f20000000006033c23</t>
        </is>
      </c>
      <c r="C413" s="412" t="n">
        <f>HYPERLINK("https://www.xiaohongshu.com/explore/69b283f20000000006033c23?xsec_token=TB020mu_sDtHEgaPvBWpjWuUaqMCB5-B7E4SMZhTM0Wt4=&amp;xsec_source=pc_trdark","https://www.xiaohongshu.com/explore/69b283f20000000006033c23?xsec_token=TB020mu_sDtHEgaPvBWpjWuUaqMCB5-B7E4SMZhTM0Wt4=&amp;xsec_source=pc_trdark")</f>
        <v>0.0</v>
      </c>
      <c r="D413" t="inlineStr">
        <is>
          <t>鲜水湾</t>
        </is>
      </c>
      <c r="E413" t="inlineStr">
        <is>
          <t>49316638994</t>
        </is>
      </c>
      <c r="F413" t="inlineStr">
        <is>
          <t>2026-03-12 17:14:26</t>
        </is>
      </c>
      <c r="G413" t="inlineStr">
        <is>
          <t>图文</t>
        </is>
      </c>
      <c r="H413" t="inlineStr">
        <is>
          <t>手剥虾仁 无冰衣无添加 低脂餐一人食 上班带饭 顺丰包邮 5盒装</t>
        </is>
      </c>
      <c r="I413" t="inlineStr">
        <is>
          <t>694baba01d450d00013662f0</t>
        </is>
      </c>
      <c r="J413" t="inlineStr">
        <is>
          <t/>
        </is>
      </c>
      <c r="K413" t="n">
        <v>0.0</v>
      </c>
      <c r="L413" t="n">
        <v>0.0</v>
      </c>
      <c r="M413" t="n">
        <v>1.0</v>
      </c>
      <c r="N413" t="inlineStr">
        <is>
          <t>0.07692307692307693</t>
        </is>
      </c>
      <c r="O413" t="n">
        <v>1.0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inlineStr">
        <is>
          <t/>
        </is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13.0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9.307692307692308</v>
      </c>
      <c r="AL413" t="inlineStr">
        <is>
          <t/>
        </is>
      </c>
    </row>
    <row r="414">
      <c r="A414" t="inlineStr">
        <is>
          <t>58元吃一周！打工人闭眼冲的高性价比虾仁</t>
        </is>
      </c>
      <c r="B414" t="inlineStr">
        <is>
          <t>69a25ce9000000000e00c0fb</t>
        </is>
      </c>
      <c r="C414" s="413" t="n">
        <f>HYPERLINK("https://www.xiaohongshu.com/explore/69a25ce9000000000e00c0fb?xsec_token=TBUws-qSGfQm7WfIK5gxFwZ8t68tICOWomcVNbSKDuDXo=&amp;xsec_source=pc_trdark","https://www.xiaohongshu.com/explore/69a25ce9000000000e00c0fb?xsec_token=TBUws-qSGfQm7WfIK5gxFwZ8t68tICOWomcVNbSKDuDXo=&amp;xsec_source=pc_trdark")</f>
        <v>0.0</v>
      </c>
      <c r="D414" t="inlineStr">
        <is>
          <t>鲜水湾</t>
        </is>
      </c>
      <c r="E414" t="inlineStr">
        <is>
          <t>49316638994</t>
        </is>
      </c>
      <c r="F414" t="inlineStr">
        <is>
          <t>2026-02-28 11:11:37</t>
        </is>
      </c>
      <c r="G414" t="inlineStr">
        <is>
          <t>图文</t>
        </is>
      </c>
      <c r="H414" t="inlineStr">
        <is>
          <t>手剥虾仁 无冰衣无添加 低脂餐一人食 上班带饭 顺丰包邮 5盒装</t>
        </is>
      </c>
      <c r="I414" t="inlineStr">
        <is>
          <t>694baba01d450d00013662f0</t>
        </is>
      </c>
      <c r="J414" t="inlineStr">
        <is>
          <t/>
        </is>
      </c>
      <c r="K414" t="n">
        <v>0.0</v>
      </c>
      <c r="L414" t="n">
        <v>0.0</v>
      </c>
      <c r="M414" t="n">
        <v>3.0</v>
      </c>
      <c r="N414" t="inlineStr">
        <is>
          <t>0.23076923076923078</t>
        </is>
      </c>
      <c r="O414" t="n">
        <v>3.0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inlineStr">
        <is>
          <t/>
        </is>
      </c>
      <c r="X414" t="n">
        <v>0.0</v>
      </c>
      <c r="Y414" t="n">
        <v>0.0</v>
      </c>
      <c r="Z414" t="n">
        <v>1.0</v>
      </c>
      <c r="AA414" t="n">
        <v>0.0</v>
      </c>
      <c r="AB414" t="n">
        <v>0.0</v>
      </c>
      <c r="AC414" t="n">
        <v>0.0</v>
      </c>
      <c r="AD414" t="n">
        <v>13.0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6.538461538461538</v>
      </c>
      <c r="AL414" t="inlineStr">
        <is>
          <t/>
        </is>
      </c>
    </row>
    <row r="415">
      <c r="A415" t="inlineStr">
        <is>
          <t>买了一整条三文鱼回家过年🧨</t>
        </is>
      </c>
      <c r="B415" t="inlineStr">
        <is>
          <t>698a9b64000000001a02c083</t>
        </is>
      </c>
      <c r="C415" s="414" t="n">
        <f>HYPERLINK("https://www.xiaohongshu.com/explore/698a9b64000000001a02c083?xsec_token=TBG0mKfxVH0N0QJz26OSUyhYFzyb4Pc8wYmcr0of-957U=&amp;xsec_source=pc_trdark","https://www.xiaohongshu.com/explore/698a9b64000000001a02c083?xsec_token=TBG0mKfxVH0N0QJz26OSUyhYFzyb4Pc8wYmcr0of-957U=&amp;xsec_source=pc_trdark")</f>
        <v>0.0</v>
      </c>
      <c r="D415" t="inlineStr">
        <is>
          <t>鲜水湾</t>
        </is>
      </c>
      <c r="E415" t="inlineStr">
        <is>
          <t>49316638994</t>
        </is>
      </c>
      <c r="F415" t="inlineStr">
        <is>
          <t>2026-02-10 10:43:48</t>
        </is>
      </c>
      <c r="G415" t="inlineStr">
        <is>
          <t>图文</t>
        </is>
      </c>
      <c r="H415" t="inlineStr">
        <is>
          <t>智利三文鱼切块·整条三文鱼·深海鱼一人食健康饮食</t>
        </is>
      </c>
      <c r="I415" t="inlineStr">
        <is>
          <t>691ac562a524ee0001b51d7b</t>
        </is>
      </c>
      <c r="J415" t="inlineStr">
        <is>
          <t/>
        </is>
      </c>
      <c r="K415" t="n">
        <v>0.0</v>
      </c>
      <c r="L415" t="n">
        <v>0.0</v>
      </c>
      <c r="M415" t="n">
        <v>2.0</v>
      </c>
      <c r="N415" t="inlineStr">
        <is>
          <t>0.15384615384615385</t>
        </is>
      </c>
      <c r="O415" t="n">
        <v>1.0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inlineStr">
        <is>
          <t/>
        </is>
      </c>
      <c r="X415" t="n">
        <v>0.0</v>
      </c>
      <c r="Y415" t="n">
        <v>1.0</v>
      </c>
      <c r="Z415" t="n">
        <v>2.0</v>
      </c>
      <c r="AA415" t="n">
        <v>0.0</v>
      </c>
      <c r="AB415" t="n">
        <v>0.0</v>
      </c>
      <c r="AC415" t="n">
        <v>0.0</v>
      </c>
      <c r="AD415" t="n">
        <v>13.0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6.461538461538462</v>
      </c>
      <c r="AL415" t="inlineStr">
        <is>
          <t/>
        </is>
      </c>
    </row>
    <row r="416">
      <c r="A416" t="inlineStr">
        <is>
          <t>我宣布三文鱼熟的比生的好吃！</t>
        </is>
      </c>
      <c r="B416" t="inlineStr">
        <is>
          <t>69420d65000000001f00fd34</t>
        </is>
      </c>
      <c r="C416" s="415" t="n">
        <f>HYPERLINK("https://www.xiaohongshu.com/explore/69420d65000000001f00fd34?xsec_token=TB0tDM60Z2n8tclFaINyevIT5ot5Py_x3D0HDLO4s-u_w=&amp;xsec_source=pc_trdark","https://www.xiaohongshu.com/explore/69420d65000000001f00fd34?xsec_token=TB0tDM60Z2n8tclFaINyevIT5ot5Py_x3D0HDLO4s-u_w=&amp;xsec_source=pc_trdark")</f>
        <v>0.0</v>
      </c>
      <c r="D416" t="inlineStr">
        <is>
          <t>鲜水湾</t>
        </is>
      </c>
      <c r="E416" t="inlineStr">
        <is>
          <t>49316638994</t>
        </is>
      </c>
      <c r="F416" t="inlineStr">
        <is>
          <t>2025-12-17 09:54:45</t>
        </is>
      </c>
      <c r="G416" t="inlineStr">
        <is>
          <t>图文</t>
        </is>
      </c>
      <c r="H416" t="inlineStr">
        <is>
          <t>智利三文鱼切块·整条三文鱼·深海鱼一人食健康饮食</t>
        </is>
      </c>
      <c r="I416" t="inlineStr">
        <is>
          <t>691ac562a524ee0001b51d7b</t>
        </is>
      </c>
      <c r="J416" t="inlineStr">
        <is>
          <t/>
        </is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inlineStr">
        <is>
          <t/>
        </is>
      </c>
      <c r="R416" t="inlineStr">
        <is>
          <t/>
        </is>
      </c>
      <c r="S416" t="n">
        <v>0.0</v>
      </c>
      <c r="T416" t="n">
        <v>0.0</v>
      </c>
      <c r="U416" t="n">
        <v>0.0</v>
      </c>
      <c r="V416" t="n">
        <v>0.0</v>
      </c>
      <c r="W416" t="inlineStr">
        <is>
          <t/>
        </is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13.0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10.538461538461538</v>
      </c>
      <c r="AL416" t="inlineStr">
        <is>
          <t/>
        </is>
      </c>
    </row>
    <row r="417">
      <c r="A417" t="inlineStr">
        <is>
          <t>生蚝一箱也是码头价，运费算我的！</t>
        </is>
      </c>
      <c r="B417" t="inlineStr">
        <is>
          <t>690f0fb000000000040010a4</t>
        </is>
      </c>
      <c r="C417" s="416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417" t="inlineStr">
        <is>
          <t>婉婉上班吃什么</t>
        </is>
      </c>
      <c r="E417" t="inlineStr">
        <is>
          <t>11434449706</t>
        </is>
      </c>
      <c r="F417" t="inlineStr">
        <is>
          <t>2025-11-08 17:38:56</t>
        </is>
      </c>
      <c r="G417" t="inlineStr">
        <is>
          <t>视频</t>
        </is>
      </c>
      <c r="H417" t="inlineStr">
        <is>
          <t>生蚝乳山生蚝海蛎子顺丰包邮</t>
        </is>
      </c>
      <c r="I417" t="inlineStr">
        <is>
          <t>690c70971b787900010866cc</t>
        </is>
      </c>
      <c r="J417" t="n">
        <v>26.0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inlineStr">
        <is>
          <t/>
        </is>
      </c>
      <c r="R417" t="inlineStr">
        <is>
          <t/>
        </is>
      </c>
      <c r="S417" t="n">
        <v>0.0</v>
      </c>
      <c r="T417" t="n">
        <v>0.0</v>
      </c>
      <c r="U417" t="n">
        <v>0.0</v>
      </c>
      <c r="V417" t="n">
        <v>0.0</v>
      </c>
      <c r="W417" t="inlineStr">
        <is>
          <t/>
        </is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13.0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4.0</v>
      </c>
      <c r="AL417" t="n">
        <v>0.0625</v>
      </c>
    </row>
    <row r="418">
      <c r="A418" t="inlineStr">
        <is>
          <t>听劝！控体期吃主食就选大虾仁🍤</t>
        </is>
      </c>
      <c r="B418" t="inlineStr">
        <is>
          <t>69abc58d000000001a030f4f</t>
        </is>
      </c>
      <c r="C418" s="417" t="n">
        <f>HYPERLINK("https://www.xiaohongshu.com/explore/69abc58d000000001a030f4f?xsec_token=TBjk1R4L6FFMBESMYKkkhLfEIWT-X8SGc3WLUCsTP5s_s=&amp;xsec_source=pc_trdark","https://www.xiaohongshu.com/explore/69abc58d000000001a030f4f?xsec_token=TBjk1R4L6FFMBESMYKkkhLfEIWT-X8SGc3WLUCsTP5s_s=&amp;xsec_source=pc_trdark")</f>
        <v>0.0</v>
      </c>
      <c r="D418" t="inlineStr">
        <is>
          <t>鲜水湾</t>
        </is>
      </c>
      <c r="E418" t="inlineStr">
        <is>
          <t>49316638994</t>
        </is>
      </c>
      <c r="F418" t="inlineStr">
        <is>
          <t>2026-03-07 14:28:29</t>
        </is>
      </c>
      <c r="G418" t="inlineStr">
        <is>
          <t>图文</t>
        </is>
      </c>
      <c r="H418" t="inlineStr">
        <is>
          <t>手剥虾仁 无冰衣无添加 低脂餐一人食 上班带饭 顺丰包邮 5盒装</t>
        </is>
      </c>
      <c r="I418" t="inlineStr">
        <is>
          <t>694baba01d450d00013662f0</t>
        </is>
      </c>
      <c r="J418" t="inlineStr">
        <is>
          <t/>
        </is>
      </c>
      <c r="K418" t="n">
        <v>0.0</v>
      </c>
      <c r="L418" t="n">
        <v>0.0</v>
      </c>
      <c r="M418" t="n">
        <v>1.0</v>
      </c>
      <c r="N418" t="inlineStr">
        <is>
          <t>0.08333333333333333</t>
        </is>
      </c>
      <c r="O418" t="n">
        <v>1.0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inlineStr">
        <is>
          <t/>
        </is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12.0</v>
      </c>
      <c r="AE418" t="n">
        <v>1.0</v>
      </c>
      <c r="AF418" t="n">
        <v>0.0</v>
      </c>
      <c r="AG418" t="n">
        <v>0.0</v>
      </c>
      <c r="AH418" t="n">
        <v>2.0</v>
      </c>
      <c r="AI418" t="n">
        <v>0.0</v>
      </c>
      <c r="AJ418" t="n">
        <v>0.0</v>
      </c>
      <c r="AK418" t="n">
        <v>8.583333333333334</v>
      </c>
      <c r="AL418" t="inlineStr">
        <is>
          <t/>
        </is>
      </c>
    </row>
    <row r="419">
      <c r="A419" t="inlineStr">
        <is>
          <t>热量比鸡胸肉低，年后控体就吃它！</t>
        </is>
      </c>
      <c r="B419" t="inlineStr">
        <is>
          <t>69a457ed000000001a0290ce</t>
        </is>
      </c>
      <c r="C419" s="418" t="n">
        <f>HYPERLINK("https://www.xiaohongshu.com/explore/69a457ed000000001a0290ce?xsec_token=TBLmCJorSrUdBsABTJAPHFq1lq-mbk-h_Cz2m56oZR4BE=&amp;xsec_source=pc_trdark","https://www.xiaohongshu.com/explore/69a457ed000000001a0290ce?xsec_token=TBLmCJorSrUdBsABTJAPHFq1lq-mbk-h_Cz2m56oZR4BE=&amp;xsec_source=pc_trdark")</f>
        <v>0.0</v>
      </c>
      <c r="D419" t="inlineStr">
        <is>
          <t>婉婉上班吃什么</t>
        </is>
      </c>
      <c r="E419" t="inlineStr">
        <is>
          <t>11434449706</t>
        </is>
      </c>
      <c r="F419" t="inlineStr">
        <is>
          <t>2026-03-01 23:14:53</t>
        </is>
      </c>
      <c r="G419" t="inlineStr">
        <is>
          <t>图文</t>
        </is>
      </c>
      <c r="H419" t="inlineStr">
        <is>
          <t>大虾基围虾王牌大虾厄瓜多尔白虾盐冻虾仁海洋大虾送礼顺丰包邮</t>
        </is>
      </c>
      <c r="I419" t="inlineStr">
        <is>
          <t>690aeb7be379430001e686ac</t>
        </is>
      </c>
      <c r="J419" t="inlineStr">
        <is>
          <t/>
        </is>
      </c>
      <c r="K419" t="n">
        <v>0.0</v>
      </c>
      <c r="L419" t="n">
        <v>0.0</v>
      </c>
      <c r="M419" t="n">
        <v>1.0</v>
      </c>
      <c r="N419" t="inlineStr">
        <is>
          <t>0.08333333333333333</t>
        </is>
      </c>
      <c r="O419" t="n">
        <v>1.0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inlineStr">
        <is>
          <t/>
        </is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12.0</v>
      </c>
      <c r="AE419" t="n">
        <v>0.0</v>
      </c>
      <c r="AF419" t="n">
        <v>0.0</v>
      </c>
      <c r="AG419" t="n">
        <v>0.0</v>
      </c>
      <c r="AH419" t="n">
        <v>2.0</v>
      </c>
      <c r="AI419" t="n">
        <v>0.0</v>
      </c>
      <c r="AJ419" t="n">
        <v>0.0</v>
      </c>
      <c r="AK419" t="n">
        <v>4.416666666666667</v>
      </c>
      <c r="AL419" t="inlineStr">
        <is>
          <t/>
        </is>
      </c>
    </row>
    <row r="420">
      <c r="A420" t="inlineStr">
        <is>
          <t>和老爸商量了，专为独居人定制专属小包装</t>
        </is>
      </c>
      <c r="B420" t="inlineStr">
        <is>
          <t>69a41359000000000d009e6c</t>
        </is>
      </c>
      <c r="C420" s="419" t="n">
        <f>HYPERLINK("https://www.xiaohongshu.com/explore/69a41359000000000d009e6c?xsec_token=TBLmCJorSrUdBsABTJAPHFqyDTVU_Xkx2Sb78lsuUuAHA=&amp;xsec_source=pc_trdark","https://www.xiaohongshu.com/explore/69a41359000000000d009e6c?xsec_token=TBLmCJorSrUdBsABTJAPHFqyDTVU_Xkx2Sb78lsuUuAHA=&amp;xsec_source=pc_trdark")</f>
        <v>0.0</v>
      </c>
      <c r="D420" t="inlineStr">
        <is>
          <t>鲜水湾</t>
        </is>
      </c>
      <c r="E420" t="inlineStr">
        <is>
          <t>49316638994</t>
        </is>
      </c>
      <c r="F420" t="inlineStr">
        <is>
          <t>2026-03-01 18:22:17</t>
        </is>
      </c>
      <c r="G420" t="inlineStr">
        <is>
          <t>图文</t>
        </is>
      </c>
      <c r="H420" t="inlineStr">
        <is>
          <t>手剥虾仁 无冰衣无添加 低脂餐一人食 上班带饭 顺丰包邮 5盒装</t>
        </is>
      </c>
      <c r="I420" t="inlineStr">
        <is>
          <t>694baba01d450d00013662f0</t>
        </is>
      </c>
      <c r="J420" t="inlineStr">
        <is>
          <t/>
        </is>
      </c>
      <c r="K420" t="n">
        <v>0.0</v>
      </c>
      <c r="L420" t="n">
        <v>0.0</v>
      </c>
      <c r="M420" t="n">
        <v>2.0</v>
      </c>
      <c r="N420" t="inlineStr">
        <is>
          <t>0.16666666666666666</t>
        </is>
      </c>
      <c r="O420" t="n">
        <v>2.0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inlineStr">
        <is>
          <t/>
        </is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12.0</v>
      </c>
      <c r="AE420" t="n">
        <v>0.0</v>
      </c>
      <c r="AF420" t="n">
        <v>0.0</v>
      </c>
      <c r="AG420" t="n">
        <v>0.0</v>
      </c>
      <c r="AH420" t="n">
        <v>2.0</v>
      </c>
      <c r="AI420" t="n">
        <v>0.0</v>
      </c>
      <c r="AJ420" t="n">
        <v>0.0</v>
      </c>
      <c r="AK420" t="n">
        <v>7.333333333333333</v>
      </c>
      <c r="AL420" t="inlineStr">
        <is>
          <t/>
        </is>
      </c>
    </row>
    <row r="421">
      <c r="A421" t="inlineStr">
        <is>
          <t>这么来上一碗真是惬意🥹</t>
        </is>
      </c>
      <c r="B421" t="inlineStr">
        <is>
          <t>69a29461000000002303bafd</t>
        </is>
      </c>
      <c r="C421" s="420" t="n">
        <f>HYPERLINK("https://www.xiaohongshu.com/explore/69a29461000000002303bafd?xsec_token=TBUws-qSGfQm7WfIK5gxFwZ8sejI1ODrburauKiQhKO1g=&amp;xsec_source=pc_trdark","https://www.xiaohongshu.com/explore/69a29461000000002303bafd?xsec_token=TBUws-qSGfQm7WfIK5gxFwZ8sejI1ODrburauKiQhKO1g=&amp;xsec_source=pc_trdark")</f>
        <v>0.0</v>
      </c>
      <c r="D421" t="inlineStr">
        <is>
          <t>鲜水湾甄选</t>
        </is>
      </c>
      <c r="E421" t="inlineStr">
        <is>
          <t>27401929161</t>
        </is>
      </c>
      <c r="F421" t="inlineStr">
        <is>
          <t>2026-02-28 15:08:17</t>
        </is>
      </c>
      <c r="G421" t="inlineStr">
        <is>
          <t>图文</t>
        </is>
      </c>
      <c r="H421" t="inlineStr">
        <is>
          <t>北极甜虾头籽甜虾元宝虾北极熊冰虾孕妈妈宝宝辅食顺丰</t>
        </is>
      </c>
      <c r="I421" t="inlineStr">
        <is>
          <t>6953717eb8f0bb000115158d</t>
        </is>
      </c>
      <c r="J421" t="inlineStr">
        <is>
          <t/>
        </is>
      </c>
      <c r="K421" t="n">
        <v>0.0</v>
      </c>
      <c r="L421" t="n">
        <v>0.0</v>
      </c>
      <c r="M421" t="n">
        <v>4.0</v>
      </c>
      <c r="N421" t="n">
        <v>0.3333333333333333</v>
      </c>
      <c r="O421" t="n">
        <v>3.0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inlineStr">
        <is>
          <t/>
        </is>
      </c>
      <c r="X421" t="n">
        <v>0.0</v>
      </c>
      <c r="Y421" t="n">
        <v>1.0</v>
      </c>
      <c r="Z421" t="n">
        <v>0.0</v>
      </c>
      <c r="AA421" t="n">
        <v>0.0</v>
      </c>
      <c r="AB421" t="n">
        <v>0.0</v>
      </c>
      <c r="AC421" t="n">
        <v>0.0</v>
      </c>
      <c r="AD421" t="n">
        <v>12.0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9.5</v>
      </c>
      <c r="AL421" t="inlineStr">
        <is>
          <t/>
        </is>
      </c>
    </row>
    <row r="422">
      <c r="A422" t="inlineStr">
        <is>
          <t>以为69没多少，但一盒够我吃一周的了🫢</t>
        </is>
      </c>
      <c r="B422" t="inlineStr">
        <is>
          <t>6982e399000000001a02dbc6</t>
        </is>
      </c>
      <c r="C422" s="421" t="n">
        <f>HYPERLINK("https://www.xiaohongshu.com/explore/6982e399000000001a02dbc6?xsec_token=TBRUGO98Ap-B8eSGcZxxfvdJcg1VB0XqQ0k1EbjwPAVgo=&amp;xsec_source=pc_trdark","https://www.xiaohongshu.com/explore/6982e399000000001a02dbc6?xsec_token=TBRUGO98Ap-B8eSGcZxxfvdJcg1VB0XqQ0k1EbjwPAVgo=&amp;xsec_source=pc_trdark")</f>
        <v>0.0</v>
      </c>
      <c r="D422" t="inlineStr">
        <is>
          <t>鲜水湾</t>
        </is>
      </c>
      <c r="E422" t="inlineStr">
        <is>
          <t>49316638994</t>
        </is>
      </c>
      <c r="F422" t="inlineStr">
        <is>
          <t>2026-02-04 14:13:45</t>
        </is>
      </c>
      <c r="G422" t="inlineStr">
        <is>
          <t>图文</t>
        </is>
      </c>
      <c r="H422" t="inlineStr">
        <is>
          <t>大虾基围虾王牌大虾厄瓜多尔白虾盐冻虾仁海洋大虾送礼顺丰包邮</t>
        </is>
      </c>
      <c r="I422" t="inlineStr">
        <is>
          <t>690aeb7be379430001e686ac</t>
        </is>
      </c>
      <c r="J422" t="inlineStr">
        <is>
          <t/>
        </is>
      </c>
      <c r="K422" t="n">
        <v>0.0</v>
      </c>
      <c r="L422" t="n">
        <v>0.0</v>
      </c>
      <c r="M422" t="n">
        <v>3.0</v>
      </c>
      <c r="N422" t="n">
        <v>0.25</v>
      </c>
      <c r="O422" t="n">
        <v>3.0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inlineStr">
        <is>
          <t/>
        </is>
      </c>
      <c r="X422" t="n">
        <v>0.0</v>
      </c>
      <c r="Y422" t="n">
        <v>0.0</v>
      </c>
      <c r="Z422" t="n">
        <v>1.0</v>
      </c>
      <c r="AA422" t="n">
        <v>0.0</v>
      </c>
      <c r="AB422" t="n">
        <v>0.0</v>
      </c>
      <c r="AC422" t="n">
        <v>0.0</v>
      </c>
      <c r="AD422" t="n">
        <v>12.0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8.333333333333334</v>
      </c>
      <c r="AL422" t="inlineStr">
        <is>
          <t/>
        </is>
      </c>
    </row>
    <row r="423">
      <c r="A423" t="inlineStr">
        <is>
          <t>过年就靠这个来油焖大虾惊呀小朋友啦～</t>
        </is>
      </c>
      <c r="B423" t="inlineStr">
        <is>
          <t>697af1bc000000002801d22d</t>
        </is>
      </c>
      <c r="C423" s="422" t="n">
        <f>HYPERLINK("https://www.xiaohongshu.com/explore/697af1bc000000002801d22d?xsec_token=TB2dScbVxeUy83D31__wCwwweUbyyvQhgL57xl_dgVyGc=&amp;xsec_source=pc_trdark","https://www.xiaohongshu.com/explore/697af1bc000000002801d22d?xsec_token=TB2dScbVxeUy83D31__wCwwweUbyyvQhgL57xl_dgVyGc=&amp;xsec_source=pc_trdark")</f>
        <v>0.0</v>
      </c>
      <c r="D423" t="inlineStr">
        <is>
          <t>鲜水湾</t>
        </is>
      </c>
      <c r="E423" t="inlineStr">
        <is>
          <t>49316638994</t>
        </is>
      </c>
      <c r="F423" t="inlineStr">
        <is>
          <t>2026-01-29 13:35:56</t>
        </is>
      </c>
      <c r="G423" t="inlineStr">
        <is>
          <t>图文</t>
        </is>
      </c>
      <c r="H423" t="inlineStr">
        <is>
          <t>大虾基围虾王牌大虾厄瓜多尔白虾盐冻虾仁海洋大虾送礼顺丰包邮</t>
        </is>
      </c>
      <c r="I423" t="inlineStr">
        <is>
          <t>690aeb7be379430001e686ac</t>
        </is>
      </c>
      <c r="J423" t="inlineStr">
        <is>
          <t/>
        </is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inlineStr">
        <is>
          <t/>
        </is>
      </c>
      <c r="R423" t="inlineStr">
        <is>
          <t/>
        </is>
      </c>
      <c r="S423" t="n">
        <v>0.0</v>
      </c>
      <c r="T423" t="n">
        <v>0.0</v>
      </c>
      <c r="U423" t="n">
        <v>0.0</v>
      </c>
      <c r="V423" t="n">
        <v>0.0</v>
      </c>
      <c r="W423" t="inlineStr">
        <is>
          <t/>
        </is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12.0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9.166666666666666</v>
      </c>
      <c r="AL423" t="inlineStr">
        <is>
          <t/>
        </is>
      </c>
    </row>
    <row r="424">
      <c r="A424" t="inlineStr">
        <is>
          <t>只要Xhs一直给！我就一直薅</t>
        </is>
      </c>
      <c r="B424" t="inlineStr">
        <is>
          <t>696deb26000000001a034564</t>
        </is>
      </c>
      <c r="C424" s="423" t="n">
        <f>HYPERLINK("https://www.xiaohongshu.com/explore/696deb26000000001a034564?xsec_token=TBhBdCGGh1NnVPomuS6-J4H-lJBR6-tRJG_EXl-VW63Sg=&amp;xsec_source=pc_trdark","https://www.xiaohongshu.com/explore/696deb26000000001a034564?xsec_token=TBhBdCGGh1NnVPomuS6-J4H-lJBR6-tRJG_EXl-VW63Sg=&amp;xsec_source=pc_trdark")</f>
        <v>0.0</v>
      </c>
      <c r="D424" t="inlineStr">
        <is>
          <t>鲜水湾</t>
        </is>
      </c>
      <c r="E424" t="inlineStr">
        <is>
          <t>49316638994</t>
        </is>
      </c>
      <c r="F424" t="inlineStr">
        <is>
          <t>2026-01-19 16:28:22</t>
        </is>
      </c>
      <c r="G424" t="inlineStr">
        <is>
          <t>图文</t>
        </is>
      </c>
      <c r="H424" t="inlineStr">
        <is>
          <t>生蚝乳山生蚝海蛎子顺丰包邮</t>
        </is>
      </c>
      <c r="I424" t="inlineStr">
        <is>
          <t>690c70971b787900010866cc</t>
        </is>
      </c>
      <c r="J424" t="inlineStr">
        <is>
          <t/>
        </is>
      </c>
      <c r="K424" t="n">
        <v>0.0</v>
      </c>
      <c r="L424" t="n">
        <v>0.0</v>
      </c>
      <c r="M424" t="n">
        <v>1.0</v>
      </c>
      <c r="N424" t="inlineStr">
        <is>
          <t>0.08333333333333333</t>
        </is>
      </c>
      <c r="O424" t="n">
        <v>1.0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inlineStr">
        <is>
          <t/>
        </is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12.0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5.5</v>
      </c>
      <c r="AL424" t="inlineStr">
        <is>
          <t/>
        </is>
      </c>
    </row>
    <row r="425">
      <c r="A425" t="inlineStr">
        <is>
          <t>低估60多块的购买力了，不到一块💰一只</t>
        </is>
      </c>
      <c r="B425" t="inlineStr">
        <is>
          <t>69271d5b000000001e030027</t>
        </is>
      </c>
      <c r="C425" s="424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425" t="inlineStr">
        <is>
          <t>鲜水湾</t>
        </is>
      </c>
      <c r="E425" t="inlineStr">
        <is>
          <t>49316638994</t>
        </is>
      </c>
      <c r="F425" t="inlineStr">
        <is>
          <t>2025-11-26 23:31:40</t>
        </is>
      </c>
      <c r="G425" t="inlineStr">
        <is>
          <t>图文</t>
        </is>
      </c>
      <c r="H425" t="inlineStr">
        <is>
          <t>大虾基围虾王牌大虾厄瓜多尔白虾盐冻虾仁海洋大虾送礼顺丰包邮</t>
        </is>
      </c>
      <c r="I425" t="inlineStr">
        <is>
          <t>690aeb7be379430001e686ac</t>
        </is>
      </c>
      <c r="J425" t="inlineStr">
        <is>
          <t/>
        </is>
      </c>
      <c r="K425" t="n">
        <v>0.0</v>
      </c>
      <c r="L425" t="n">
        <v>0.0</v>
      </c>
      <c r="M425" t="n">
        <v>1.0</v>
      </c>
      <c r="N425" t="inlineStr">
        <is>
          <t>0.08333333333333333</t>
        </is>
      </c>
      <c r="O425" t="n">
        <v>1.0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inlineStr">
        <is>
          <t/>
        </is>
      </c>
      <c r="X425" t="n">
        <v>0.0</v>
      </c>
      <c r="Y425" t="n">
        <v>1.0</v>
      </c>
      <c r="Z425" t="n">
        <v>0.0</v>
      </c>
      <c r="AA425" t="n">
        <v>0.0</v>
      </c>
      <c r="AB425" t="n">
        <v>0.0</v>
      </c>
      <c r="AC425" t="n">
        <v>0.0</v>
      </c>
      <c r="AD425" t="n">
        <v>12.0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4.75</v>
      </c>
      <c r="AL425" t="inlineStr">
        <is>
          <t/>
        </is>
      </c>
    </row>
    <row r="426">
      <c r="A426" t="inlineStr">
        <is>
          <t>我悟了！原来虾仁才是减脂界的天花板！</t>
        </is>
      </c>
      <c r="B426" t="inlineStr">
        <is>
          <t>69a69084000000000e00e583</t>
        </is>
      </c>
      <c r="C426" s="425" t="n">
        <f>HYPERLINK("https://www.xiaohongshu.com/explore/69a69084000000000e00e583?xsec_token=TBDC5ayGxbZoC8jUhTnn-Nf0-GYTQ3uzq3G755Zegi6vI=&amp;xsec_source=pc_trdark","https://www.xiaohongshu.com/explore/69a69084000000000e00e583?xsec_token=TBDC5ayGxbZoC8jUhTnn-Nf0-GYTQ3uzq3G755Zegi6vI=&amp;xsec_source=pc_trdark")</f>
        <v>0.0</v>
      </c>
      <c r="D426" t="inlineStr">
        <is>
          <t>鲜水湾</t>
        </is>
      </c>
      <c r="E426" t="inlineStr">
        <is>
          <t>49316638994</t>
        </is>
      </c>
      <c r="F426" t="inlineStr">
        <is>
          <t>2026-03-03 15:40:52</t>
        </is>
      </c>
      <c r="G426" t="inlineStr">
        <is>
          <t>图文</t>
        </is>
      </c>
      <c r="H426" t="inlineStr">
        <is>
          <t>手剥虾仁 无冰衣无添加 低脂餐一人食 上班带饭 顺丰包邮 5盒装</t>
        </is>
      </c>
      <c r="I426" t="inlineStr">
        <is>
          <t>694baba01d450d00013662f0</t>
        </is>
      </c>
      <c r="J426" t="inlineStr">
        <is>
          <t/>
        </is>
      </c>
      <c r="K426" t="n">
        <v>0.0</v>
      </c>
      <c r="L426" t="n">
        <v>0.0</v>
      </c>
      <c r="M426" t="n">
        <v>2.0</v>
      </c>
      <c r="N426" t="inlineStr">
        <is>
          <t>0.18181818181818182</t>
        </is>
      </c>
      <c r="O426" t="n">
        <v>2.0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inlineStr">
        <is>
          <t/>
        </is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11.0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5.363636363636363</v>
      </c>
      <c r="AL426" t="inlineStr">
        <is>
          <t/>
        </is>
      </c>
    </row>
    <row r="427">
      <c r="A427" t="inlineStr">
        <is>
          <t>对比香蕉就知道！这虾仁真的大</t>
        </is>
      </c>
      <c r="B427" t="inlineStr">
        <is>
          <t>69a58fe1000000002801fe1b</t>
        </is>
      </c>
      <c r="C427" s="426" t="n">
        <f>HYPERLINK("https://www.xiaohongshu.com/explore/69a58fe1000000002801fe1b?xsec_token=TBYlw7GbYDMDbP_5WWJv6Kp-JRrJM9gsiwKXZmHkDnO1M=&amp;xsec_source=pc_trdark","https://www.xiaohongshu.com/explore/69a58fe1000000002801fe1b?xsec_token=TBYlw7GbYDMDbP_5WWJv6Kp-JRrJM9gsiwKXZmHkDnO1M=&amp;xsec_source=pc_trdark")</f>
        <v>0.0</v>
      </c>
      <c r="D427" t="inlineStr">
        <is>
          <t>鲜水湾</t>
        </is>
      </c>
      <c r="E427" t="inlineStr">
        <is>
          <t>49316638994</t>
        </is>
      </c>
      <c r="F427" t="inlineStr">
        <is>
          <t>2026-03-02 21:25:53</t>
        </is>
      </c>
      <c r="G427" t="inlineStr">
        <is>
          <t>图文</t>
        </is>
      </c>
      <c r="H427" t="inlineStr">
        <is>
          <t>手剥虾仁 无冰衣无添加 低脂餐一人食 上班带饭 顺丰包邮 5盒装</t>
        </is>
      </c>
      <c r="I427" t="inlineStr">
        <is>
          <t>694baba01d450d00013662f0</t>
        </is>
      </c>
      <c r="J427" t="inlineStr">
        <is>
          <t/>
        </is>
      </c>
      <c r="K427" t="n">
        <v>0.0</v>
      </c>
      <c r="L427" t="n">
        <v>0.0</v>
      </c>
      <c r="M427" t="n">
        <v>1.0</v>
      </c>
      <c r="N427" t="inlineStr">
        <is>
          <t>0.09090909090909091</t>
        </is>
      </c>
      <c r="O427" t="n">
        <v>1.0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inlineStr">
        <is>
          <t/>
        </is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11.0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6.454545454545454</v>
      </c>
      <c r="AL427" t="inlineStr">
        <is>
          <t/>
        </is>
      </c>
    </row>
    <row r="428">
      <c r="A428" t="inlineStr">
        <is>
          <t>发现年轻人真低估了100块的购买力...</t>
        </is>
      </c>
      <c r="B428" t="inlineStr">
        <is>
          <t>69a0149b000000001a02cdb4</t>
        </is>
      </c>
      <c r="C428" s="427" t="n">
        <f>HYPERLINK("https://www.xiaohongshu.com/explore/69a0149b000000001a02cdb4?xsec_token=TBGIgfrKGy2wDtxaQW-J26GSVYYnaplB3-D8-HLx2DgVE=&amp;xsec_source=pc_trdark","https://www.xiaohongshu.com/explore/69a0149b000000001a02cdb4?xsec_token=TBGIgfrKGy2wDtxaQW-J26GSVYYnaplB3-D8-HLx2DgVE=&amp;xsec_source=pc_trdark")</f>
        <v>0.0</v>
      </c>
      <c r="D428" t="inlineStr">
        <is>
          <t>鲜水湾</t>
        </is>
      </c>
      <c r="E428" t="inlineStr">
        <is>
          <t>49316638994</t>
        </is>
      </c>
      <c r="F428" t="inlineStr">
        <is>
          <t>2026-02-26 17:38:35</t>
        </is>
      </c>
      <c r="G428" t="inlineStr">
        <is>
          <t>图文</t>
        </is>
      </c>
      <c r="H428" t="inlineStr">
        <is>
          <t>智利三文鱼切块·整条三文鱼·深海鱼一人食健康饮食</t>
        </is>
      </c>
      <c r="I428" t="inlineStr">
        <is>
          <t>691ac562a524ee0001b51d7b</t>
        </is>
      </c>
      <c r="J428" t="inlineStr">
        <is>
          <t/>
        </is>
      </c>
      <c r="K428" t="n">
        <v>0.0</v>
      </c>
      <c r="L428" t="n">
        <v>0.0</v>
      </c>
      <c r="M428" t="n">
        <v>2.0</v>
      </c>
      <c r="N428" t="inlineStr">
        <is>
          <t>0.18181818181818182</t>
        </is>
      </c>
      <c r="O428" t="n">
        <v>2.0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inlineStr">
        <is>
          <t/>
        </is>
      </c>
      <c r="X428" t="n">
        <v>0.0</v>
      </c>
      <c r="Y428" t="n">
        <v>1.0</v>
      </c>
      <c r="Z428" t="n">
        <v>3.0</v>
      </c>
      <c r="AA428" t="n">
        <v>0.0</v>
      </c>
      <c r="AB428" t="n">
        <v>0.0</v>
      </c>
      <c r="AC428" t="n">
        <v>0.0</v>
      </c>
      <c r="AD428" t="n">
        <v>11.0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14.727272727272727</v>
      </c>
      <c r="AL428" t="inlineStr">
        <is>
          <t/>
        </is>
      </c>
    </row>
    <row r="429">
      <c r="A429" t="inlineStr">
        <is>
          <t>过度补甲=3倍⬇️秤</t>
        </is>
      </c>
      <c r="B429" t="inlineStr">
        <is>
          <t>698c1bf10000000028009f39</t>
        </is>
      </c>
      <c r="C429" s="428" t="n">
        <f>HYPERLINK("https://www.xiaohongshu.com/explore/698c1bf10000000028009f39?xsec_token=TBpbSmv2Dvzozu0JyB91ReC11sA-jvB6BUUUnSVgVLkdU=&amp;xsec_source=pc_trdark","https://www.xiaohongshu.com/explore/698c1bf10000000028009f39?xsec_token=TBpbSmv2Dvzozu0JyB91ReC11sA-jvB6BUUUnSVgVLkdU=&amp;xsec_source=pc_trdark")</f>
        <v>0.0</v>
      </c>
      <c r="D429" t="inlineStr">
        <is>
          <t>鲜水湾</t>
        </is>
      </c>
      <c r="E429" t="inlineStr">
        <is>
          <t>49316638994</t>
        </is>
      </c>
      <c r="F429" t="inlineStr">
        <is>
          <t>2026-02-11 14:04:33</t>
        </is>
      </c>
      <c r="G429" t="inlineStr">
        <is>
          <t>图文</t>
        </is>
      </c>
      <c r="H429" t="inlineStr">
        <is>
          <t>大虾基围虾王牌大虾厄瓜多尔白虾盐冻虾仁海洋大虾送礼顺丰包邮</t>
        </is>
      </c>
      <c r="I429" t="inlineStr">
        <is>
          <t>690aeb7be379430001e686ac</t>
        </is>
      </c>
      <c r="J429" t="inlineStr">
        <is>
          <t/>
        </is>
      </c>
      <c r="K429" t="n">
        <v>0.0</v>
      </c>
      <c r="L429" t="n">
        <v>0.0</v>
      </c>
      <c r="M429" t="n">
        <v>1.0</v>
      </c>
      <c r="N429" t="inlineStr">
        <is>
          <t>0.09090909090909091</t>
        </is>
      </c>
      <c r="O429" t="n">
        <v>1.0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inlineStr">
        <is>
          <t/>
        </is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11.0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5.7272727272727275</v>
      </c>
      <c r="AL429" t="inlineStr">
        <is>
          <t/>
        </is>
      </c>
    </row>
    <row r="430">
      <c r="A430" t="inlineStr">
        <is>
          <t>感谢小红书🙏承包了我一个月的晚餐</t>
        </is>
      </c>
      <c r="B430" t="inlineStr">
        <is>
          <t>69845ee6000000001a027068</t>
        </is>
      </c>
      <c r="C430" s="429" t="n">
        <f>HYPERLINK("https://www.xiaohongshu.com/explore/69845ee6000000001a027068?xsec_token=TBn0ftdrPlwv37Gn1tDFpAI-J3MboTIyrLiUdYe3CfnoM=&amp;xsec_source=pc_trdark","https://www.xiaohongshu.com/explore/69845ee6000000001a027068?xsec_token=TBn0ftdrPlwv37Gn1tDFpAI-J3MboTIyrLiUdYe3CfnoM=&amp;xsec_source=pc_trdark")</f>
        <v>0.0</v>
      </c>
      <c r="D430" t="inlineStr">
        <is>
          <t>鲜水湾</t>
        </is>
      </c>
      <c r="E430" t="inlineStr">
        <is>
          <t>49316638994</t>
        </is>
      </c>
      <c r="F430" t="inlineStr">
        <is>
          <t>2026-02-05 17:12:06</t>
        </is>
      </c>
      <c r="G430" t="inlineStr">
        <is>
          <t>图文</t>
        </is>
      </c>
      <c r="H430" t="inlineStr">
        <is>
          <t>智利三文鱼切块·整条三文鱼·深海鱼一人食健康饮食</t>
        </is>
      </c>
      <c r="I430" t="inlineStr">
        <is>
          <t>691ac562a524ee0001b51d7b</t>
        </is>
      </c>
      <c r="J430" t="inlineStr">
        <is>
          <t/>
        </is>
      </c>
      <c r="K430" t="n">
        <v>0.0</v>
      </c>
      <c r="L430" t="n">
        <v>0.0</v>
      </c>
      <c r="M430" t="n">
        <v>1.0</v>
      </c>
      <c r="N430" t="inlineStr">
        <is>
          <t>0.09090909090909091</t>
        </is>
      </c>
      <c r="O430" t="n">
        <v>1.0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inlineStr">
        <is>
          <t/>
        </is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11.0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9.909090909090908</v>
      </c>
      <c r="AL430" t="inlineStr">
        <is>
          <t/>
        </is>
      </c>
    </row>
    <row r="431">
      <c r="A431" t="inlineStr">
        <is>
          <t>感谢小红书‼️让我实现三文鱼自由</t>
        </is>
      </c>
      <c r="B431" t="inlineStr">
        <is>
          <t>693ec388000000001e02f0d0</t>
        </is>
      </c>
      <c r="C431" s="430" t="n">
        <f>HYPERLINK("https://www.xiaohongshu.com/explore/693ec388000000001e02f0d0?xsec_token=TBoM4IjxTW7h2pIceDY6ppQGnMianfmmw6EHwKcS0XVwA=&amp;xsec_source=pc_trdark","https://www.xiaohongshu.com/explore/693ec388000000001e02f0d0?xsec_token=TBoM4IjxTW7h2pIceDY6ppQGnMianfmmw6EHwKcS0XVwA=&amp;xsec_source=pc_trdark")</f>
        <v>0.0</v>
      </c>
      <c r="D431" t="inlineStr">
        <is>
          <t>鲜水湾</t>
        </is>
      </c>
      <c r="E431" t="inlineStr">
        <is>
          <t>49316638994</t>
        </is>
      </c>
      <c r="F431" t="inlineStr">
        <is>
          <t>2025-12-14 22:02:49</t>
        </is>
      </c>
      <c r="G431" t="inlineStr">
        <is>
          <t>图文</t>
        </is>
      </c>
      <c r="H431" t="inlineStr">
        <is>
          <t>智利三文鱼切块·整条三文鱼·深海鱼一人食健康饮食</t>
        </is>
      </c>
      <c r="I431" t="inlineStr">
        <is>
          <t>691ac562a524ee0001b51d7b</t>
        </is>
      </c>
      <c r="J431" t="inlineStr">
        <is>
          <t/>
        </is>
      </c>
      <c r="K431" t="n">
        <v>0.0</v>
      </c>
      <c r="L431" t="n">
        <v>0.0</v>
      </c>
      <c r="M431" t="n">
        <v>2.0</v>
      </c>
      <c r="N431" t="inlineStr">
        <is>
          <t>0.18181818181818182</t>
        </is>
      </c>
      <c r="O431" t="n">
        <v>2.0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inlineStr">
        <is>
          <t/>
        </is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11.0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6.090909090909091</v>
      </c>
      <c r="AL431" t="inlineStr">
        <is>
          <t/>
        </is>
      </c>
    </row>
    <row r="432">
      <c r="A432" t="inlineStr">
        <is>
          <t>月掉10斤的秘诀～原来都在这个三文鱼身上</t>
        </is>
      </c>
      <c r="B432" t="inlineStr">
        <is>
          <t>693935cf000000001e02bdfb</t>
        </is>
      </c>
      <c r="C432" s="431" t="n">
        <f>HYPERLINK("https://www.xiaohongshu.com/explore/693935cf000000001e02bdfb?xsec_token=TBaopk6NP1Kn3Gui1O5R_ovsTnM_jal7Uk8AmCVptIfvw=&amp;xsec_source=pc_trdark","https://www.xiaohongshu.com/explore/693935cf000000001e02bdfb?xsec_token=TBaopk6NP1Kn3Gui1O5R_ovsTnM_jal7Uk8AmCVptIfvw=&amp;xsec_source=pc_trdark")</f>
        <v>0.0</v>
      </c>
      <c r="D432" t="inlineStr">
        <is>
          <t>鲜水湾</t>
        </is>
      </c>
      <c r="E432" t="inlineStr">
        <is>
          <t>49316638994</t>
        </is>
      </c>
      <c r="F432" t="inlineStr">
        <is>
          <t>2025-12-10 16:56:47</t>
        </is>
      </c>
      <c r="G432" t="inlineStr">
        <is>
          <t>图文</t>
        </is>
      </c>
      <c r="H432" t="inlineStr">
        <is>
          <t>智利三文鱼切块·整条三文鱼·深海鱼一人食健康饮食</t>
        </is>
      </c>
      <c r="I432" t="inlineStr">
        <is>
          <t>691ac562a524ee0001b51d7b</t>
        </is>
      </c>
      <c r="J432" t="inlineStr">
        <is>
          <t/>
        </is>
      </c>
      <c r="K432" t="n">
        <v>0.0</v>
      </c>
      <c r="L432" t="n">
        <v>0.0</v>
      </c>
      <c r="M432" t="n">
        <v>1.0</v>
      </c>
      <c r="N432" t="inlineStr">
        <is>
          <t>0.09090909090909091</t>
        </is>
      </c>
      <c r="O432" t="n">
        <v>1.0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inlineStr">
        <is>
          <t/>
        </is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11.0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6.0</v>
      </c>
      <c r="AL432" t="inlineStr">
        <is>
          <t/>
        </is>
      </c>
    </row>
    <row r="433">
      <c r="A433" t="inlineStr">
        <is>
          <t>不要低估了 300 来块的购买力，能买八九斤……</t>
        </is>
      </c>
      <c r="B433" t="inlineStr">
        <is>
          <t>69895362000000000b009467</t>
        </is>
      </c>
      <c r="C433" s="432" t="n">
        <f>HYPERLINK("https://www.xiaohongshu.com/explore/69895362000000000b009467?xsec_token=TBeAeWMkLJ9etYlFDlK3pguRoX2U6nXkTvhuLaEj73L3o=&amp;xsec_source=pc_trdark","https://www.xiaohongshu.com/explore/69895362000000000b009467?xsec_token=TBeAeWMkLJ9etYlFDlK3pguRoX2U6nXkTvhuLaEj73L3o=&amp;xsec_source=pc_trdark")</f>
        <v>0.0</v>
      </c>
      <c r="D433" t="inlineStr">
        <is>
          <t>鲜水湾甄选</t>
        </is>
      </c>
      <c r="E433" t="inlineStr">
        <is>
          <t>27401929161</t>
        </is>
      </c>
      <c r="F433" t="inlineStr">
        <is>
          <t>2026-02-09 11:24:18</t>
        </is>
      </c>
      <c r="G433" t="inlineStr">
        <is>
          <t>图文</t>
        </is>
      </c>
      <c r="H433" t="inlineStr">
        <is>
          <t>智利三文鱼切块·整条三文鱼·深海鱼一人食健康饮食</t>
        </is>
      </c>
      <c r="I433" t="inlineStr">
        <is>
          <t>691ac562a524ee0001b51d7b</t>
        </is>
      </c>
      <c r="J433" t="inlineStr">
        <is>
          <t/>
        </is>
      </c>
      <c r="K433" t="n">
        <v>66.0</v>
      </c>
      <c r="L433" t="n">
        <v>1.0</v>
      </c>
      <c r="M433" t="n">
        <v>1.0</v>
      </c>
      <c r="N433" t="n">
        <v>0.1</v>
      </c>
      <c r="O433" t="n">
        <v>1.0</v>
      </c>
      <c r="P433" t="n">
        <v>1.0</v>
      </c>
      <c r="Q433" t="n">
        <v>1.0</v>
      </c>
      <c r="R433" t="n">
        <v>1.0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10.0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20.9</v>
      </c>
      <c r="AL433" t="inlineStr">
        <is>
          <t/>
        </is>
      </c>
    </row>
    <row r="434">
      <c r="A434" t="inlineStr">
        <is>
          <t>16+8吃了两周水煮虾后……</t>
        </is>
      </c>
      <c r="B434" t="inlineStr">
        <is>
          <t>6979c73c000000001a0353a3</t>
        </is>
      </c>
      <c r="C434" s="433" t="n">
        <f>HYPERLINK("https://www.xiaohongshu.com/explore/6979c73c000000001a0353a3?xsec_token=TBDUixuchs-ppRvZ3sgkNDRag-dx37KfzlBoxZ7TWicHs=&amp;xsec_source=pc_trdark","https://www.xiaohongshu.com/explore/6979c73c000000001a0353a3?xsec_token=TBDUixuchs-ppRvZ3sgkNDRag-dx37KfzlBoxZ7TWicHs=&amp;xsec_source=pc_trdark")</f>
        <v>0.0</v>
      </c>
      <c r="D434" t="inlineStr">
        <is>
          <t>鲜水湾</t>
        </is>
      </c>
      <c r="E434" t="inlineStr">
        <is>
          <t>49316638994</t>
        </is>
      </c>
      <c r="F434" t="inlineStr">
        <is>
          <t>2026-01-28 16:22:20</t>
        </is>
      </c>
      <c r="G434" t="inlineStr">
        <is>
          <t>图文</t>
        </is>
      </c>
      <c r="H434" t="inlineStr">
        <is>
          <t>大虾基围虾王牌大虾厄瓜多尔白虾盐冻虾仁海洋大虾送礼顺丰包邮</t>
        </is>
      </c>
      <c r="I434" t="inlineStr">
        <is>
          <t>690aeb7be379430001e686ac</t>
        </is>
      </c>
      <c r="J434" t="inlineStr">
        <is>
          <t/>
        </is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inlineStr">
        <is>
          <t/>
        </is>
      </c>
      <c r="R434" t="inlineStr">
        <is>
          <t/>
        </is>
      </c>
      <c r="S434" t="n">
        <v>0.0</v>
      </c>
      <c r="T434" t="n">
        <v>0.0</v>
      </c>
      <c r="U434" t="n">
        <v>0.0</v>
      </c>
      <c r="V434" t="n">
        <v>0.0</v>
      </c>
      <c r="W434" t="inlineStr">
        <is>
          <t/>
        </is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10.0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9.2</v>
      </c>
      <c r="AL434" t="inlineStr">
        <is>
          <t/>
        </is>
      </c>
    </row>
    <row r="435">
      <c r="A435" t="inlineStr">
        <is>
          <t>以为69没多少结果够我吃一周了🥹</t>
        </is>
      </c>
      <c r="B435" t="inlineStr">
        <is>
          <t>69c0ae87000000001b023985</t>
        </is>
      </c>
      <c r="C435" s="434" t="n">
        <f>HYPERLINK("https://www.xiaohongshu.com/explore/69c0ae87000000001b023985?xsec_token=TBlSRAgxB_sBYkF02kEEKO5_CPoo93ep79guLpHDPkwBw=&amp;xsec_source=pc_trdark","https://www.xiaohongshu.com/explore/69c0ae87000000001b023985?xsec_token=TBlSRAgxB_sBYkF02kEEKO5_CPoo93ep79guLpHDPkwBw=&amp;xsec_source=pc_trdark")</f>
        <v>0.0</v>
      </c>
      <c r="D435" t="inlineStr">
        <is>
          <t>菲菲上班吃什么</t>
        </is>
      </c>
      <c r="E435" t="inlineStr">
        <is>
          <t>49936530607</t>
        </is>
      </c>
      <c r="F435" t="inlineStr">
        <is>
          <t>2026-03-23 11:07:51</t>
        </is>
      </c>
      <c r="G435" t="inlineStr">
        <is>
          <t>图文</t>
        </is>
      </c>
      <c r="H435" t="inlineStr">
        <is>
          <t>手剥虾仁 无冰衣无添加 低脂餐一人食 上班带饭 顺丰包邮 5盒装</t>
        </is>
      </c>
      <c r="I435" t="inlineStr">
        <is>
          <t>694baba01d450d00013662f0</t>
        </is>
      </c>
      <c r="J435" t="inlineStr">
        <is>
          <t/>
        </is>
      </c>
      <c r="K435" t="n">
        <v>0.0</v>
      </c>
      <c r="L435" t="n">
        <v>0.0</v>
      </c>
      <c r="M435" t="n">
        <v>1.0</v>
      </c>
      <c r="N435" t="n">
        <v>0.1111111111111111</v>
      </c>
      <c r="O435" t="n">
        <v>1.0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inlineStr">
        <is>
          <t/>
        </is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9.0</v>
      </c>
      <c r="AE435" t="n">
        <v>0.0</v>
      </c>
      <c r="AF435" t="n">
        <v>0.0</v>
      </c>
      <c r="AG435" t="n">
        <v>0.0</v>
      </c>
      <c r="AH435" t="n">
        <v>2.0</v>
      </c>
      <c r="AI435" t="n">
        <v>0.0</v>
      </c>
      <c r="AJ435" t="n">
        <v>0.0</v>
      </c>
      <c r="AK435" t="n">
        <v>3.888888888888889</v>
      </c>
      <c r="AL435" t="inlineStr">
        <is>
          <t/>
        </is>
      </c>
    </row>
    <row r="436">
      <c r="A436" t="inlineStr">
        <is>
          <t>我私教都在吃的高蛋白三文鱼，绝了！</t>
        </is>
      </c>
      <c r="B436" t="inlineStr">
        <is>
          <t>698ec44b000000001a0270c5</t>
        </is>
      </c>
      <c r="C436" s="435" t="n">
        <f>HYPERLINK("https://www.xiaohongshu.com/explore/698ec44b000000001a0270c5?xsec_token=TBNIhd8Wg4_l-WeAs5DLBNd1P-GAp89CM_CuklhTyX0rU=&amp;xsec_source=pc_trdark","https://www.xiaohongshu.com/explore/698ec44b000000001a0270c5?xsec_token=TBNIhd8Wg4_l-WeAs5DLBNd1P-GAp89CM_CuklhTyX0rU=&amp;xsec_source=pc_trdark")</f>
        <v>0.0</v>
      </c>
      <c r="D436" t="inlineStr">
        <is>
          <t>鲜水湾</t>
        </is>
      </c>
      <c r="E436" t="inlineStr">
        <is>
          <t>49316638994</t>
        </is>
      </c>
      <c r="F436" t="inlineStr">
        <is>
          <t>2026-02-13 14:27:23</t>
        </is>
      </c>
      <c r="G436" t="inlineStr">
        <is>
          <t>图文</t>
        </is>
      </c>
      <c r="H436" t="inlineStr">
        <is>
          <t>智利三文鱼切块·整条三文鱼·深海鱼一人食健康饮食</t>
        </is>
      </c>
      <c r="I436" t="inlineStr">
        <is>
          <t>691ac562a524ee0001b51d7b</t>
        </is>
      </c>
      <c r="J436" t="inlineStr">
        <is>
          <t/>
        </is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inlineStr">
        <is>
          <t/>
        </is>
      </c>
      <c r="R436" t="inlineStr">
        <is>
          <t/>
        </is>
      </c>
      <c r="S436" t="n">
        <v>0.0</v>
      </c>
      <c r="T436" t="n">
        <v>0.0</v>
      </c>
      <c r="U436" t="n">
        <v>0.0</v>
      </c>
      <c r="V436" t="n">
        <v>0.0</v>
      </c>
      <c r="W436" t="inlineStr">
        <is>
          <t/>
        </is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9.0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6.0</v>
      </c>
      <c r="AL436" t="inlineStr">
        <is>
          <t/>
        </is>
      </c>
    </row>
    <row r="437">
      <c r="A437" t="inlineStr">
        <is>
          <t>发现人减脂真的花不了几个钱</t>
        </is>
      </c>
      <c r="B437" t="inlineStr">
        <is>
          <t>69c0eb590000000020039b45</t>
        </is>
      </c>
      <c r="C437" s="436" t="n">
        <f>HYPERLINK("https://www.xiaohongshu.com/explore/69c0eb590000000020039b45?xsec_token=TBlSRAgxB_sBYkF02kEEKO54FB3eLkhHPZT8WWHFcZmlE=&amp;xsec_source=pc_trdark","https://www.xiaohongshu.com/explore/69c0eb590000000020039b45?xsec_token=TBlSRAgxB_sBYkF02kEEKO54FB3eLkhHPZT8WWHFcZmlE=&amp;xsec_source=pc_trdark")</f>
        <v>0.0</v>
      </c>
      <c r="D437" t="inlineStr">
        <is>
          <t>鲜水湾</t>
        </is>
      </c>
      <c r="E437" t="inlineStr">
        <is>
          <t>49316638994</t>
        </is>
      </c>
      <c r="F437" t="inlineStr">
        <is>
          <t>2026-03-23 15:27:21</t>
        </is>
      </c>
      <c r="G437" t="inlineStr">
        <is>
          <t>图文</t>
        </is>
      </c>
      <c r="H437" t="inlineStr">
        <is>
          <t>手剥虾仁 无冰衣无添加 低脂餐一人食 上班带饭 顺丰包邮 5盒装</t>
        </is>
      </c>
      <c r="I437" t="inlineStr">
        <is>
          <t>694baba01d450d00013662f0</t>
        </is>
      </c>
      <c r="J437" t="inlineStr">
        <is>
          <t/>
        </is>
      </c>
      <c r="K437" t="n">
        <v>0.0</v>
      </c>
      <c r="L437" t="n">
        <v>0.0</v>
      </c>
      <c r="M437" t="n">
        <v>1.0</v>
      </c>
      <c r="N437" t="n">
        <v>0.125</v>
      </c>
      <c r="O437" t="n">
        <v>1.0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inlineStr">
        <is>
          <t/>
        </is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8.0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6.5</v>
      </c>
      <c r="AL437" t="inlineStr">
        <is>
          <t/>
        </is>
      </c>
    </row>
    <row r="438">
      <c r="A438" t="inlineStr">
        <is>
          <t>自从减脂买了这个虾仁🍤，一个月省好几百！</t>
        </is>
      </c>
      <c r="B438" t="inlineStr">
        <is>
          <t>69a17d74000000001a037572</t>
        </is>
      </c>
      <c r="C438" s="437" t="n">
        <f>HYPERLINK("https://www.xiaohongshu.com/explore/69a17d74000000001a037572?xsec_token=TBk7Tu9foWGIsieMmGc2tlwonvTIGzChTME6-ODDFvbdw=&amp;xsec_source=pc_trdark","https://www.xiaohongshu.com/explore/69a17d74000000001a037572?xsec_token=TBk7Tu9foWGIsieMmGc2tlwonvTIGzChTME6-ODDFvbdw=&amp;xsec_source=pc_trdark")</f>
        <v>0.0</v>
      </c>
      <c r="D438" t="inlineStr">
        <is>
          <t>鲜水湾</t>
        </is>
      </c>
      <c r="E438" t="inlineStr">
        <is>
          <t>49316638994</t>
        </is>
      </c>
      <c r="F438" t="inlineStr">
        <is>
          <t>2026-02-27 19:18:12</t>
        </is>
      </c>
      <c r="G438" t="inlineStr">
        <is>
          <t>图文</t>
        </is>
      </c>
      <c r="H438" t="inlineStr">
        <is>
          <t>手剥虾仁 无冰衣无添加 低脂餐一人食 上班带饭 顺丰包邮 5盒装</t>
        </is>
      </c>
      <c r="I438" t="inlineStr">
        <is>
          <t>694baba01d450d00013662f0</t>
        </is>
      </c>
      <c r="J438" t="inlineStr">
        <is>
          <t/>
        </is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inlineStr">
        <is>
          <t/>
        </is>
      </c>
      <c r="R438" t="inlineStr">
        <is>
          <t/>
        </is>
      </c>
      <c r="S438" t="n">
        <v>0.0</v>
      </c>
      <c r="T438" t="n">
        <v>0.0</v>
      </c>
      <c r="U438" t="n">
        <v>0.0</v>
      </c>
      <c r="V438" t="n">
        <v>0.0</v>
      </c>
      <c r="W438" t="inlineStr">
        <is>
          <t/>
        </is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8.0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3.875</v>
      </c>
      <c r="AL438" t="inlineStr">
        <is>
          <t/>
        </is>
      </c>
    </row>
    <row r="439">
      <c r="A439" t="inlineStr">
        <is>
          <t>春节快速回复状态：多吃高钾食物</t>
        </is>
      </c>
      <c r="B439" t="inlineStr">
        <is>
          <t>699e7341000000001a02240c</t>
        </is>
      </c>
      <c r="C439" s="438" t="n">
        <f>HYPERLINK("https://www.xiaohongshu.com/explore/699e7341000000001a02240c?xsec_token=TBggKgSP0tIUAtqBAPfP3mLYtMkfFhWb042bWYIwFhasA=&amp;xsec_source=pc_trdark","https://www.xiaohongshu.com/explore/699e7341000000001a02240c?xsec_token=TBggKgSP0tIUAtqBAPfP3mLYtMkfFhWb042bWYIwFhasA=&amp;xsec_source=pc_trdark")</f>
        <v>0.0</v>
      </c>
      <c r="D439" t="inlineStr">
        <is>
          <t>鲜水湾</t>
        </is>
      </c>
      <c r="E439" t="inlineStr">
        <is>
          <t>49316638994</t>
        </is>
      </c>
      <c r="F439" t="inlineStr">
        <is>
          <t>2026-02-25 11:57:53</t>
        </is>
      </c>
      <c r="G439" t="inlineStr">
        <is>
          <t>图文</t>
        </is>
      </c>
      <c r="H439" t="inlineStr">
        <is>
          <t>智利三文鱼切块·整条三文鱼·深海鱼一人食健康饮食</t>
        </is>
      </c>
      <c r="I439" t="inlineStr">
        <is>
          <t>691ac562a524ee0001b51d7b</t>
        </is>
      </c>
      <c r="J439" t="inlineStr">
        <is>
          <t/>
        </is>
      </c>
      <c r="K439" t="n">
        <v>0.0</v>
      </c>
      <c r="L439" t="n">
        <v>0.0</v>
      </c>
      <c r="M439" t="n">
        <v>1.0</v>
      </c>
      <c r="N439" t="n">
        <v>0.125</v>
      </c>
      <c r="O439" t="n">
        <v>1.0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inlineStr">
        <is>
          <t/>
        </is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8.0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5.875</v>
      </c>
      <c r="AL439" t="inlineStr">
        <is>
          <t/>
        </is>
      </c>
    </row>
    <row r="440">
      <c r="A440" t="inlineStr">
        <is>
          <t>区区69/盒，承包我半个月减脂餐了</t>
        </is>
      </c>
      <c r="B440" t="inlineStr">
        <is>
          <t>698afed0000000001a02598b</t>
        </is>
      </c>
      <c r="C440" s="439" t="n">
        <f>HYPERLINK("https://www.xiaohongshu.com/explore/698afed0000000001a02598b?xsec_token=TBG0mKfxVH0N0QJz26OSUyhRtILSkWqJa2D6sJqW_8bY0=&amp;xsec_source=pc_trdark","https://www.xiaohongshu.com/explore/698afed0000000001a02598b?xsec_token=TBG0mKfxVH0N0QJz26OSUyhRtILSkWqJa2D6sJqW_8bY0=&amp;xsec_source=pc_trdark")</f>
        <v>0.0</v>
      </c>
      <c r="D440" t="inlineStr">
        <is>
          <t>鲜水湾</t>
        </is>
      </c>
      <c r="E440" t="inlineStr">
        <is>
          <t>49316638994</t>
        </is>
      </c>
      <c r="F440" t="inlineStr">
        <is>
          <t>2026-02-10 17:48:00</t>
        </is>
      </c>
      <c r="G440" t="inlineStr">
        <is>
          <t>图文</t>
        </is>
      </c>
      <c r="H440" t="inlineStr">
        <is>
          <t>大虾基围虾王牌大虾厄瓜多尔白虾盐冻虾仁海洋大虾送礼顺丰包邮</t>
        </is>
      </c>
      <c r="I440" t="inlineStr">
        <is>
          <t>690aeb7be379430001e686ac</t>
        </is>
      </c>
      <c r="J440" t="inlineStr">
        <is>
          <t/>
        </is>
      </c>
      <c r="K440" t="n">
        <v>0.0</v>
      </c>
      <c r="L440" t="n">
        <v>0.0</v>
      </c>
      <c r="M440" t="n">
        <v>1.0</v>
      </c>
      <c r="N440" t="n">
        <v>0.125</v>
      </c>
      <c r="O440" t="n">
        <v>1.0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inlineStr">
        <is>
          <t/>
        </is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8.0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4.5</v>
      </c>
      <c r="AL440" t="inlineStr">
        <is>
          <t/>
        </is>
      </c>
    </row>
    <row r="441">
      <c r="A441" t="inlineStr">
        <is>
          <t>不要低估50💰的购买力，敞开吃吧……</t>
        </is>
      </c>
      <c r="B441" t="inlineStr">
        <is>
          <t>691c04390000000019025de9</t>
        </is>
      </c>
      <c r="C441" s="440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441" t="inlineStr">
        <is>
          <t>婉婉上班吃什么</t>
        </is>
      </c>
      <c r="E441" t="inlineStr">
        <is>
          <t>11434449706</t>
        </is>
      </c>
      <c r="F441" t="inlineStr">
        <is>
          <t>2025-11-18 13:29:29</t>
        </is>
      </c>
      <c r="G441" t="inlineStr">
        <is>
          <t>视频</t>
        </is>
      </c>
      <c r="H441" t="inlineStr">
        <is>
          <t>生蚝乳山生蚝海蛎子顺丰包邮</t>
        </is>
      </c>
      <c r="I441" t="inlineStr">
        <is>
          <t>690c70971b787900010866cc</t>
        </is>
      </c>
      <c r="J441" t="n">
        <v>33.0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inlineStr">
        <is>
          <t/>
        </is>
      </c>
      <c r="R441" t="inlineStr">
        <is>
          <t/>
        </is>
      </c>
      <c r="S441" t="n">
        <v>0.0</v>
      </c>
      <c r="T441" t="n">
        <v>0.0</v>
      </c>
      <c r="U441" t="n">
        <v>0.0</v>
      </c>
      <c r="V441" t="n">
        <v>0.0</v>
      </c>
      <c r="W441" t="inlineStr">
        <is>
          <t/>
        </is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8.0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8.125</v>
      </c>
      <c r="AL441" t="n">
        <v>0.0</v>
      </c>
    </row>
    <row r="442">
      <c r="A442" t="inlineStr">
        <is>
          <t>热量比鸡胸肉低，今年的控体主食mvp ！！</t>
        </is>
      </c>
      <c r="B442" t="inlineStr">
        <is>
          <t>69ad3fd1000000001a031f4b</t>
        </is>
      </c>
      <c r="C442" s="441" t="n">
        <f>HYPERLINK("https://www.xiaohongshu.com/explore/69ad3fd1000000001a031f4b?xsec_token=TBsauhpT2AwjD8NBV7WI8gZPE55zLGLPuY3FKDXnBrFJ4=&amp;xsec_source=pc_trdark","https://www.xiaohongshu.com/explore/69ad3fd1000000001a031f4b?xsec_token=TBsauhpT2AwjD8NBV7WI8gZPE55zLGLPuY3FKDXnBrFJ4=&amp;xsec_source=pc_trdark")</f>
        <v>0.0</v>
      </c>
      <c r="D442" t="inlineStr">
        <is>
          <t>鲜水湾</t>
        </is>
      </c>
      <c r="E442" t="inlineStr">
        <is>
          <t>49316638994</t>
        </is>
      </c>
      <c r="F442" t="inlineStr">
        <is>
          <t>2026-03-08 17:22:25</t>
        </is>
      </c>
      <c r="G442" t="inlineStr">
        <is>
          <t>图文</t>
        </is>
      </c>
      <c r="H442" t="inlineStr">
        <is>
          <t>手剥虾仁 无冰衣无添加 低脂餐一人食 上班带饭 顺丰包邮 5盒装</t>
        </is>
      </c>
      <c r="I442" t="inlineStr">
        <is>
          <t>694baba01d450d00013662f0</t>
        </is>
      </c>
      <c r="J442" t="inlineStr">
        <is>
          <t/>
        </is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inlineStr">
        <is>
          <t/>
        </is>
      </c>
      <c r="R442" t="inlineStr">
        <is>
          <t/>
        </is>
      </c>
      <c r="S442" t="n">
        <v>0.0</v>
      </c>
      <c r="T442" t="n">
        <v>0.0</v>
      </c>
      <c r="U442" t="n">
        <v>0.0</v>
      </c>
      <c r="V442" t="n">
        <v>0.0</v>
      </c>
      <c r="W442" t="inlineStr">
        <is>
          <t/>
        </is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7.0</v>
      </c>
      <c r="AE442" t="n">
        <v>0.0</v>
      </c>
      <c r="AF442" t="n">
        <v>0.0</v>
      </c>
      <c r="AG442" t="n">
        <v>0.0</v>
      </c>
      <c r="AH442" t="n">
        <v>1.0</v>
      </c>
      <c r="AI442" t="n">
        <v>0.0</v>
      </c>
      <c r="AJ442" t="n">
        <v>0.0</v>
      </c>
      <c r="AK442" t="n">
        <v>3.4285714285714284</v>
      </c>
      <c r="AL442" t="inlineStr">
        <is>
          <t/>
        </is>
      </c>
    </row>
    <row r="443">
      <c r="A443" t="inlineStr">
        <is>
          <t>发现一个初春食欲稳定的方法</t>
        </is>
      </c>
      <c r="B443" t="inlineStr">
        <is>
          <t>699ea1ef000000002303af25</t>
        </is>
      </c>
      <c r="C443" s="442" t="n">
        <f>HYPERLINK("https://www.xiaohongshu.com/explore/699ea1ef000000002303af25?xsec_token=TBggKgSP0tIUAtqBAPfP3mLU4eiT8nw79kmm873hOptXc=&amp;xsec_source=pc_trdark","https://www.xiaohongshu.com/explore/699ea1ef000000002303af25?xsec_token=TBggKgSP0tIUAtqBAPfP3mLU4eiT8nw79kmm873hOptXc=&amp;xsec_source=pc_trdark")</f>
        <v>0.0</v>
      </c>
      <c r="D443" t="inlineStr">
        <is>
          <t>鲜水湾甄选</t>
        </is>
      </c>
      <c r="E443" t="inlineStr">
        <is>
          <t>27401929161</t>
        </is>
      </c>
      <c r="F443" t="inlineStr">
        <is>
          <t>2026-02-25 15:17:03</t>
        </is>
      </c>
      <c r="G443" t="inlineStr">
        <is>
          <t>图文</t>
        </is>
      </c>
      <c r="H443" t="inlineStr">
        <is>
          <t>大虾基围虾王牌大虾厄瓜多尔白虾盐冻虾仁海洋大虾送礼顺丰包邮</t>
        </is>
      </c>
      <c r="I443" t="inlineStr">
        <is>
          <t>690aeb7be379430001e686ac</t>
        </is>
      </c>
      <c r="J443" t="inlineStr">
        <is>
          <t/>
        </is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inlineStr">
        <is>
          <t/>
        </is>
      </c>
      <c r="R443" t="inlineStr">
        <is>
          <t/>
        </is>
      </c>
      <c r="S443" t="n">
        <v>0.0</v>
      </c>
      <c r="T443" t="n">
        <v>0.0</v>
      </c>
      <c r="U443" t="n">
        <v>0.0</v>
      </c>
      <c r="V443" t="n">
        <v>0.0</v>
      </c>
      <c r="W443" t="inlineStr">
        <is>
          <t/>
        </is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7.0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11.571428571428571</v>
      </c>
      <c r="AL443" t="inlineStr">
        <is>
          <t/>
        </is>
      </c>
    </row>
    <row r="444">
      <c r="A444" t="inlineStr">
        <is>
          <t>适合年后打工人的干净碳水出现了</t>
        </is>
      </c>
      <c r="B444" t="inlineStr">
        <is>
          <t>699e52ff000000000d00b62c</t>
        </is>
      </c>
      <c r="C444" s="443" t="n">
        <f>HYPERLINK("https://www.xiaohongshu.com/explore/699e52ff000000000d00b62c?xsec_token=TBggKgSP0tIUAtqBAPfP3mLbkFIcSncH0gYVbsSgMIb-4=&amp;xsec_source=pc_trdark","https://www.xiaohongshu.com/explore/699e52ff000000000d00b62c?xsec_token=TBggKgSP0tIUAtqBAPfP3mLbkFIcSncH0gYVbsSgMIb-4=&amp;xsec_source=pc_trdark")</f>
        <v>0.0</v>
      </c>
      <c r="D444" t="inlineStr">
        <is>
          <t>鲜水湾</t>
        </is>
      </c>
      <c r="E444" t="inlineStr">
        <is>
          <t>49316638994</t>
        </is>
      </c>
      <c r="F444" t="inlineStr">
        <is>
          <t>2026-02-25 09:40:15</t>
        </is>
      </c>
      <c r="G444" t="inlineStr">
        <is>
          <t>图文</t>
        </is>
      </c>
      <c r="H444" t="inlineStr">
        <is>
          <t>大虾基围虾王牌大虾厄瓜多尔白虾盐冻虾仁海洋大虾送礼顺丰包邮</t>
        </is>
      </c>
      <c r="I444" t="inlineStr">
        <is>
          <t>690aeb7be379430001e686ac</t>
        </is>
      </c>
      <c r="J444" t="inlineStr">
        <is>
          <t/>
        </is>
      </c>
      <c r="K444" t="n">
        <v>0.0</v>
      </c>
      <c r="L444" t="n">
        <v>0.0</v>
      </c>
      <c r="M444" t="n">
        <v>2.0</v>
      </c>
      <c r="N444" t="n">
        <v>0.2857142857142857</v>
      </c>
      <c r="O444" t="n">
        <v>1.0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inlineStr">
        <is>
          <t/>
        </is>
      </c>
      <c r="X444" t="n">
        <v>0.0</v>
      </c>
      <c r="Y444" t="n">
        <v>0.0</v>
      </c>
      <c r="Z444" t="n">
        <v>1.0</v>
      </c>
      <c r="AA444" t="n">
        <v>0.0</v>
      </c>
      <c r="AB444" t="n">
        <v>0.0</v>
      </c>
      <c r="AC444" t="n">
        <v>0.0</v>
      </c>
      <c r="AD444" t="n">
        <v>7.0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6.857142857142857</v>
      </c>
      <c r="AL444" t="inlineStr">
        <is>
          <t/>
        </is>
      </c>
    </row>
    <row r="445">
      <c r="A445" t="inlineStr">
        <is>
          <t>年后减脂真不多，区区69块够吃一周了!</t>
        </is>
      </c>
      <c r="B445" t="inlineStr">
        <is>
          <t>699d3854000000001a02580e</t>
        </is>
      </c>
      <c r="C445" s="444" t="n">
        <f>HYPERLINK("https://www.xiaohongshu.com/explore/699d3854000000001a02580e?xsec_token=TBeFZqWudA4ECFcaumXjqu0PtoMl0gr7cybqsjyWxf1Ww=&amp;xsec_source=pc_trdark","https://www.xiaohongshu.com/explore/699d3854000000001a02580e?xsec_token=TBeFZqWudA4ECFcaumXjqu0PtoMl0gr7cybqsjyWxf1Ww=&amp;xsec_source=pc_trdark")</f>
        <v>0.0</v>
      </c>
      <c r="D445" t="inlineStr">
        <is>
          <t>鲜水湾</t>
        </is>
      </c>
      <c r="E445" t="inlineStr">
        <is>
          <t>49316638994</t>
        </is>
      </c>
      <c r="F445" t="inlineStr">
        <is>
          <t>2026-02-24 13:34:12</t>
        </is>
      </c>
      <c r="G445" t="inlineStr">
        <is>
          <t>图文</t>
        </is>
      </c>
      <c r="H445" t="inlineStr">
        <is>
          <t>大虾基围虾王牌大虾厄瓜多尔白虾盐冻虾仁海洋大虾送礼顺丰包邮</t>
        </is>
      </c>
      <c r="I445" t="inlineStr">
        <is>
          <t>690aeb7be379430001e686ac</t>
        </is>
      </c>
      <c r="J445" t="inlineStr">
        <is>
          <t/>
        </is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inlineStr">
        <is>
          <t/>
        </is>
      </c>
      <c r="R445" t="inlineStr">
        <is>
          <t/>
        </is>
      </c>
      <c r="S445" t="n">
        <v>0.0</v>
      </c>
      <c r="T445" t="n">
        <v>0.0</v>
      </c>
      <c r="U445" t="n">
        <v>0.0</v>
      </c>
      <c r="V445" t="n">
        <v>0.0</v>
      </c>
      <c r="W445" t="inlineStr">
        <is>
          <t/>
        </is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7.0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2.857142857142857</v>
      </c>
      <c r="AL445" t="inlineStr">
        <is>
          <t/>
        </is>
      </c>
    </row>
    <row r="446">
      <c r="A446" t="inlineStr">
        <is>
          <t>区区69块，承包了我一周减脂的快乐</t>
        </is>
      </c>
      <c r="B446" t="inlineStr">
        <is>
          <t>69983f10000000001a02347b</t>
        </is>
      </c>
      <c r="C446" s="445" t="n">
        <f>HYPERLINK("https://www.xiaohongshu.com/explore/69983f10000000001a02347b?xsec_token=TBw3dBNyYxHSihInNv0vJoVnDJ8H_ygMIcvJyez0UsWb0=&amp;xsec_source=pc_trdark","https://www.xiaohongshu.com/explore/69983f10000000001a02347b?xsec_token=TBw3dBNyYxHSihInNv0vJoVnDJ8H_ygMIcvJyez0UsWb0=&amp;xsec_source=pc_trdark")</f>
        <v>0.0</v>
      </c>
      <c r="D446" t="inlineStr">
        <is>
          <t>鲜水湾</t>
        </is>
      </c>
      <c r="E446" t="inlineStr">
        <is>
          <t>49316638994</t>
        </is>
      </c>
      <c r="F446" t="inlineStr">
        <is>
          <t>2026-02-20 19:01:36</t>
        </is>
      </c>
      <c r="G446" t="inlineStr">
        <is>
          <t>图文</t>
        </is>
      </c>
      <c r="H446" t="inlineStr">
        <is>
          <t>大虾基围虾王牌大虾厄瓜多尔白虾盐冻虾仁海洋大虾送礼顺丰包邮</t>
        </is>
      </c>
      <c r="I446" t="inlineStr">
        <is>
          <t>690aeb7be379430001e686ac</t>
        </is>
      </c>
      <c r="J446" t="inlineStr">
        <is>
          <t/>
        </is>
      </c>
      <c r="K446" t="n">
        <v>0.0</v>
      </c>
      <c r="L446" t="n">
        <v>0.0</v>
      </c>
      <c r="M446" t="n">
        <v>1.0</v>
      </c>
      <c r="N446" t="inlineStr">
        <is>
          <t>0.14285714285714285</t>
        </is>
      </c>
      <c r="O446" t="n">
        <v>1.0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inlineStr">
        <is>
          <t/>
        </is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7.0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7.285714285714286</v>
      </c>
      <c r="AL446" t="inlineStr">
        <is>
          <t/>
        </is>
      </c>
    </row>
    <row r="447">
      <c r="A447" t="inlineStr">
        <is>
          <t>青岛发过来的，被爸妈夸了一整天</t>
        </is>
      </c>
      <c r="B447" t="inlineStr">
        <is>
          <t>6986df320000000028009681</t>
        </is>
      </c>
      <c r="C447" s="446" t="n">
        <f>HYPERLINK("https://www.xiaohongshu.com/explore/6986df320000000028009681?xsec_token=TB-LsRJw2UEyjZbU1RZqmjvtwtRMuw6d13bODal5ehtLk=&amp;xsec_source=pc_trdark","https://www.xiaohongshu.com/explore/6986df320000000028009681?xsec_token=TB-LsRJw2UEyjZbU1RZqmjvtwtRMuw6d13bODal5ehtLk=&amp;xsec_source=pc_trdark")</f>
        <v>0.0</v>
      </c>
      <c r="D447" t="inlineStr">
        <is>
          <t>鲜水湾</t>
        </is>
      </c>
      <c r="E447" t="inlineStr">
        <is>
          <t>49316638994</t>
        </is>
      </c>
      <c r="F447" t="inlineStr">
        <is>
          <t>2026-02-07 14:44:02</t>
        </is>
      </c>
      <c r="G447" t="inlineStr">
        <is>
          <t>图文</t>
        </is>
      </c>
      <c r="H447" t="inlineStr">
        <is>
          <t>智利三文鱼切块·整条三文鱼·深海鱼一人食健康饮食</t>
        </is>
      </c>
      <c r="I447" t="inlineStr">
        <is>
          <t>691ac562a524ee0001b51d7b</t>
        </is>
      </c>
      <c r="J447" t="inlineStr">
        <is>
          <t/>
        </is>
      </c>
      <c r="K447" t="n">
        <v>0.0</v>
      </c>
      <c r="L447" t="n">
        <v>0.0</v>
      </c>
      <c r="M447" t="n">
        <v>1.0</v>
      </c>
      <c r="N447" t="inlineStr">
        <is>
          <t>0.14285714285714285</t>
        </is>
      </c>
      <c r="O447" t="n">
        <v>1.0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inlineStr">
        <is>
          <t/>
        </is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7.0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6.142857142857143</v>
      </c>
      <c r="AL447" t="inlineStr">
        <is>
          <t/>
        </is>
      </c>
    </row>
    <row r="448">
      <c r="A448" t="inlineStr">
        <is>
          <t>回购3次的大虾，好吃到停不下来😋</t>
        </is>
      </c>
      <c r="B448" t="inlineStr">
        <is>
          <t>694514ff000000001f00b732</t>
        </is>
      </c>
      <c r="C448" s="447" t="n">
        <f>HYPERLINK("https://www.xiaohongshu.com/explore/694514ff000000001f00b732?xsec_token=TB7p1vWXvB33zoX2lon7HfpVu_gszwnkk-ftBfZMOgQXs=&amp;xsec_source=pc_trdark","https://www.xiaohongshu.com/explore/694514ff000000001f00b732?xsec_token=TB7p1vWXvB33zoX2lon7HfpVu_gszwnkk-ftBfZMOgQXs=&amp;xsec_source=pc_trdark")</f>
        <v>0.0</v>
      </c>
      <c r="D448" t="inlineStr">
        <is>
          <t>鲜水湾</t>
        </is>
      </c>
      <c r="E448" t="inlineStr">
        <is>
          <t>49316638994</t>
        </is>
      </c>
      <c r="F448" t="inlineStr">
        <is>
          <t>2025-12-19 17:03:59</t>
        </is>
      </c>
      <c r="G448" t="inlineStr">
        <is>
          <t>图文</t>
        </is>
      </c>
      <c r="H448" t="inlineStr">
        <is>
          <t>大虾基围虾王牌大虾厄瓜多尔白虾盐冻虾仁海洋大虾送礼顺丰包邮</t>
        </is>
      </c>
      <c r="I448" t="inlineStr">
        <is>
          <t>690aeb7be379430001e686ac</t>
        </is>
      </c>
      <c r="J448" t="inlineStr">
        <is>
          <t/>
        </is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inlineStr">
        <is>
          <t/>
        </is>
      </c>
      <c r="R448" t="inlineStr">
        <is>
          <t/>
        </is>
      </c>
      <c r="S448" t="n">
        <v>0.0</v>
      </c>
      <c r="T448" t="n">
        <v>0.0</v>
      </c>
      <c r="U448" t="n">
        <v>0.0</v>
      </c>
      <c r="V448" t="n">
        <v>0.0</v>
      </c>
      <c r="W448" t="inlineStr">
        <is>
          <t/>
        </is>
      </c>
      <c r="X448" t="n">
        <v>0.0</v>
      </c>
      <c r="Y448" t="n">
        <v>0.0</v>
      </c>
      <c r="Z448" t="n">
        <v>1.0</v>
      </c>
      <c r="AA448" t="n">
        <v>0.0</v>
      </c>
      <c r="AB448" t="n">
        <v>0.0</v>
      </c>
      <c r="AC448" t="n">
        <v>0.0</v>
      </c>
      <c r="AD448" t="n">
        <v>7.0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8.285714285714286</v>
      </c>
      <c r="AL448" t="inlineStr">
        <is>
          <t/>
        </is>
      </c>
    </row>
    <row r="449">
      <c r="A449" t="inlineStr">
        <is>
          <t>现在年轻人对60来块，毫无毫无概念！</t>
        </is>
      </c>
      <c r="B449" t="inlineStr">
        <is>
          <t>69397713000000001e032977</t>
        </is>
      </c>
      <c r="C449" s="448" t="n">
        <f>HYPERLINK("https://www.xiaohongshu.com/explore/69397713000000001e032977?xsec_token=TBaopk6NP1Kn3Gui1O5R_ovt-gQJhUCkzFEl628TZuvkA=&amp;xsec_source=pc_trdark","https://www.xiaohongshu.com/explore/69397713000000001e032977?xsec_token=TBaopk6NP1Kn3Gui1O5R_ovt-gQJhUCkzFEl628TZuvkA=&amp;xsec_source=pc_trdark")</f>
        <v>0.0</v>
      </c>
      <c r="D449" t="inlineStr">
        <is>
          <t>鲜水湾</t>
        </is>
      </c>
      <c r="E449" t="inlineStr">
        <is>
          <t>49316638994</t>
        </is>
      </c>
      <c r="F449" t="inlineStr">
        <is>
          <t>2025-12-10 21:35:15</t>
        </is>
      </c>
      <c r="G449" t="inlineStr">
        <is>
          <t>图文</t>
        </is>
      </c>
      <c r="H449" t="inlineStr">
        <is>
          <t>智利三文鱼切块·整条三文鱼·深海鱼一人食健康饮食</t>
        </is>
      </c>
      <c r="I449" t="inlineStr">
        <is>
          <t>691ac562a524ee0001b51d7b</t>
        </is>
      </c>
      <c r="J449" t="inlineStr">
        <is>
          <t/>
        </is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inlineStr">
        <is>
          <t/>
        </is>
      </c>
      <c r="R449" t="inlineStr">
        <is>
          <t/>
        </is>
      </c>
      <c r="S449" t="n">
        <v>0.0</v>
      </c>
      <c r="T449" t="n">
        <v>0.0</v>
      </c>
      <c r="U449" t="n">
        <v>0.0</v>
      </c>
      <c r="V449" t="n">
        <v>0.0</v>
      </c>
      <c r="W449" t="inlineStr">
        <is>
          <t/>
        </is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7.0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16.0</v>
      </c>
      <c r="AL449" t="inlineStr">
        <is>
          <t/>
        </is>
      </c>
    </row>
    <row r="450">
      <c r="A450" t="inlineStr">
        <is>
          <t>不要低估50💰的购买力，敞开吃吧……</t>
        </is>
      </c>
      <c r="B450" t="inlineStr">
        <is>
          <t>69169a18000000000702364f</t>
        </is>
      </c>
      <c r="C450" s="449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450" t="inlineStr">
        <is>
          <t>婉婉上班吃什么</t>
        </is>
      </c>
      <c r="E450" t="inlineStr">
        <is>
          <t>11434449706</t>
        </is>
      </c>
      <c r="F450" t="inlineStr">
        <is>
          <t>2025-11-14 11:55:00</t>
        </is>
      </c>
      <c r="G450" t="inlineStr">
        <is>
          <t>视频</t>
        </is>
      </c>
      <c r="H450" t="inlineStr">
        <is>
          <t>生蚝乳山生蚝海蛎子顺丰包邮</t>
        </is>
      </c>
      <c r="I450" t="inlineStr">
        <is>
          <t>690c70971b787900010866cc</t>
        </is>
      </c>
      <c r="J450" t="n">
        <v>30.0</v>
      </c>
      <c r="K450" t="n">
        <v>0.0</v>
      </c>
      <c r="L450" t="n">
        <v>0.0</v>
      </c>
      <c r="M450" t="n">
        <v>1.0</v>
      </c>
      <c r="N450" t="inlineStr">
        <is>
          <t>0.14285714285714285</t>
        </is>
      </c>
      <c r="O450" t="n">
        <v>1.0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inlineStr">
        <is>
          <t/>
        </is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7.0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10.714285714285714</v>
      </c>
      <c r="AL450" t="n">
        <v>0.2</v>
      </c>
    </row>
    <row r="451">
      <c r="A451" t="inlineStr">
        <is>
          <t>别再砍价啦！20+💰1斤的大虾真没赚头</t>
        </is>
      </c>
      <c r="B451" t="inlineStr">
        <is>
          <t>690ea0dc0000000004002f4f</t>
        </is>
      </c>
      <c r="C451" s="450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451" t="inlineStr">
        <is>
          <t>鲜水湾</t>
        </is>
      </c>
      <c r="E451" t="inlineStr">
        <is>
          <t>49316638994</t>
        </is>
      </c>
      <c r="F451" t="inlineStr">
        <is>
          <t>2025-11-08 09:46:04</t>
        </is>
      </c>
      <c r="G451" t="inlineStr">
        <is>
          <t>图文</t>
        </is>
      </c>
      <c r="H451" t="inlineStr">
        <is>
          <t>大虾基围虾王牌大虾厄瓜多尔白虾盐冻虾仁海洋大虾送礼顺丰包邮</t>
        </is>
      </c>
      <c r="I451" t="inlineStr">
        <is>
          <t>690aeb7be379430001e686ac</t>
        </is>
      </c>
      <c r="J451" t="inlineStr">
        <is>
          <t/>
        </is>
      </c>
      <c r="K451" t="n">
        <v>0.0</v>
      </c>
      <c r="L451" t="n">
        <v>0.0</v>
      </c>
      <c r="M451" t="n">
        <v>1.0</v>
      </c>
      <c r="N451" t="inlineStr">
        <is>
          <t>0.14285714285714285</t>
        </is>
      </c>
      <c r="O451" t="n">
        <v>1.0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inlineStr">
        <is>
          <t/>
        </is>
      </c>
      <c r="X451" t="n">
        <v>0.0</v>
      </c>
      <c r="Y451" t="n">
        <v>1.0</v>
      </c>
      <c r="Z451" t="n">
        <v>0.0</v>
      </c>
      <c r="AA451" t="n">
        <v>0.0</v>
      </c>
      <c r="AB451" t="n">
        <v>0.0</v>
      </c>
      <c r="AC451" t="n">
        <v>0.0</v>
      </c>
      <c r="AD451" t="n">
        <v>7.0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6.428571428571429</v>
      </c>
      <c r="AL451" t="inlineStr">
        <is>
          <t/>
        </is>
      </c>
    </row>
    <row r="452">
      <c r="A452" t="inlineStr">
        <is>
          <t>我家的无保水剂虾仁，什么时候能被看到</t>
        </is>
      </c>
      <c r="B452" t="inlineStr">
        <is>
          <t>69cb8e39000000001e00c97a</t>
        </is>
      </c>
      <c r="C452" s="451" t="n">
        <f>HYPERLINK("https://www.xiaohongshu.com/explore/69cb8e39000000001e00c97a?xsec_token=TBNvk7eB588c7ey-qUUMF7Ob6hGjC9OFY-NMyrZcyNf9Q=&amp;xsec_source=pc_trdark","https://www.xiaohongshu.com/explore/69cb8e39000000001e00c97a?xsec_token=TBNvk7eB588c7ey-qUUMF7Ob6hGjC9OFY-NMyrZcyNf9Q=&amp;xsec_source=pc_trdark")</f>
        <v>0.0</v>
      </c>
      <c r="D452" t="inlineStr">
        <is>
          <t>鲜水湾</t>
        </is>
      </c>
      <c r="E452" t="inlineStr">
        <is>
          <t>49316638994</t>
        </is>
      </c>
      <c r="F452" t="inlineStr">
        <is>
          <t>2026-03-31 17:04:57</t>
        </is>
      </c>
      <c r="G452" t="inlineStr">
        <is>
          <t>图文</t>
        </is>
      </c>
      <c r="H452" t="inlineStr">
        <is>
          <t>手剥虾仁 无冰衣无添加 低脂餐一人食 上班带饭 顺丰包邮 5盒装</t>
        </is>
      </c>
      <c r="I452" t="inlineStr">
        <is>
          <t>694baba01d450d00013662f0</t>
        </is>
      </c>
      <c r="J452" t="inlineStr">
        <is>
          <t/>
        </is>
      </c>
      <c r="K452" t="n">
        <v>0.0</v>
      </c>
      <c r="L452" t="n">
        <v>0.0</v>
      </c>
      <c r="M452" t="n">
        <v>1.0</v>
      </c>
      <c r="N452" t="inlineStr">
        <is>
          <t>0.16666666666666666</t>
        </is>
      </c>
      <c r="O452" t="n">
        <v>1.0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inlineStr">
        <is>
          <t/>
        </is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6.0</v>
      </c>
      <c r="AE452" t="n">
        <v>1.0</v>
      </c>
      <c r="AF452" t="n">
        <v>0.0</v>
      </c>
      <c r="AG452" t="n">
        <v>0.0</v>
      </c>
      <c r="AH452" t="n">
        <v>2.0</v>
      </c>
      <c r="AI452" t="n">
        <v>0.0</v>
      </c>
      <c r="AJ452" t="n">
        <v>0.0</v>
      </c>
      <c r="AK452" t="n">
        <v>4.333333333333333</v>
      </c>
      <c r="AL452" t="inlineStr">
        <is>
          <t/>
        </is>
      </c>
    </row>
    <row r="453">
      <c r="A453" t="inlineStr">
        <is>
          <t>邪修控体就是快！才吃一周…以为秤坏了！🤣</t>
        </is>
      </c>
      <c r="B453" t="inlineStr">
        <is>
          <t>69bea386000000001b020dcd</t>
        </is>
      </c>
      <c r="C453" s="452" t="n">
        <f>HYPERLINK("https://www.xiaohongshu.com/explore/69bea386000000001b020dcd?xsec_token=TBEV1jCaY14J6usHdX26xRKBpBvGo97uVkDL0kxRa9UFU=&amp;xsec_source=pc_trdark","https://www.xiaohongshu.com/explore/69bea386000000001b020dcd?xsec_token=TBEV1jCaY14J6usHdX26xRKBpBvGo97uVkDL0kxRa9UFU=&amp;xsec_source=pc_trdark")</f>
        <v>0.0</v>
      </c>
      <c r="D453" t="inlineStr">
        <is>
          <t>婉婉上班吃什么</t>
        </is>
      </c>
      <c r="E453" t="inlineStr">
        <is>
          <t>11434449706</t>
        </is>
      </c>
      <c r="F453" t="inlineStr">
        <is>
          <t>2026-03-21 21:56:22</t>
        </is>
      </c>
      <c r="G453" t="inlineStr">
        <is>
          <t>图文</t>
        </is>
      </c>
      <c r="H453" t="inlineStr">
        <is>
          <t>手剥虾仁 无冰衣无添加 低脂餐一人食 上班带饭 顺丰包邮 5盒装</t>
        </is>
      </c>
      <c r="I453" t="inlineStr">
        <is>
          <t>694baba01d450d00013662f0</t>
        </is>
      </c>
      <c r="J453" t="inlineStr">
        <is>
          <t/>
        </is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inlineStr">
        <is>
          <t/>
        </is>
      </c>
      <c r="R453" t="inlineStr">
        <is>
          <t/>
        </is>
      </c>
      <c r="S453" t="n">
        <v>0.0</v>
      </c>
      <c r="T453" t="n">
        <v>0.0</v>
      </c>
      <c r="U453" t="n">
        <v>0.0</v>
      </c>
      <c r="V453" t="n">
        <v>0.0</v>
      </c>
      <c r="W453" t="inlineStr">
        <is>
          <t/>
        </is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6.0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3.0</v>
      </c>
      <c r="AL453" t="inlineStr">
        <is>
          <t/>
        </is>
      </c>
    </row>
    <row r="454">
      <c r="A454" t="inlineStr">
        <is>
          <t>讲真…手剥虾仁就是我控体期的大帮手！！</t>
        </is>
      </c>
      <c r="B454" t="inlineStr">
        <is>
          <t>69a29adb000000000e03ed32</t>
        </is>
      </c>
      <c r="C454" s="453" t="n">
        <f>HYPERLINK("https://www.xiaohongshu.com/explore/69a29adb000000000e03ed32?xsec_token=TBUws-qSGfQm7WfIK5gxFwZ58oPwybM5jy3eJgiFWHDuw=&amp;xsec_source=pc_trdark","https://www.xiaohongshu.com/explore/69a29adb000000000e03ed32?xsec_token=TBUws-qSGfQm7WfIK5gxFwZ58oPwybM5jy3eJgiFWHDuw=&amp;xsec_source=pc_trdark")</f>
        <v>0.0</v>
      </c>
      <c r="D454" t="inlineStr">
        <is>
          <t>鲜水湾</t>
        </is>
      </c>
      <c r="E454" t="inlineStr">
        <is>
          <t>49316638994</t>
        </is>
      </c>
      <c r="F454" t="inlineStr">
        <is>
          <t>2026-02-28 15:35:55</t>
        </is>
      </c>
      <c r="G454" t="inlineStr">
        <is>
          <t>图文</t>
        </is>
      </c>
      <c r="H454" t="inlineStr">
        <is>
          <t>手剥虾仁 无冰衣无添加 低脂餐一人食 上班带饭 顺丰包邮 5盒装</t>
        </is>
      </c>
      <c r="I454" t="inlineStr">
        <is>
          <t>694baba01d450d00013662f0</t>
        </is>
      </c>
      <c r="J454" t="inlineStr">
        <is>
          <t/>
        </is>
      </c>
      <c r="K454" t="n">
        <v>0.0</v>
      </c>
      <c r="L454" t="n">
        <v>0.0</v>
      </c>
      <c r="M454" t="n">
        <v>1.0</v>
      </c>
      <c r="N454" t="inlineStr">
        <is>
          <t>0.16666666666666666</t>
        </is>
      </c>
      <c r="O454" t="n">
        <v>1.0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inlineStr">
        <is>
          <t/>
        </is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6.0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4.333333333333333</v>
      </c>
      <c r="AL454" t="inlineStr">
        <is>
          <t/>
        </is>
      </c>
    </row>
    <row r="455">
      <c r="A455" t="inlineStr">
        <is>
          <t>年后控体，区区100多竟然够我吃一周！</t>
        </is>
      </c>
      <c r="B455" t="inlineStr">
        <is>
          <t>69a27ea40000000028022315</t>
        </is>
      </c>
      <c r="C455" s="454" t="n">
        <f>HYPERLINK("https://www.xiaohongshu.com/explore/69a27ea40000000028022315?xsec_token=TBUws-qSGfQm7WfIK5gxFwZ4tpOeF-KX4Q2pM0DtznF9A=&amp;xsec_source=pc_trdark","https://www.xiaohongshu.com/explore/69a27ea40000000028022315?xsec_token=TBUws-qSGfQm7WfIK5gxFwZ4tpOeF-KX4Q2pM0DtznF9A=&amp;xsec_source=pc_trdark")</f>
        <v>0.0</v>
      </c>
      <c r="D455" t="inlineStr">
        <is>
          <t>鲜水湾</t>
        </is>
      </c>
      <c r="E455" t="inlineStr">
        <is>
          <t>49316638994</t>
        </is>
      </c>
      <c r="F455" t="inlineStr">
        <is>
          <t>2026-02-28 13:35:33</t>
        </is>
      </c>
      <c r="G455" t="inlineStr">
        <is>
          <t>图文</t>
        </is>
      </c>
      <c r="H455" t="inlineStr">
        <is>
          <t>手剥虾仁 无冰衣无添加 低脂餐一人食 上班带饭 顺丰包邮 5盒装</t>
        </is>
      </c>
      <c r="I455" t="inlineStr">
        <is>
          <t>694baba01d450d00013662f0</t>
        </is>
      </c>
      <c r="J455" t="inlineStr">
        <is>
          <t/>
        </is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inlineStr">
        <is>
          <t/>
        </is>
      </c>
      <c r="R455" t="inlineStr">
        <is>
          <t/>
        </is>
      </c>
      <c r="S455" t="n">
        <v>0.0</v>
      </c>
      <c r="T455" t="n">
        <v>0.0</v>
      </c>
      <c r="U455" t="n">
        <v>0.0</v>
      </c>
      <c r="V455" t="n">
        <v>0.0</v>
      </c>
      <c r="W455" t="inlineStr">
        <is>
          <t/>
        </is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6.0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4.833333333333333</v>
      </c>
      <c r="AL455" t="inlineStr">
        <is>
          <t/>
        </is>
      </c>
    </row>
    <row r="456">
      <c r="A456" t="inlineStr">
        <is>
          <t>长期吃三文鱼的代价就是。。。</t>
        </is>
      </c>
      <c r="B456" t="inlineStr">
        <is>
          <t>6984530c000000001a0347a5</t>
        </is>
      </c>
      <c r="C456" s="455" t="n">
        <f>HYPERLINK("https://www.xiaohongshu.com/explore/6984530c000000001a0347a5?xsec_token=TBn0ftdrPlwv37Gn1tDFpAI2puJNXEBAJ5Efs_F6Mp2zs=&amp;xsec_source=pc_trdark","https://www.xiaohongshu.com/explore/6984530c000000001a0347a5?xsec_token=TBn0ftdrPlwv37Gn1tDFpAI2puJNXEBAJ5Efs_F6Mp2zs=&amp;xsec_source=pc_trdark")</f>
        <v>0.0</v>
      </c>
      <c r="D456" t="inlineStr">
        <is>
          <t>鲜水湾</t>
        </is>
      </c>
      <c r="E456" t="inlineStr">
        <is>
          <t>49316638994</t>
        </is>
      </c>
      <c r="F456" t="inlineStr">
        <is>
          <t>2026-02-05 16:21:32</t>
        </is>
      </c>
      <c r="G456" t="inlineStr">
        <is>
          <t>图文</t>
        </is>
      </c>
      <c r="H456" t="inlineStr">
        <is>
          <t>智利三文鱼切块·整条三文鱼·深海鱼一人食健康饮食</t>
        </is>
      </c>
      <c r="I456" t="inlineStr">
        <is>
          <t>691ac562a524ee0001b51d7b</t>
        </is>
      </c>
      <c r="J456" t="inlineStr">
        <is>
          <t/>
        </is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inlineStr">
        <is>
          <t/>
        </is>
      </c>
      <c r="R456" t="inlineStr">
        <is>
          <t/>
        </is>
      </c>
      <c r="S456" t="n">
        <v>0.0</v>
      </c>
      <c r="T456" t="n">
        <v>0.0</v>
      </c>
      <c r="U456" t="n">
        <v>0.0</v>
      </c>
      <c r="V456" t="n">
        <v>0.0</v>
      </c>
      <c r="W456" t="inlineStr">
        <is>
          <t/>
        </is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6.0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8.833333333333334</v>
      </c>
      <c r="AL456" t="inlineStr">
        <is>
          <t/>
        </is>
      </c>
    </row>
    <row r="457">
      <c r="A457" t="inlineStr">
        <is>
          <t>感谢山东网友推荐！40+一箱的生蚝太肥了</t>
        </is>
      </c>
      <c r="B457" t="inlineStr">
        <is>
          <t>695bcd41000000000e00f3bb</t>
        </is>
      </c>
      <c r="C457" s="456" t="n">
        <f>HYPERLINK("https://www.xiaohongshu.com/explore/695bcd41000000000e00f3bb?xsec_token=TBEEVOdJitxkDWIk1imW74DtEhroG6sa0O9CDL9nMMTDc=&amp;xsec_source=pc_trdark","https://www.xiaohongshu.com/explore/695bcd41000000000e00f3bb?xsec_token=TBEEVOdJitxkDWIk1imW74DtEhroG6sa0O9CDL9nMMTDc=&amp;xsec_source=pc_trdark")</f>
        <v>0.0</v>
      </c>
      <c r="D457" t="inlineStr">
        <is>
          <t>鲜水湾</t>
        </is>
      </c>
      <c r="E457" t="inlineStr">
        <is>
          <t>49316638994</t>
        </is>
      </c>
      <c r="F457" t="inlineStr">
        <is>
          <t>2026-01-05 22:40:01</t>
        </is>
      </c>
      <c r="G457" t="inlineStr">
        <is>
          <t>图文</t>
        </is>
      </c>
      <c r="H457" t="inlineStr">
        <is>
          <t>生蚝乳山生蚝海蛎子顺丰包邮</t>
        </is>
      </c>
      <c r="I457" t="inlineStr">
        <is>
          <t>690c70971b787900010866cc</t>
        </is>
      </c>
      <c r="J457" t="inlineStr">
        <is>
          <t/>
        </is>
      </c>
      <c r="K457" t="n">
        <v>0.0</v>
      </c>
      <c r="L457" t="n">
        <v>0.0</v>
      </c>
      <c r="M457" t="n">
        <v>3.0</v>
      </c>
      <c r="N457" t="n">
        <v>0.5</v>
      </c>
      <c r="O457" t="n">
        <v>3.0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inlineStr">
        <is>
          <t/>
        </is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6.0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62.166666666666664</v>
      </c>
      <c r="AL457" t="inlineStr">
        <is>
          <t/>
        </is>
      </c>
    </row>
    <row r="458">
      <c r="A458" t="inlineStr">
        <is>
          <t>答应我，年后控体就吃这个手剥大虾仁！！</t>
        </is>
      </c>
      <c r="B458" t="inlineStr">
        <is>
          <t>69a28994000000002801ca50</t>
        </is>
      </c>
      <c r="C458" s="457" t="n">
        <f>HYPERLINK("https://www.xiaohongshu.com/explore/69a28994000000002801ca50?xsec_token=TBUws-qSGfQm7WfIK5gxFwZ-XeexN-N8XHYW0C_3PSaSY=&amp;xsec_source=pc_trdark","https://www.xiaohongshu.com/explore/69a28994000000002801ca50?xsec_token=TBUws-qSGfQm7WfIK5gxFwZ-XeexN-N8XHYW0C_3PSaSY=&amp;xsec_source=pc_trdark")</f>
        <v>0.0</v>
      </c>
      <c r="D458" t="inlineStr">
        <is>
          <t>鲜水湾</t>
        </is>
      </c>
      <c r="E458" t="inlineStr">
        <is>
          <t>49316638994</t>
        </is>
      </c>
      <c r="F458" t="inlineStr">
        <is>
          <t>2026-02-28 14:22:12</t>
        </is>
      </c>
      <c r="G458" t="inlineStr">
        <is>
          <t>图文</t>
        </is>
      </c>
      <c r="H458" t="inlineStr">
        <is>
          <t>手剥虾仁 无冰衣无添加 低脂餐一人食 上班带饭 顺丰包邮 5盒装</t>
        </is>
      </c>
      <c r="I458" t="inlineStr">
        <is>
          <t>694baba01d450d00013662f0</t>
        </is>
      </c>
      <c r="J458" t="inlineStr">
        <is>
          <t/>
        </is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inlineStr">
        <is>
          <t/>
        </is>
      </c>
      <c r="R458" t="inlineStr">
        <is>
          <t/>
        </is>
      </c>
      <c r="S458" t="n">
        <v>0.0</v>
      </c>
      <c r="T458" t="n">
        <v>0.0</v>
      </c>
      <c r="U458" t="n">
        <v>0.0</v>
      </c>
      <c r="V458" t="n">
        <v>0.0</v>
      </c>
      <c r="W458" t="inlineStr">
        <is>
          <t/>
        </is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5.0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3.8</v>
      </c>
      <c r="AL458" t="inlineStr">
        <is>
          <t/>
        </is>
      </c>
    </row>
    <row r="459">
      <c r="A459" t="inlineStr">
        <is>
          <t>过完年发现，原来大家都有干净饮食的习惯</t>
        </is>
      </c>
      <c r="B459" t="inlineStr">
        <is>
          <t>69a160d6000000002801f58c</t>
        </is>
      </c>
      <c r="C459" s="458" t="n">
        <f>HYPERLINK("https://www.xiaohongshu.com/explore/69a160d6000000002801f58c?xsec_token=TBk7Tu9foWGIsieMmGc2tlwn3IVM8DCpwZscGUlDTO2Mk=&amp;xsec_source=pc_trdark","https://www.xiaohongshu.com/explore/69a160d6000000002801f58c?xsec_token=TBk7Tu9foWGIsieMmGc2tlwn3IVM8DCpwZscGUlDTO2Mk=&amp;xsec_source=pc_trdark")</f>
        <v>0.0</v>
      </c>
      <c r="D459" t="inlineStr">
        <is>
          <t>鲜水湾</t>
        </is>
      </c>
      <c r="E459" t="inlineStr">
        <is>
          <t>49316638994</t>
        </is>
      </c>
      <c r="F459" t="inlineStr">
        <is>
          <t>2026-02-27 17:16:06</t>
        </is>
      </c>
      <c r="G459" t="inlineStr">
        <is>
          <t>图文</t>
        </is>
      </c>
      <c r="H459" t="inlineStr">
        <is>
          <t>手剥虾仁 无冰衣无添加 低脂餐一人食 上班带饭 顺丰包邮 5盒装</t>
        </is>
      </c>
      <c r="I459" t="inlineStr">
        <is>
          <t>694baba01d450d00013662f0</t>
        </is>
      </c>
      <c r="J459" t="inlineStr">
        <is>
          <t/>
        </is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inlineStr">
        <is>
          <t/>
        </is>
      </c>
      <c r="R459" t="inlineStr">
        <is>
          <t/>
        </is>
      </c>
      <c r="S459" t="n">
        <v>0.0</v>
      </c>
      <c r="T459" t="n">
        <v>0.0</v>
      </c>
      <c r="U459" t="n">
        <v>0.0</v>
      </c>
      <c r="V459" t="n">
        <v>0.0</v>
      </c>
      <c r="W459" t="inlineStr">
        <is>
          <t/>
        </is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5.0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4.0</v>
      </c>
      <c r="AL459" t="inlineStr">
        <is>
          <t/>
        </is>
      </c>
    </row>
    <row r="460">
      <c r="A460" t="inlineStr">
        <is>
          <t>爱你老己！在家实现甜虾自由啦！🦐</t>
        </is>
      </c>
      <c r="B460" t="inlineStr">
        <is>
          <t>699fea210000000022023cfc</t>
        </is>
      </c>
      <c r="C460" s="459" t="n">
        <f>HYPERLINK("https://www.xiaohongshu.com/explore/699fea210000000022023cfc?xsec_token=TBmPrNsEp7sytnt8BzCMtNTbV_A83oXoinluU54mgQEos=&amp;xsec_source=pc_trdark","https://www.xiaohongshu.com/explore/699fea210000000022023cfc?xsec_token=TBmPrNsEp7sytnt8BzCMtNTbV_A83oXoinluU54mgQEos=&amp;xsec_source=pc_trdark")</f>
        <v>0.0</v>
      </c>
      <c r="D460" t="inlineStr">
        <is>
          <t>鲜水湾甄选</t>
        </is>
      </c>
      <c r="E460" t="inlineStr">
        <is>
          <t>27401929161</t>
        </is>
      </c>
      <c r="F460" t="inlineStr">
        <is>
          <t>2026-02-26 14:37:21</t>
        </is>
      </c>
      <c r="G460" t="inlineStr">
        <is>
          <t>图文</t>
        </is>
      </c>
      <c r="H460" t="inlineStr">
        <is>
          <t>北极甜虾头籽甜虾元宝虾北极熊冰虾孕妈妈宝宝辅食顺丰</t>
        </is>
      </c>
      <c r="I460" t="inlineStr">
        <is>
          <t>6953717eb8f0bb000115158d</t>
        </is>
      </c>
      <c r="J460" t="inlineStr">
        <is>
          <t/>
        </is>
      </c>
      <c r="K460" t="n">
        <v>0.0</v>
      </c>
      <c r="L460" t="n">
        <v>0.0</v>
      </c>
      <c r="M460" t="n">
        <v>1.0</v>
      </c>
      <c r="N460" t="n">
        <v>0.2</v>
      </c>
      <c r="O460" t="n">
        <v>1.0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inlineStr">
        <is>
          <t/>
        </is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5.0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2.2</v>
      </c>
      <c r="AL460" t="inlineStr">
        <is>
          <t/>
        </is>
      </c>
    </row>
    <row r="461">
      <c r="A461" t="inlineStr">
        <is>
          <t>初九开始还债了</t>
        </is>
      </c>
      <c r="B461" t="inlineStr">
        <is>
          <t>699e752d000000002203985a</t>
        </is>
      </c>
      <c r="C461" s="460" t="n">
        <f>HYPERLINK("https://www.xiaohongshu.com/explore/699e752d000000002203985a?xsec_token=TBggKgSP0tIUAtqBAPfP3mLeTzu0x9bt84Dw6FwYxe6vk=&amp;xsec_source=pc_trdark","https://www.xiaohongshu.com/explore/699e752d000000002203985a?xsec_token=TBggKgSP0tIUAtqBAPfP3mLeTzu0x9bt84Dw6FwYxe6vk=&amp;xsec_source=pc_trdark")</f>
        <v>0.0</v>
      </c>
      <c r="D461" t="inlineStr">
        <is>
          <t>鲜水湾甄选</t>
        </is>
      </c>
      <c r="E461" t="inlineStr">
        <is>
          <t>27401929161</t>
        </is>
      </c>
      <c r="F461" t="inlineStr">
        <is>
          <t>2026-02-25 12:06:06</t>
        </is>
      </c>
      <c r="G461" t="inlineStr">
        <is>
          <t>图文</t>
        </is>
      </c>
      <c r="H461" t="inlineStr">
        <is>
          <t>智利三文鱼切块·整条三文鱼·深海鱼一人食健康饮食</t>
        </is>
      </c>
      <c r="I461" t="inlineStr">
        <is>
          <t>691ac562a524ee0001b51d7b</t>
        </is>
      </c>
      <c r="J461" t="inlineStr">
        <is>
          <t/>
        </is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inlineStr">
        <is>
          <t/>
        </is>
      </c>
      <c r="R461" t="inlineStr">
        <is>
          <t/>
        </is>
      </c>
      <c r="S461" t="n">
        <v>0.0</v>
      </c>
      <c r="T461" t="n">
        <v>0.0</v>
      </c>
      <c r="U461" t="n">
        <v>0.0</v>
      </c>
      <c r="V461" t="n">
        <v>0.0</v>
      </c>
      <c r="W461" t="inlineStr">
        <is>
          <t/>
        </is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5.0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5.8</v>
      </c>
      <c r="AL461" t="inlineStr">
        <is>
          <t/>
        </is>
      </c>
    </row>
    <row r="462">
      <c r="A462" t="inlineStr">
        <is>
          <t>果然是超市买不到的口感！！</t>
        </is>
      </c>
      <c r="B462" t="inlineStr">
        <is>
          <t>699d6e4f000000000e03c29c</t>
        </is>
      </c>
      <c r="C462" s="461" t="n">
        <f>HYPERLINK("https://www.xiaohongshu.com/explore/699d6e4f000000000e03c29c?xsec_token=TBeFZqWudA4ECFcaumXjqu0NhsQ3I0hlnhfhZOGAfEneQ=&amp;xsec_source=pc_trdark","https://www.xiaohongshu.com/explore/699d6e4f000000000e03c29c?xsec_token=TBeFZqWudA4ECFcaumXjqu0NhsQ3I0hlnhfhZOGAfEneQ=&amp;xsec_source=pc_trdark")</f>
        <v>0.0</v>
      </c>
      <c r="D462" t="inlineStr">
        <is>
          <t>鲜水湾</t>
        </is>
      </c>
      <c r="E462" t="inlineStr">
        <is>
          <t>49316638994</t>
        </is>
      </c>
      <c r="F462" t="inlineStr">
        <is>
          <t>2026-02-24 17:24:31</t>
        </is>
      </c>
      <c r="G462" t="inlineStr">
        <is>
          <t>图文</t>
        </is>
      </c>
      <c r="H462" t="inlineStr">
        <is>
          <t>大虾基围虾王牌大虾厄瓜多尔白虾盐冻虾仁海洋大虾送礼顺丰包邮</t>
        </is>
      </c>
      <c r="I462" t="inlineStr">
        <is>
          <t>690aeb7be379430001e686ac</t>
        </is>
      </c>
      <c r="J462" t="inlineStr">
        <is>
          <t/>
        </is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inlineStr">
        <is>
          <t/>
        </is>
      </c>
      <c r="R462" t="inlineStr">
        <is>
          <t/>
        </is>
      </c>
      <c r="S462" t="n">
        <v>0.0</v>
      </c>
      <c r="T462" t="n">
        <v>0.0</v>
      </c>
      <c r="U462" t="n">
        <v>0.0</v>
      </c>
      <c r="V462" t="n">
        <v>0.0</v>
      </c>
      <c r="W462" t="inlineStr">
        <is>
          <t/>
        </is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5.0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50.4</v>
      </c>
      <c r="AL462" t="inlineStr">
        <is>
          <t/>
        </is>
      </c>
    </row>
    <row r="463">
      <c r="A463" t="inlineStr">
        <is>
          <t>过年送礼就买整条三文鱼！</t>
        </is>
      </c>
      <c r="B463" t="inlineStr">
        <is>
          <t>6980b960000000000d0083dd</t>
        </is>
      </c>
      <c r="C463" s="462" t="n">
        <f>HYPERLINK("https://www.xiaohongshu.com/explore/6980b960000000000d0083dd?xsec_token=TBZp4EcwSVhJKyeKQt7Cpumf4ew6EaovxouIPjJZJ1WgA=&amp;xsec_source=pc_trdark","https://www.xiaohongshu.com/explore/6980b960000000000d0083dd?xsec_token=TBZp4EcwSVhJKyeKQt7Cpumf4ew6EaovxouIPjJZJ1WgA=&amp;xsec_source=pc_trdark")</f>
        <v>0.0</v>
      </c>
      <c r="D463" t="inlineStr">
        <is>
          <t>鲜水湾</t>
        </is>
      </c>
      <c r="E463" t="inlineStr">
        <is>
          <t>49316638994</t>
        </is>
      </c>
      <c r="F463" t="inlineStr">
        <is>
          <t>2026-02-02 22:49:04</t>
        </is>
      </c>
      <c r="G463" t="inlineStr">
        <is>
          <t>图文</t>
        </is>
      </c>
      <c r="H463" t="inlineStr">
        <is>
          <t>智利三文鱼切块·整条三文鱼·深海鱼一人食健康饮食</t>
        </is>
      </c>
      <c r="I463" t="inlineStr">
        <is>
          <t>691ac562a524ee0001b51d7b</t>
        </is>
      </c>
      <c r="J463" t="inlineStr">
        <is>
          <t/>
        </is>
      </c>
      <c r="K463" t="n">
        <v>0.0</v>
      </c>
      <c r="L463" t="n">
        <v>0.0</v>
      </c>
      <c r="M463" t="n">
        <v>2.0</v>
      </c>
      <c r="N463" t="n">
        <v>0.4</v>
      </c>
      <c r="O463" t="n">
        <v>1.0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inlineStr">
        <is>
          <t/>
        </is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5.0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12.0</v>
      </c>
      <c r="AL463" t="inlineStr">
        <is>
          <t/>
        </is>
      </c>
    </row>
    <row r="464">
      <c r="A464" t="inlineStr">
        <is>
          <t>一个月回购3次，这冰虾口感真的赢麻了！</t>
        </is>
      </c>
      <c r="B464" t="inlineStr">
        <is>
          <t>697c460f000000000a02c1c6</t>
        </is>
      </c>
      <c r="C464" s="463" t="n">
        <f>HYPERLINK("https://www.xiaohongshu.com/explore/697c460f000000000a02c1c6?xsec_token=TBV-62_c6Sms9X18ENcOcpiIMy_WRjvnqsFur8P3OLNpw=&amp;xsec_source=pc_trdark","https://www.xiaohongshu.com/explore/697c460f000000000a02c1c6?xsec_token=TBV-62_c6Sms9X18ENcOcpiIMy_WRjvnqsFur8P3OLNpw=&amp;xsec_source=pc_trdark")</f>
        <v>0.0</v>
      </c>
      <c r="D464" t="inlineStr">
        <is>
          <t>鲜水湾甄选</t>
        </is>
      </c>
      <c r="E464" t="inlineStr">
        <is>
          <t>27401929161</t>
        </is>
      </c>
      <c r="F464" t="inlineStr">
        <is>
          <t>2026-01-30 13:47:59</t>
        </is>
      </c>
      <c r="G464" t="inlineStr">
        <is>
          <t>图文</t>
        </is>
      </c>
      <c r="H464" t="inlineStr">
        <is>
          <t>北极甜虾头籽甜虾元宝虾北极熊冰虾孕妈妈宝宝辅食顺丰</t>
        </is>
      </c>
      <c r="I464" t="inlineStr">
        <is>
          <t>6953717eb8f0bb000115158d</t>
        </is>
      </c>
      <c r="J464" t="inlineStr">
        <is>
          <t/>
        </is>
      </c>
      <c r="K464" t="n">
        <v>0.0</v>
      </c>
      <c r="L464" t="n">
        <v>0.0</v>
      </c>
      <c r="M464" t="n">
        <v>2.0</v>
      </c>
      <c r="N464" t="n">
        <v>0.4</v>
      </c>
      <c r="O464" t="n">
        <v>2.0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inlineStr">
        <is>
          <t/>
        </is>
      </c>
      <c r="X464" t="n">
        <v>0.0</v>
      </c>
      <c r="Y464" t="n">
        <v>0.0</v>
      </c>
      <c r="Z464" t="n">
        <v>1.0</v>
      </c>
      <c r="AA464" t="n">
        <v>0.0</v>
      </c>
      <c r="AB464" t="n">
        <v>0.0</v>
      </c>
      <c r="AC464" t="n">
        <v>0.0</v>
      </c>
      <c r="AD464" t="n">
        <v>5.0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8.6</v>
      </c>
      <c r="AL464" t="inlineStr">
        <is>
          <t/>
        </is>
      </c>
    </row>
    <row r="465">
      <c r="A465" t="inlineStr">
        <is>
          <t>我妈：你就卖49.9五斤，保准能卖出去</t>
        </is>
      </c>
      <c r="B465" t="inlineStr">
        <is>
          <t>69524c4b000000001e030320</t>
        </is>
      </c>
      <c r="C465" s="464" t="n">
        <f>HYPERLINK("https://www.xiaohongshu.com/explore/69524c4b000000001e030320?xsec_token=TBD_qpfRw_GekiL1YWy-5sXsIqVD42SZY9a4Pgp-lfamM=&amp;xsec_source=pc_trdark","https://www.xiaohongshu.com/explore/69524c4b000000001e030320?xsec_token=TBD_qpfRw_GekiL1YWy-5sXsIqVD42SZY9a4Pgp-lfamM=&amp;xsec_source=pc_trdark")</f>
        <v>0.0</v>
      </c>
      <c r="D465" t="inlineStr">
        <is>
          <t>鲜水湾</t>
        </is>
      </c>
      <c r="E465" t="inlineStr">
        <is>
          <t>49316638994</t>
        </is>
      </c>
      <c r="F465" t="inlineStr">
        <is>
          <t>2025-12-29 17:39:23</t>
        </is>
      </c>
      <c r="G465" t="inlineStr">
        <is>
          <t>图文</t>
        </is>
      </c>
      <c r="H465" t="inlineStr">
        <is>
          <t>生蚝乳山生蚝海蛎子顺丰包邮</t>
        </is>
      </c>
      <c r="I465" t="inlineStr">
        <is>
          <t>690c70971b787900010866cc</t>
        </is>
      </c>
      <c r="J465" t="inlineStr">
        <is>
          <t/>
        </is>
      </c>
      <c r="K465" t="n">
        <v>0.0</v>
      </c>
      <c r="L465" t="n">
        <v>0.0</v>
      </c>
      <c r="M465" t="n">
        <v>1.0</v>
      </c>
      <c r="N465" t="n">
        <v>0.2</v>
      </c>
      <c r="O465" t="n">
        <v>1.0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inlineStr">
        <is>
          <t/>
        </is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5.0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5.4</v>
      </c>
      <c r="AL465" t="inlineStr">
        <is>
          <t/>
        </is>
      </c>
    </row>
    <row r="466">
      <c r="A466" t="inlineStr">
        <is>
          <t>真心建议控体期的姐妹试试这个大虾</t>
        </is>
      </c>
      <c r="B466" t="inlineStr">
        <is>
          <t>69491155000000001e0213ee</t>
        </is>
      </c>
      <c r="C466" s="465" t="n">
        <f>HYPERLINK("https://www.xiaohongshu.com/explore/69491155000000001e0213ee?xsec_token=TB80OIxeN-ESXgJCMbPNqK1tjqJSn0Tu5ViSLBFSQ5H3o=&amp;xsec_source=pc_trdark","https://www.xiaohongshu.com/explore/69491155000000001e0213ee?xsec_token=TB80OIxeN-ESXgJCMbPNqK1tjqJSn0Tu5ViSLBFSQ5H3o=&amp;xsec_source=pc_trdark")</f>
        <v>0.0</v>
      </c>
      <c r="D466" t="inlineStr">
        <is>
          <t>鲜水湾</t>
        </is>
      </c>
      <c r="E466" t="inlineStr">
        <is>
          <t>49316638994</t>
        </is>
      </c>
      <c r="F466" t="inlineStr">
        <is>
          <t>2025-12-22 17:37:25</t>
        </is>
      </c>
      <c r="G466" t="inlineStr">
        <is>
          <t>图文</t>
        </is>
      </c>
      <c r="H466" t="inlineStr">
        <is>
          <t>大虾基围虾王牌大虾厄瓜多尔白虾盐冻虾仁海洋大虾送礼顺丰包邮</t>
        </is>
      </c>
      <c r="I466" t="inlineStr">
        <is>
          <t>690aeb7be379430001e686ac</t>
        </is>
      </c>
      <c r="J466" t="inlineStr">
        <is>
          <t/>
        </is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inlineStr">
        <is>
          <t/>
        </is>
      </c>
      <c r="R466" t="inlineStr">
        <is>
          <t/>
        </is>
      </c>
      <c r="S466" t="n">
        <v>0.0</v>
      </c>
      <c r="T466" t="n">
        <v>0.0</v>
      </c>
      <c r="U466" t="n">
        <v>0.0</v>
      </c>
      <c r="V466" t="n">
        <v>0.0</v>
      </c>
      <c r="W466" t="inlineStr">
        <is>
          <t/>
        </is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5.0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5.0</v>
      </c>
      <c r="AL466" t="inlineStr">
        <is>
          <t/>
        </is>
      </c>
    </row>
    <row r="467">
      <c r="A467" t="inlineStr">
        <is>
          <t>我q。。。谁还没吃过这个乳山生蚝啊</t>
        </is>
      </c>
      <c r="B467" t="inlineStr">
        <is>
          <t>69145aa20000000004014a85</t>
        </is>
      </c>
      <c r="C467" s="466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467" t="inlineStr">
        <is>
          <t>婉婉上班吃什么</t>
        </is>
      </c>
      <c r="E467" t="inlineStr">
        <is>
          <t>11434449706</t>
        </is>
      </c>
      <c r="F467" t="inlineStr">
        <is>
          <t>2025-11-12 18:00:02</t>
        </is>
      </c>
      <c r="G467" t="inlineStr">
        <is>
          <t>视频</t>
        </is>
      </c>
      <c r="H467" t="inlineStr">
        <is>
          <t>生蚝乳山生蚝海蛎子顺丰包邮</t>
        </is>
      </c>
      <c r="I467" t="inlineStr">
        <is>
          <t>690c70971b787900010866cc</t>
        </is>
      </c>
      <c r="J467" t="n">
        <v>22.0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inlineStr">
        <is>
          <t/>
        </is>
      </c>
      <c r="R467" t="inlineStr">
        <is>
          <t/>
        </is>
      </c>
      <c r="S467" t="n">
        <v>0.0</v>
      </c>
      <c r="T467" t="n">
        <v>0.0</v>
      </c>
      <c r="U467" t="n">
        <v>0.0</v>
      </c>
      <c r="V467" t="n">
        <v>0.0</v>
      </c>
      <c r="W467" t="inlineStr">
        <is>
          <t/>
        </is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5.0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5.8</v>
      </c>
      <c r="AL467" t="n">
        <v>0.0</v>
      </c>
    </row>
    <row r="468">
      <c r="A468" t="inlineStr">
        <is>
          <t>甜虾脑袋表示这一碗很满足！</t>
        </is>
      </c>
      <c r="B468" t="inlineStr">
        <is>
          <t>69a145ef000000002602fa15</t>
        </is>
      </c>
      <c r="C468" s="467" t="n">
        <f>HYPERLINK("https://www.xiaohongshu.com/explore/69a145ef000000002602fa15?xsec_token=TBk7Tu9foWGIsieMmGc2tlwht6OnSE4kkOsOYjo1eAMaE=&amp;xsec_source=pc_trdark","https://www.xiaohongshu.com/explore/69a145ef000000002602fa15?xsec_token=TBk7Tu9foWGIsieMmGc2tlwht6OnSE4kkOsOYjo1eAMaE=&amp;xsec_source=pc_trdark")</f>
        <v>0.0</v>
      </c>
      <c r="D468" t="inlineStr">
        <is>
          <t>鲜水湾甄选</t>
        </is>
      </c>
      <c r="E468" t="inlineStr">
        <is>
          <t>27401929161</t>
        </is>
      </c>
      <c r="F468" t="inlineStr">
        <is>
          <t>2026-02-27 15:21:19</t>
        </is>
      </c>
      <c r="G468" t="inlineStr">
        <is>
          <t>图文</t>
        </is>
      </c>
      <c r="H468" t="inlineStr">
        <is>
          <t>北极甜虾头籽甜虾元宝虾北极熊冰虾孕妈妈宝宝辅食顺丰</t>
        </is>
      </c>
      <c r="I468" t="inlineStr">
        <is>
          <t>6953717eb8f0bb000115158d</t>
        </is>
      </c>
      <c r="J468" t="inlineStr">
        <is>
          <t/>
        </is>
      </c>
      <c r="K468" t="n">
        <v>0.0</v>
      </c>
      <c r="L468" t="n">
        <v>0.0</v>
      </c>
      <c r="M468" t="n">
        <v>1.0</v>
      </c>
      <c r="N468" t="n">
        <v>0.25</v>
      </c>
      <c r="O468" t="n">
        <v>1.0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inlineStr">
        <is>
          <t/>
        </is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4.0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6.25</v>
      </c>
      <c r="AL468" t="inlineStr">
        <is>
          <t/>
        </is>
      </c>
    </row>
    <row r="469">
      <c r="A469" t="inlineStr">
        <is>
          <t>甜虾脑袋表示这一口很满足！</t>
        </is>
      </c>
      <c r="B469" t="inlineStr">
        <is>
          <t>699ff98e000000002202f0d8</t>
        </is>
      </c>
      <c r="C469" s="468" t="n">
        <f>HYPERLINK("https://www.xiaohongshu.com/explore/699ff98e000000002202f0d8?xsec_token=TBmPrNsEp7sytnt8BzCMtNTaMkhYIiAdPNLY8aLbg_sXE=&amp;xsec_source=pc_trdark","https://www.xiaohongshu.com/explore/699ff98e000000002202f0d8?xsec_token=TBmPrNsEp7sytnt8BzCMtNTaMkhYIiAdPNLY8aLbg_sXE=&amp;xsec_source=pc_trdark")</f>
        <v>0.0</v>
      </c>
      <c r="D469" t="inlineStr">
        <is>
          <t>鲜水湾甄选</t>
        </is>
      </c>
      <c r="E469" t="inlineStr">
        <is>
          <t>27401929161</t>
        </is>
      </c>
      <c r="F469" t="inlineStr">
        <is>
          <t>2026-02-26 15:43:10</t>
        </is>
      </c>
      <c r="G469" t="inlineStr">
        <is>
          <t>图文</t>
        </is>
      </c>
      <c r="H469" t="inlineStr">
        <is>
          <t>北极甜虾头籽甜虾元宝虾北极熊冰虾孕妈妈宝宝辅食顺丰</t>
        </is>
      </c>
      <c r="I469" t="inlineStr">
        <is>
          <t>6953717eb8f0bb000115158d</t>
        </is>
      </c>
      <c r="J469" t="inlineStr">
        <is>
          <t/>
        </is>
      </c>
      <c r="K469" t="n">
        <v>0.0</v>
      </c>
      <c r="L469" t="n">
        <v>0.0</v>
      </c>
      <c r="M469" t="n">
        <v>1.0</v>
      </c>
      <c r="N469" t="n">
        <v>0.25</v>
      </c>
      <c r="O469" t="n">
        <v>1.0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inlineStr">
        <is>
          <t/>
        </is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4.0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8.5</v>
      </c>
      <c r="AL469" t="inlineStr">
        <is>
          <t/>
        </is>
      </c>
    </row>
    <row r="470">
      <c r="A470" t="inlineStr">
        <is>
          <t>适合年后打工人的干净碳水出现了</t>
        </is>
      </c>
      <c r="B470" t="inlineStr">
        <is>
          <t>699e4b9e000000002603e3ac</t>
        </is>
      </c>
      <c r="C470" s="469" t="n">
        <f>HYPERLINK("https://www.xiaohongshu.com/explore/699e4b9e000000002603e3ac?xsec_token=TBggKgSP0tIUAtqBAPfP3mLXuNWFU7-rK5oPBa-Ib7KfQ=&amp;xsec_source=pc_trdark","https://www.xiaohongshu.com/explore/699e4b9e000000002603e3ac?xsec_token=TBggKgSP0tIUAtqBAPfP3mLXuNWFU7-rK5oPBa-Ib7KfQ=&amp;xsec_source=pc_trdark")</f>
        <v>0.0</v>
      </c>
      <c r="D470" t="inlineStr">
        <is>
          <t>鲜水湾甄选</t>
        </is>
      </c>
      <c r="E470" t="inlineStr">
        <is>
          <t>27401929161</t>
        </is>
      </c>
      <c r="F470" t="inlineStr">
        <is>
          <t>2026-02-25 09:08:46</t>
        </is>
      </c>
      <c r="G470" t="inlineStr">
        <is>
          <t>图文</t>
        </is>
      </c>
      <c r="H470" t="inlineStr">
        <is>
          <t>大虾基围虾王牌大虾厄瓜多尔白虾盐冻虾仁海洋大虾送礼顺丰包邮</t>
        </is>
      </c>
      <c r="I470" t="inlineStr">
        <is>
          <t>690aeb7be379430001e686ac</t>
        </is>
      </c>
      <c r="J470" t="inlineStr">
        <is>
          <t/>
        </is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inlineStr">
        <is>
          <t/>
        </is>
      </c>
      <c r="R470" t="inlineStr">
        <is>
          <t/>
        </is>
      </c>
      <c r="S470" t="n">
        <v>0.0</v>
      </c>
      <c r="T470" t="n">
        <v>0.0</v>
      </c>
      <c r="U470" t="n">
        <v>0.0</v>
      </c>
      <c r="V470" t="n">
        <v>0.0</v>
      </c>
      <c r="W470" t="inlineStr">
        <is>
          <t/>
        </is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4.0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3.25</v>
      </c>
      <c r="AL470" t="inlineStr">
        <is>
          <t/>
        </is>
      </c>
    </row>
    <row r="471">
      <c r="A471" t="inlineStr">
        <is>
          <t>和老爸商量后，推出专属早八人的小包装</t>
        </is>
      </c>
      <c r="B471" t="inlineStr">
        <is>
          <t>698988d3000000000d00b5bf</t>
        </is>
      </c>
      <c r="C471" s="470" t="n">
        <f>HYPERLINK("https://www.xiaohongshu.com/explore/698988d3000000000d00b5bf?xsec_token=TBeAeWMkLJ9etYlFDlK3pgucHHQ1HDHlCn26aqxGKYZg8=&amp;xsec_source=pc_trdark","https://www.xiaohongshu.com/explore/698988d3000000000d00b5bf?xsec_token=TBeAeWMkLJ9etYlFDlK3pgucHHQ1HDHlCn26aqxGKYZg8=&amp;xsec_source=pc_trdark")</f>
        <v>0.0</v>
      </c>
      <c r="D471" t="inlineStr">
        <is>
          <t>鲜水湾</t>
        </is>
      </c>
      <c r="E471" t="inlineStr">
        <is>
          <t>49316638994</t>
        </is>
      </c>
      <c r="F471" t="inlineStr">
        <is>
          <t>2026-02-09 15:12:19</t>
        </is>
      </c>
      <c r="G471" t="inlineStr">
        <is>
          <t>图文</t>
        </is>
      </c>
      <c r="H471" t="inlineStr">
        <is>
          <t>手剥虾仁 无冰衣无添加 低脂餐一人食 上班带饭 顺丰包邮 5盒装</t>
        </is>
      </c>
      <c r="I471" t="inlineStr">
        <is>
          <t>694baba01d450d00013662f0</t>
        </is>
      </c>
      <c r="J471" t="inlineStr">
        <is>
          <t/>
        </is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inlineStr">
        <is>
          <t/>
        </is>
      </c>
      <c r="R471" t="inlineStr">
        <is>
          <t/>
        </is>
      </c>
      <c r="S471" t="n">
        <v>0.0</v>
      </c>
      <c r="T471" t="n">
        <v>0.0</v>
      </c>
      <c r="U471" t="n">
        <v>0.0</v>
      </c>
      <c r="V471" t="n">
        <v>0.0</v>
      </c>
      <c r="W471" t="inlineStr">
        <is>
          <t/>
        </is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4.0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2.75</v>
      </c>
      <c r="AL471" t="inlineStr">
        <is>
          <t/>
        </is>
      </c>
    </row>
    <row r="472">
      <c r="A472" t="inlineStr">
        <is>
          <t>青岛发过来的！被爸妈夸了一整天！</t>
        </is>
      </c>
      <c r="B472" t="inlineStr">
        <is>
          <t>69894079000000001a023627</t>
        </is>
      </c>
      <c r="C472" s="471" t="n">
        <f>HYPERLINK("https://www.xiaohongshu.com/explore/69894079000000001a023627?xsec_token=TBeAeWMkLJ9etYlFDlK3pguRteh7HUda59p-bcJSRSX1A=&amp;xsec_source=pc_trdark","https://www.xiaohongshu.com/explore/69894079000000001a023627?xsec_token=TBeAeWMkLJ9etYlFDlK3pguRteh7HUda59p-bcJSRSX1A=&amp;xsec_source=pc_trdark")</f>
        <v>0.0</v>
      </c>
      <c r="D472" t="inlineStr">
        <is>
          <t>鲜水湾</t>
        </is>
      </c>
      <c r="E472" t="inlineStr">
        <is>
          <t>49316638994</t>
        </is>
      </c>
      <c r="F472" t="inlineStr">
        <is>
          <t>2026-02-09 10:03:37</t>
        </is>
      </c>
      <c r="G472" t="inlineStr">
        <is>
          <t>图文</t>
        </is>
      </c>
      <c r="H472" t="inlineStr">
        <is>
          <t>智利三文鱼切块·整条三文鱼·深海鱼一人食健康饮食</t>
        </is>
      </c>
      <c r="I472" t="inlineStr">
        <is>
          <t>691ac562a524ee0001b51d7b</t>
        </is>
      </c>
      <c r="J472" t="inlineStr">
        <is>
          <t/>
        </is>
      </c>
      <c r="K472" t="n">
        <v>0.0</v>
      </c>
      <c r="L472" t="n">
        <v>0.0</v>
      </c>
      <c r="M472" t="n">
        <v>2.0</v>
      </c>
      <c r="N472" t="n">
        <v>0.5</v>
      </c>
      <c r="O472" t="n">
        <v>1.0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inlineStr">
        <is>
          <t/>
        </is>
      </c>
      <c r="X472" t="n">
        <v>0.0</v>
      </c>
      <c r="Y472" t="n">
        <v>0.0</v>
      </c>
      <c r="Z472" t="n">
        <v>1.0</v>
      </c>
      <c r="AA472" t="n">
        <v>0.0</v>
      </c>
      <c r="AB472" t="n">
        <v>0.0</v>
      </c>
      <c r="AC472" t="n">
        <v>0.0</v>
      </c>
      <c r="AD472" t="n">
        <v>4.0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7.5</v>
      </c>
      <c r="AL472" t="inlineStr">
        <is>
          <t/>
        </is>
      </c>
    </row>
    <row r="473">
      <c r="A473" t="inlineStr">
        <is>
          <t>我妈：过年你就69💰三斤这样卖，别涨价！</t>
        </is>
      </c>
      <c r="B473" t="inlineStr">
        <is>
          <t>697f0ed9000000000e00cb1d</t>
        </is>
      </c>
      <c r="C473" s="472" t="n">
        <f>HYPERLINK("https://www.xiaohongshu.com/explore/697f0ed9000000000e00cb1d?xsec_token=TBGi407i-ri3oYa_7RM3ZIGSmInJPgAtkWE8XOcg0ceZA=&amp;xsec_source=pc_trdark","https://www.xiaohongshu.com/explore/697f0ed9000000000e00cb1d?xsec_token=TBGi407i-ri3oYa_7RM3ZIGSmInJPgAtkWE8XOcg0ceZA=&amp;xsec_source=pc_trdark")</f>
        <v>0.0</v>
      </c>
      <c r="D473" t="inlineStr">
        <is>
          <t>鲜水湾</t>
        </is>
      </c>
      <c r="E473" t="inlineStr">
        <is>
          <t>49316638994</t>
        </is>
      </c>
      <c r="F473" t="inlineStr">
        <is>
          <t>2026-02-01 16:29:13</t>
        </is>
      </c>
      <c r="G473" t="inlineStr">
        <is>
          <t>图文</t>
        </is>
      </c>
      <c r="H473" t="inlineStr">
        <is>
          <t>大虾基围虾王牌大虾厄瓜多尔白虾盐冻虾仁海洋大虾送礼顺丰包邮</t>
        </is>
      </c>
      <c r="I473" t="inlineStr">
        <is>
          <t>690aeb7be379430001e686ac</t>
        </is>
      </c>
      <c r="J473" t="inlineStr">
        <is>
          <t/>
        </is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inlineStr">
        <is>
          <t/>
        </is>
      </c>
      <c r="R473" t="inlineStr">
        <is>
          <t/>
        </is>
      </c>
      <c r="S473" t="n">
        <v>0.0</v>
      </c>
      <c r="T473" t="n">
        <v>0.0</v>
      </c>
      <c r="U473" t="n">
        <v>0.0</v>
      </c>
      <c r="V473" t="n">
        <v>0.0</v>
      </c>
      <c r="W473" t="inlineStr">
        <is>
          <t/>
        </is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4.0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3.0</v>
      </c>
      <c r="AL473" t="inlineStr">
        <is>
          <t/>
        </is>
      </c>
    </row>
    <row r="474">
      <c r="A474" t="inlineStr">
        <is>
          <t>整条三文鱼，送礼首选！</t>
        </is>
      </c>
      <c r="B474" t="inlineStr">
        <is>
          <t>697b6bcd000000002800b16c</t>
        </is>
      </c>
      <c r="C474" s="473" t="n">
        <f>HYPERLINK("https://www.xiaohongshu.com/explore/697b6bcd000000002800b16c?xsec_token=TBx0gf9xFBuo-Uf0_oTJMkRAXL-jqckZHLsjvPP2T4vs8=&amp;xsec_source=pc_trdark","https://www.xiaohongshu.com/explore/697b6bcd000000002800b16c?xsec_token=TBx0gf9xFBuo-Uf0_oTJMkRAXL-jqckZHLsjvPP2T4vs8=&amp;xsec_source=pc_trdark")</f>
        <v>0.0</v>
      </c>
      <c r="D474" t="inlineStr">
        <is>
          <t>鲜水湾</t>
        </is>
      </c>
      <c r="E474" t="inlineStr">
        <is>
          <t>49316638994</t>
        </is>
      </c>
      <c r="F474" t="inlineStr">
        <is>
          <t>2026-01-29 22:16:45</t>
        </is>
      </c>
      <c r="G474" t="inlineStr">
        <is>
          <t>图文</t>
        </is>
      </c>
      <c r="H474" t="inlineStr">
        <is>
          <t>智利三文鱼切块·整条三文鱼·深海鱼一人食健康饮食</t>
        </is>
      </c>
      <c r="I474" t="inlineStr">
        <is>
          <t>691ac562a524ee0001b51d7b</t>
        </is>
      </c>
      <c r="J474" t="inlineStr">
        <is>
          <t/>
        </is>
      </c>
      <c r="K474" t="n">
        <v>0.0</v>
      </c>
      <c r="L474" t="n">
        <v>0.0</v>
      </c>
      <c r="M474" t="n">
        <v>1.0</v>
      </c>
      <c r="N474" t="n">
        <v>0.25</v>
      </c>
      <c r="O474" t="n">
        <v>1.0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inlineStr">
        <is>
          <t/>
        </is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4.0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3.5</v>
      </c>
      <c r="AL474" t="inlineStr">
        <is>
          <t/>
        </is>
      </c>
    </row>
    <row r="475">
      <c r="A475" t="inlineStr">
        <is>
          <t>69💰3斤还发顺丰！很难不买单</t>
        </is>
      </c>
      <c r="B475" t="inlineStr">
        <is>
          <t>697817a7000000000d0088a5</t>
        </is>
      </c>
      <c r="C475" s="474" t="n">
        <f>HYPERLINK("https://www.xiaohongshu.com/explore/697817a7000000000d0088a5?xsec_token=TB4uixe4FoDg0vEpIlbspmijOtEZY7JMlMJAU-i5IDNE0=&amp;xsec_source=pc_trdark","https://www.xiaohongshu.com/explore/697817a7000000000d0088a5?xsec_token=TB4uixe4FoDg0vEpIlbspmijOtEZY7JMlMJAU-i5IDNE0=&amp;xsec_source=pc_trdark")</f>
        <v>0.0</v>
      </c>
      <c r="D475" t="inlineStr">
        <is>
          <t>鲜水湾</t>
        </is>
      </c>
      <c r="E475" t="inlineStr">
        <is>
          <t>49316638994</t>
        </is>
      </c>
      <c r="F475" t="inlineStr">
        <is>
          <t>2026-01-27 09:40:55</t>
        </is>
      </c>
      <c r="G475" t="inlineStr">
        <is>
          <t>图文</t>
        </is>
      </c>
      <c r="H475" t="inlineStr">
        <is>
          <t>大虾基围虾王牌大虾厄瓜多尔白虾盐冻虾仁海洋大虾送礼顺丰包邮</t>
        </is>
      </c>
      <c r="I475" t="inlineStr">
        <is>
          <t>690aeb7be379430001e686ac</t>
        </is>
      </c>
      <c r="J475" t="inlineStr">
        <is>
          <t/>
        </is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inlineStr">
        <is>
          <t/>
        </is>
      </c>
      <c r="R475" t="inlineStr">
        <is>
          <t/>
        </is>
      </c>
      <c r="S475" t="n">
        <v>0.0</v>
      </c>
      <c r="T475" t="n">
        <v>0.0</v>
      </c>
      <c r="U475" t="n">
        <v>0.0</v>
      </c>
      <c r="V475" t="n">
        <v>0.0</v>
      </c>
      <c r="W475" t="inlineStr">
        <is>
          <t/>
        </is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4.0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7.0</v>
      </c>
      <c r="AL475" t="inlineStr">
        <is>
          <t/>
        </is>
      </c>
    </row>
    <row r="476">
      <c r="A476" t="inlineStr">
        <is>
          <t>我爸说：五斤就卖49.9，总比倒闭了强</t>
        </is>
      </c>
      <c r="B476" t="inlineStr">
        <is>
          <t>69569555000000001e036b60</t>
        </is>
      </c>
      <c r="C476" s="475" t="n">
        <f>HYPERLINK("https://www.xiaohongshu.com/explore/69569555000000001e036b60?xsec_token=TB_oVdiqQUcCQlNseLa8XT9nsvA6PkVXNgqOex2xAT6lE=&amp;xsec_source=pc_trdark","https://www.xiaohongshu.com/explore/69569555000000001e036b60?xsec_token=TB_oVdiqQUcCQlNseLa8XT9nsvA6PkVXNgqOex2xAT6lE=&amp;xsec_source=pc_trdark")</f>
        <v>0.0</v>
      </c>
      <c r="D476" t="inlineStr">
        <is>
          <t>鲜水湾</t>
        </is>
      </c>
      <c r="E476" t="inlineStr">
        <is>
          <t>49316638994</t>
        </is>
      </c>
      <c r="F476" t="inlineStr">
        <is>
          <t>2026-01-01 23:40:05</t>
        </is>
      </c>
      <c r="G476" t="inlineStr">
        <is>
          <t>图文</t>
        </is>
      </c>
      <c r="H476" t="inlineStr">
        <is>
          <t>生蚝乳山生蚝海蛎子顺丰包邮</t>
        </is>
      </c>
      <c r="I476" t="inlineStr">
        <is>
          <t>690c70971b787900010866cc</t>
        </is>
      </c>
      <c r="J476" t="inlineStr">
        <is>
          <t/>
        </is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inlineStr">
        <is>
          <t/>
        </is>
      </c>
      <c r="R476" t="inlineStr">
        <is>
          <t/>
        </is>
      </c>
      <c r="S476" t="n">
        <v>0.0</v>
      </c>
      <c r="T476" t="n">
        <v>0.0</v>
      </c>
      <c r="U476" t="n">
        <v>0.0</v>
      </c>
      <c r="V476" t="n">
        <v>0.0</v>
      </c>
      <c r="W476" t="inlineStr">
        <is>
          <t/>
        </is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4.0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7.75</v>
      </c>
      <c r="AL476" t="inlineStr">
        <is>
          <t/>
        </is>
      </c>
    </row>
    <row r="477">
      <c r="A477" t="inlineStr">
        <is>
          <t>建议12月份狠狠吃生蚝</t>
        </is>
      </c>
      <c r="B477" t="inlineStr">
        <is>
          <t>6950fcf3000000001e02024c</t>
        </is>
      </c>
      <c r="C477" s="476" t="n">
        <f>HYPERLINK("https://www.xiaohongshu.com/explore/6950fcf3000000001e02024c?xsec_token=TBZlsVk_u522I8N-JhGtRMDi3af6HM4e_Vff8HFWibHfQ=&amp;xsec_source=pc_trdark","https://www.xiaohongshu.com/explore/6950fcf3000000001e02024c?xsec_token=TBZlsVk_u522I8N-JhGtRMDi3af6HM4e_Vff8HFWibHfQ=&amp;xsec_source=pc_trdark")</f>
        <v>0.0</v>
      </c>
      <c r="D477" t="inlineStr">
        <is>
          <t>婉婉上班吃什么</t>
        </is>
      </c>
      <c r="E477" t="inlineStr">
        <is>
          <t>11434449706</t>
        </is>
      </c>
      <c r="F477" t="inlineStr">
        <is>
          <t>2025-12-28 17:48:35</t>
        </is>
      </c>
      <c r="G477" t="inlineStr">
        <is>
          <t>视频</t>
        </is>
      </c>
      <c r="H477" t="inlineStr">
        <is>
          <t>生蚝乳山生蚝海蛎子顺丰包邮</t>
        </is>
      </c>
      <c r="I477" t="inlineStr">
        <is>
          <t>690c70971b787900010866cc</t>
        </is>
      </c>
      <c r="J477" t="n">
        <v>20.0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inlineStr">
        <is>
          <t/>
        </is>
      </c>
      <c r="R477" t="inlineStr">
        <is>
          <t/>
        </is>
      </c>
      <c r="S477" t="n">
        <v>0.0</v>
      </c>
      <c r="T477" t="n">
        <v>0.0</v>
      </c>
      <c r="U477" t="n">
        <v>0.0</v>
      </c>
      <c r="V477" t="n">
        <v>0.0</v>
      </c>
      <c r="W477" t="inlineStr">
        <is>
          <t/>
        </is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4.0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13.75</v>
      </c>
      <c r="AL477" t="n">
        <v>0.0</v>
      </c>
    </row>
    <row r="478">
      <c r="A478" t="inlineStr">
        <is>
          <t>我爸：大虾你就25一斤卖总会出单的</t>
        </is>
      </c>
      <c r="B478" t="inlineStr">
        <is>
          <t>6942b246000000001f006aec</t>
        </is>
      </c>
      <c r="C478" s="477" t="n">
        <f>HYPERLINK("https://www.xiaohongshu.com/explore/6942b246000000001f006aec?xsec_token=TB0tDM60Z2n8tclFaINyevIaVt7CMYfI-7ya499lFojHI=&amp;xsec_source=pc_trdark","https://www.xiaohongshu.com/explore/6942b246000000001f006aec?xsec_token=TB0tDM60Z2n8tclFaINyevIaVt7CMYfI-7ya499lFojHI=&amp;xsec_source=pc_trdark")</f>
        <v>0.0</v>
      </c>
      <c r="D478" t="inlineStr">
        <is>
          <t>鲜水湾</t>
        </is>
      </c>
      <c r="E478" t="inlineStr">
        <is>
          <t>49316638994</t>
        </is>
      </c>
      <c r="F478" t="inlineStr">
        <is>
          <t>2025-12-17 21:38:14</t>
        </is>
      </c>
      <c r="G478" t="inlineStr">
        <is>
          <t>图文</t>
        </is>
      </c>
      <c r="H478" t="inlineStr">
        <is>
          <t>大虾基围虾王牌大虾厄瓜多尔白虾盐冻虾仁海洋大虾送礼顺丰包邮</t>
        </is>
      </c>
      <c r="I478" t="inlineStr">
        <is>
          <t>690aeb7be379430001e686ac</t>
        </is>
      </c>
      <c r="J478" t="inlineStr">
        <is>
          <t/>
        </is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inlineStr">
        <is>
          <t/>
        </is>
      </c>
      <c r="R478" t="inlineStr">
        <is>
          <t/>
        </is>
      </c>
      <c r="S478" t="n">
        <v>0.0</v>
      </c>
      <c r="T478" t="n">
        <v>0.0</v>
      </c>
      <c r="U478" t="n">
        <v>0.0</v>
      </c>
      <c r="V478" t="n">
        <v>0.0</v>
      </c>
      <c r="W478" t="inlineStr">
        <is>
          <t/>
        </is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4.0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4.25</v>
      </c>
      <c r="AL478" t="inlineStr">
        <is>
          <t/>
        </is>
      </c>
    </row>
    <row r="479">
      <c r="A479" t="inlineStr">
        <is>
          <t>小红书诚不欺我😭香煎三文鱼真的超好吃！</t>
        </is>
      </c>
      <c r="B479" t="inlineStr">
        <is>
          <t>6936ce79000000001e02e3c2</t>
        </is>
      </c>
      <c r="C479" s="478" t="n">
        <f>HYPERLINK("https://www.xiaohongshu.com/explore/6936ce79000000001e02e3c2?xsec_token=TBlR01uRP0dY963Q_AxX8vHKuz4QQcb-jS2lEfPVjHVsA=&amp;xsec_source=pc_trdark","https://www.xiaohongshu.com/explore/6936ce79000000001e02e3c2?xsec_token=TBlR01uRP0dY963Q_AxX8vHKuz4QQcb-jS2lEfPVjHVsA=&amp;xsec_source=pc_trdark")</f>
        <v>0.0</v>
      </c>
      <c r="D479" t="inlineStr">
        <is>
          <t>鲜水湾</t>
        </is>
      </c>
      <c r="E479" t="inlineStr">
        <is>
          <t>49316638994</t>
        </is>
      </c>
      <c r="F479" t="inlineStr">
        <is>
          <t>2025-12-08 21:11:21</t>
        </is>
      </c>
      <c r="G479" t="inlineStr">
        <is>
          <t>图文</t>
        </is>
      </c>
      <c r="H479" t="inlineStr">
        <is>
          <t>智利三文鱼切块·整条三文鱼·深海鱼一人食健康饮食</t>
        </is>
      </c>
      <c r="I479" t="inlineStr">
        <is>
          <t>691ac562a524ee0001b51d7b</t>
        </is>
      </c>
      <c r="J479" t="inlineStr">
        <is>
          <t/>
        </is>
      </c>
      <c r="K479" t="n">
        <v>0.0</v>
      </c>
      <c r="L479" t="n">
        <v>0.0</v>
      </c>
      <c r="M479" t="n">
        <v>1.0</v>
      </c>
      <c r="N479" t="n">
        <v>0.25</v>
      </c>
      <c r="O479" t="n">
        <v>1.0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inlineStr">
        <is>
          <t/>
        </is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4.0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11.5</v>
      </c>
      <c r="AL479" t="inlineStr">
        <is>
          <t/>
        </is>
      </c>
    </row>
    <row r="480">
      <c r="A480" t="inlineStr">
        <is>
          <t>49.9我微微心动，你说顺丰包邮我直接冲</t>
        </is>
      </c>
      <c r="B480" t="inlineStr">
        <is>
          <t>69311c76000000001e036021</t>
        </is>
      </c>
      <c r="C480" s="479" t="n">
        <f>HYPERLINK("https://www.xiaohongshu.com/explore/69311c76000000001e036021?xsec_token=TBE4JBHwTJxKVcqB99kbkXOHJ5namYD_XyUi-aVpw-TJ0=&amp;xsec_source=pc_trdark","https://www.xiaohongshu.com/explore/69311c76000000001e036021?xsec_token=TBE4JBHwTJxKVcqB99kbkXOHJ5namYD_XyUi-aVpw-TJ0=&amp;xsec_source=pc_trdark")</f>
        <v>0.0</v>
      </c>
      <c r="D480" t="inlineStr">
        <is>
          <t>婉婉上班吃什么</t>
        </is>
      </c>
      <c r="E480" t="inlineStr">
        <is>
          <t>11434449706</t>
        </is>
      </c>
      <c r="F480" t="inlineStr">
        <is>
          <t>2025-12-04 13:30:30</t>
        </is>
      </c>
      <c r="G480" t="inlineStr">
        <is>
          <t>视频</t>
        </is>
      </c>
      <c r="H480" t="inlineStr">
        <is>
          <t>生蚝乳山生蚝海蛎子顺丰包邮</t>
        </is>
      </c>
      <c r="I480" t="inlineStr">
        <is>
          <t>690c70971b787900010866cc</t>
        </is>
      </c>
      <c r="J480" t="n">
        <v>37.0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inlineStr">
        <is>
          <t/>
        </is>
      </c>
      <c r="R480" t="inlineStr">
        <is>
          <t/>
        </is>
      </c>
      <c r="S480" t="n">
        <v>0.0</v>
      </c>
      <c r="T480" t="n">
        <v>0.0</v>
      </c>
      <c r="U480" t="n">
        <v>0.0</v>
      </c>
      <c r="V480" t="n">
        <v>0.0</v>
      </c>
      <c r="W480" t="inlineStr">
        <is>
          <t/>
        </is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4.0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19.5</v>
      </c>
      <c r="AL480" t="inlineStr">
        <is>
          <t>0.16666666666666666</t>
        </is>
      </c>
    </row>
    <row r="481">
      <c r="A481" t="inlineStr">
        <is>
          <t>告别练后饿到暴食！健身女的蛋白补给已就位</t>
        </is>
      </c>
      <c r="B481" t="inlineStr">
        <is>
          <t>6923ca43000000001e030372</t>
        </is>
      </c>
      <c r="C481" s="480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481" t="inlineStr">
        <is>
          <t>鲜水湾</t>
        </is>
      </c>
      <c r="E481" t="inlineStr">
        <is>
          <t>49316638994</t>
        </is>
      </c>
      <c r="F481" t="inlineStr">
        <is>
          <t>2025-11-24 11:00:19</t>
        </is>
      </c>
      <c r="G481" t="inlineStr">
        <is>
          <t>图文</t>
        </is>
      </c>
      <c r="H481" t="inlineStr">
        <is>
          <t>大虾基围虾王牌大虾厄瓜多尔白虾盐冻虾仁海洋大虾送礼顺丰包邮</t>
        </is>
      </c>
      <c r="I481" t="inlineStr">
        <is>
          <t>690aeb7be379430001e686ac</t>
        </is>
      </c>
      <c r="J481" t="inlineStr">
        <is>
          <t/>
        </is>
      </c>
      <c r="K481" t="n">
        <v>0.0</v>
      </c>
      <c r="L481" t="n">
        <v>0.0</v>
      </c>
      <c r="M481" t="n">
        <v>1.0</v>
      </c>
      <c r="N481" t="n">
        <v>0.25</v>
      </c>
      <c r="O481" t="n">
        <v>1.0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inlineStr">
        <is>
          <t/>
        </is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4.0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8.25</v>
      </c>
      <c r="AL481" t="inlineStr">
        <is>
          <t/>
        </is>
      </c>
    </row>
    <row r="482">
      <c r="A482" t="inlineStr">
        <is>
          <t>我也不想买呀！可是69.9到手3斤大虾</t>
        </is>
      </c>
      <c r="B482" t="inlineStr">
        <is>
          <t>6922b439000000001f00ac21</t>
        </is>
      </c>
      <c r="C482" s="481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482" t="inlineStr">
        <is>
          <t>鲜水湾</t>
        </is>
      </c>
      <c r="E482" t="inlineStr">
        <is>
          <t>49316638994</t>
        </is>
      </c>
      <c r="F482" t="inlineStr">
        <is>
          <t>2025-11-23 15:14:01</t>
        </is>
      </c>
      <c r="G482" t="inlineStr">
        <is>
          <t>图文</t>
        </is>
      </c>
      <c r="H482" t="inlineStr">
        <is>
          <t>大虾基围虾王牌大虾厄瓜多尔白虾盐冻虾仁海洋大虾送礼顺丰包邮</t>
        </is>
      </c>
      <c r="I482" t="inlineStr">
        <is>
          <t>690aeb7be379430001e686ac</t>
        </is>
      </c>
      <c r="J482" t="inlineStr">
        <is>
          <t/>
        </is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inlineStr">
        <is>
          <t/>
        </is>
      </c>
      <c r="R482" t="inlineStr">
        <is>
          <t/>
        </is>
      </c>
      <c r="S482" t="n">
        <v>0.0</v>
      </c>
      <c r="T482" t="n">
        <v>0.0</v>
      </c>
      <c r="U482" t="n">
        <v>0.0</v>
      </c>
      <c r="V482" t="n">
        <v>0.0</v>
      </c>
      <c r="W482" t="inlineStr">
        <is>
          <t/>
        </is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4.0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11.0</v>
      </c>
      <c r="AL482" t="inlineStr">
        <is>
          <t/>
        </is>
      </c>
    </row>
    <row r="483">
      <c r="A483" t="inlineStr">
        <is>
          <t>跟风买的！50+一箱的生蚝是真的肥！</t>
        </is>
      </c>
      <c r="B483" t="inlineStr">
        <is>
          <t>69153e6b0000000005002992</t>
        </is>
      </c>
      <c r="C483" s="482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483" t="inlineStr">
        <is>
          <t>婉婉上班吃什么</t>
        </is>
      </c>
      <c r="E483" t="inlineStr">
        <is>
          <t>11434449706</t>
        </is>
      </c>
      <c r="F483" t="inlineStr">
        <is>
          <t>2025-11-13 10:11:56</t>
        </is>
      </c>
      <c r="G483" t="inlineStr">
        <is>
          <t>视频</t>
        </is>
      </c>
      <c r="H483" t="inlineStr">
        <is>
          <t>生蚝乳山生蚝海蛎子顺丰包邮</t>
        </is>
      </c>
      <c r="I483" t="inlineStr">
        <is>
          <t>690c70971b787900010866cc</t>
        </is>
      </c>
      <c r="J483" t="n">
        <v>29.0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inlineStr">
        <is>
          <t/>
        </is>
      </c>
      <c r="R483" t="inlineStr">
        <is>
          <t/>
        </is>
      </c>
      <c r="S483" t="n">
        <v>0.0</v>
      </c>
      <c r="T483" t="n">
        <v>0.0</v>
      </c>
      <c r="U483" t="n">
        <v>0.0</v>
      </c>
      <c r="V483" t="n">
        <v>0.0</v>
      </c>
      <c r="W483" t="inlineStr">
        <is>
          <t/>
        </is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4.0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13.5</v>
      </c>
      <c r="AL483" t="n">
        <v>0.2</v>
      </c>
    </row>
    <row r="484">
      <c r="A484" t="inlineStr">
        <is>
          <t>好吃我已经说累了，没看到就随缘吧！</t>
        </is>
      </c>
      <c r="B484" t="inlineStr">
        <is>
          <t>691417bd0000000005030f0d</t>
        </is>
      </c>
      <c r="C484" s="483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484" t="inlineStr">
        <is>
          <t>鲜水湾</t>
        </is>
      </c>
      <c r="E484" t="inlineStr">
        <is>
          <t>49316638994</t>
        </is>
      </c>
      <c r="F484" t="inlineStr">
        <is>
          <t>2025-11-12 13:14:37</t>
        </is>
      </c>
      <c r="G484" t="inlineStr">
        <is>
          <t>图文</t>
        </is>
      </c>
      <c r="H484" t="inlineStr">
        <is>
          <t>大虾基围虾王牌大虾厄瓜多尔白虾盐冻虾仁海洋大虾送礼顺丰包邮</t>
        </is>
      </c>
      <c r="I484" t="inlineStr">
        <is>
          <t>690aeb7be379430001e686ac</t>
        </is>
      </c>
      <c r="J484" t="inlineStr">
        <is>
          <t/>
        </is>
      </c>
      <c r="K484" t="n">
        <v>0.0</v>
      </c>
      <c r="L484" t="n">
        <v>0.0</v>
      </c>
      <c r="M484" t="n">
        <v>1.0</v>
      </c>
      <c r="N484" t="n">
        <v>0.25</v>
      </c>
      <c r="O484" t="n">
        <v>1.0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inlineStr">
        <is>
          <t/>
        </is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4.0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6.5</v>
      </c>
      <c r="AL484" t="inlineStr">
        <is>
          <t/>
        </is>
      </c>
    </row>
    <row r="485">
      <c r="A485" t="inlineStr">
        <is>
          <t>70块承包半月减酯晚餐，这虾比鸡胸肉还值！</t>
        </is>
      </c>
      <c r="B485" t="inlineStr">
        <is>
          <t>6912ace8000000000402b13c</t>
        </is>
      </c>
      <c r="C485" s="484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485" t="inlineStr">
        <is>
          <t>鲜水湾</t>
        </is>
      </c>
      <c r="E485" t="inlineStr">
        <is>
          <t>49316638994</t>
        </is>
      </c>
      <c r="F485" t="inlineStr">
        <is>
          <t>2025-11-11 11:26:32</t>
        </is>
      </c>
      <c r="G485" t="inlineStr">
        <is>
          <t>图文</t>
        </is>
      </c>
      <c r="H485" t="inlineStr">
        <is>
          <t>大虾基围虾王牌大虾厄瓜多尔白虾盐冻虾仁海洋大虾送礼顺丰包邮</t>
        </is>
      </c>
      <c r="I485" t="inlineStr">
        <is>
          <t>690aeb7be379430001e686ac</t>
        </is>
      </c>
      <c r="J485" t="inlineStr">
        <is>
          <t/>
        </is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inlineStr">
        <is>
          <t/>
        </is>
      </c>
      <c r="R485" t="inlineStr">
        <is>
          <t/>
        </is>
      </c>
      <c r="S485" t="n">
        <v>0.0</v>
      </c>
      <c r="T485" t="n">
        <v>0.0</v>
      </c>
      <c r="U485" t="n">
        <v>0.0</v>
      </c>
      <c r="V485" t="n">
        <v>0.0</v>
      </c>
      <c r="W485" t="inlineStr">
        <is>
          <t/>
        </is>
      </c>
      <c r="X485" t="n">
        <v>0.0</v>
      </c>
      <c r="Y485" t="n">
        <v>0.0</v>
      </c>
      <c r="Z485" t="n">
        <v>1.0</v>
      </c>
      <c r="AA485" t="n">
        <v>0.0</v>
      </c>
      <c r="AB485" t="n">
        <v>0.0</v>
      </c>
      <c r="AC485" t="n">
        <v>0.0</v>
      </c>
      <c r="AD485" t="n">
        <v>4.0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3.0</v>
      </c>
      <c r="AL485" t="inlineStr">
        <is>
          <t/>
        </is>
      </c>
    </row>
    <row r="486">
      <c r="A486" t="inlineStr">
        <is>
          <t>不啰嗦了！甜虾1r💰1⃣️只</t>
        </is>
      </c>
      <c r="B486" t="inlineStr">
        <is>
          <t>69a10854000000002303bbc7</t>
        </is>
      </c>
      <c r="C486" s="485" t="n">
        <f>HYPERLINK("https://www.xiaohongshu.com/explore/69a10854000000002303bbc7?xsec_token=TBk7Tu9foWGIsieMmGc2tlwleui2vJF9EQ7jZ211k4Aug=&amp;xsec_source=pc_trdark","https://www.xiaohongshu.com/explore/69a10854000000002303bbc7?xsec_token=TBk7Tu9foWGIsieMmGc2tlwleui2vJF9EQ7jZ211k4Aug=&amp;xsec_source=pc_trdark")</f>
        <v>0.0</v>
      </c>
      <c r="D486" t="inlineStr">
        <is>
          <t>鲜水湾甄选</t>
        </is>
      </c>
      <c r="E486" t="inlineStr">
        <is>
          <t>27401929161</t>
        </is>
      </c>
      <c r="F486" t="inlineStr">
        <is>
          <t>2026-02-27 10:58:28</t>
        </is>
      </c>
      <c r="G486" t="inlineStr">
        <is>
          <t>图文</t>
        </is>
      </c>
      <c r="H486" t="inlineStr">
        <is>
          <t>北极甜虾头籽甜虾元宝虾北极熊冰虾孕妈妈宝宝辅食顺丰</t>
        </is>
      </c>
      <c r="I486" t="inlineStr">
        <is>
          <t>6953717eb8f0bb000115158d</t>
        </is>
      </c>
      <c r="J486" t="inlineStr">
        <is>
          <t/>
        </is>
      </c>
      <c r="K486" t="n">
        <v>0.0</v>
      </c>
      <c r="L486" t="n">
        <v>0.0</v>
      </c>
      <c r="M486" t="n">
        <v>1.0</v>
      </c>
      <c r="N486" t="n">
        <v>0.3333333333333333</v>
      </c>
      <c r="O486" t="n">
        <v>1.0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inlineStr">
        <is>
          <t/>
        </is>
      </c>
      <c r="X486" t="n">
        <v>0.0</v>
      </c>
      <c r="Y486" t="n">
        <v>1.0</v>
      </c>
      <c r="Z486" t="n">
        <v>0.0</v>
      </c>
      <c r="AA486" t="n">
        <v>0.0</v>
      </c>
      <c r="AB486" t="n">
        <v>0.0</v>
      </c>
      <c r="AC486" t="n">
        <v>0.0</v>
      </c>
      <c r="AD486" t="n">
        <v>3.0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2.6666666666666665</v>
      </c>
      <c r="AL486" t="inlineStr">
        <is>
          <t/>
        </is>
      </c>
    </row>
    <row r="487">
      <c r="A487" t="inlineStr">
        <is>
          <t>鲜香甜糯，给甜虾脑袋哄成翘嘴了</t>
        </is>
      </c>
      <c r="B487" t="inlineStr">
        <is>
          <t>69a01b0d000000002203acff</t>
        </is>
      </c>
      <c r="C487" s="486" t="n">
        <f>HYPERLINK("https://www.xiaohongshu.com/explore/69a01b0d000000002203acff?xsec_token=TBGIgfrKGy2wDtxaQW-J26GTgrb6njNHpEsyJo_2qYJPQ=&amp;xsec_source=pc_trdark","https://www.xiaohongshu.com/explore/69a01b0d000000002203acff?xsec_token=TBGIgfrKGy2wDtxaQW-J26GTgrb6njNHpEsyJo_2qYJPQ=&amp;xsec_source=pc_trdark")</f>
        <v>0.0</v>
      </c>
      <c r="D487" t="inlineStr">
        <is>
          <t>鲜水湾甄选</t>
        </is>
      </c>
      <c r="E487" t="inlineStr">
        <is>
          <t>27401929161</t>
        </is>
      </c>
      <c r="F487" t="inlineStr">
        <is>
          <t>2026-02-26 18:06:05</t>
        </is>
      </c>
      <c r="G487" t="inlineStr">
        <is>
          <t>图文</t>
        </is>
      </c>
      <c r="H487" t="inlineStr">
        <is>
          <t>北极甜虾头籽甜虾元宝虾北极熊冰虾孕妈妈宝宝辅食顺丰</t>
        </is>
      </c>
      <c r="I487" t="inlineStr">
        <is>
          <t>6953717eb8f0bb000115158d</t>
        </is>
      </c>
      <c r="J487" t="inlineStr">
        <is>
          <t/>
        </is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inlineStr">
        <is>
          <t/>
        </is>
      </c>
      <c r="R487" t="inlineStr">
        <is>
          <t/>
        </is>
      </c>
      <c r="S487" t="n">
        <v>0.0</v>
      </c>
      <c r="T487" t="n">
        <v>0.0</v>
      </c>
      <c r="U487" t="n">
        <v>0.0</v>
      </c>
      <c r="V487" t="n">
        <v>0.0</v>
      </c>
      <c r="W487" t="inlineStr">
        <is>
          <t/>
        </is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3.0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4.0</v>
      </c>
      <c r="AL487" t="inlineStr">
        <is>
          <t/>
        </is>
      </c>
    </row>
    <row r="488">
      <c r="A488" t="inlineStr">
        <is>
          <t>老吃家才懂得快乐！寿司甜虾太好吃啦</t>
        </is>
      </c>
      <c r="B488" t="inlineStr">
        <is>
          <t>699fd8ca000000002303929a</t>
        </is>
      </c>
      <c r="C488" s="487" t="n">
        <f>HYPERLINK("https://www.xiaohongshu.com/explore/699fd8ca000000002303929a?xsec_token=TBmPrNsEp7sytnt8BzCMtNTZj2EATODNkWEDVdNJV_P3A=&amp;xsec_source=pc_trdark","https://www.xiaohongshu.com/explore/699fd8ca000000002303929a?xsec_token=TBmPrNsEp7sytnt8BzCMtNTZj2EATODNkWEDVdNJV_P3A=&amp;xsec_source=pc_trdark")</f>
        <v>0.0</v>
      </c>
      <c r="D488" t="inlineStr">
        <is>
          <t>鲜水湾甄选</t>
        </is>
      </c>
      <c r="E488" t="inlineStr">
        <is>
          <t>27401929161</t>
        </is>
      </c>
      <c r="F488" t="inlineStr">
        <is>
          <t>2026-02-26 13:23:22</t>
        </is>
      </c>
      <c r="G488" t="inlineStr">
        <is>
          <t>图文</t>
        </is>
      </c>
      <c r="H488" t="inlineStr">
        <is>
          <t>北极甜虾头籽甜虾元宝虾北极熊冰虾孕妈妈宝宝辅食顺丰</t>
        </is>
      </c>
      <c r="I488" t="inlineStr">
        <is>
          <t>6953717eb8f0bb000115158d</t>
        </is>
      </c>
      <c r="J488" t="inlineStr">
        <is>
          <t/>
        </is>
      </c>
      <c r="K488" t="n">
        <v>0.0</v>
      </c>
      <c r="L488" t="n">
        <v>0.0</v>
      </c>
      <c r="M488" t="n">
        <v>1.0</v>
      </c>
      <c r="N488" t="n">
        <v>0.3333333333333333</v>
      </c>
      <c r="O488" t="n">
        <v>1.0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inlineStr">
        <is>
          <t/>
        </is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3.0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4.0</v>
      </c>
      <c r="AL488" t="inlineStr">
        <is>
          <t/>
        </is>
      </c>
    </row>
    <row r="489">
      <c r="A489" t="inlineStr">
        <is>
          <t>控体期提前结束！大功臣是海捕大虾！🎉</t>
        </is>
      </c>
      <c r="B489" t="inlineStr">
        <is>
          <t>699fb39f0000000028020ca2</t>
        </is>
      </c>
      <c r="C489" s="488" t="n">
        <f>HYPERLINK("https://www.xiaohongshu.com/explore/699fb39f0000000028020ca2?xsec_token=TBmPrNsEp7sytnt8BzCMtNTSep4pxexPclThTgCS17reI=&amp;xsec_source=pc_trdark","https://www.xiaohongshu.com/explore/699fb39f0000000028020ca2?xsec_token=TBmPrNsEp7sytnt8BzCMtNTSep4pxexPclThTgCS17reI=&amp;xsec_source=pc_trdark")</f>
        <v>0.0</v>
      </c>
      <c r="D489" t="inlineStr">
        <is>
          <t>鲜水湾</t>
        </is>
      </c>
      <c r="E489" t="inlineStr">
        <is>
          <t>49316638994</t>
        </is>
      </c>
      <c r="F489" t="inlineStr">
        <is>
          <t>2026-02-26 10:44:47</t>
        </is>
      </c>
      <c r="G489" t="inlineStr">
        <is>
          <t>图文</t>
        </is>
      </c>
      <c r="H489" t="inlineStr">
        <is>
          <t>大虾基围虾王牌大虾厄瓜多尔白虾盐冻虾仁海洋大虾送礼顺丰包邮</t>
        </is>
      </c>
      <c r="I489" t="inlineStr">
        <is>
          <t>690aeb7be379430001e686ac</t>
        </is>
      </c>
      <c r="J489" t="inlineStr">
        <is>
          <t/>
        </is>
      </c>
      <c r="K489" t="n">
        <v>79.0</v>
      </c>
      <c r="L489" t="n">
        <v>1.0</v>
      </c>
      <c r="M489" t="n">
        <v>0.0</v>
      </c>
      <c r="N489" t="n">
        <v>0.0</v>
      </c>
      <c r="O489" t="n">
        <v>0.0</v>
      </c>
      <c r="P489" t="n">
        <v>1.0</v>
      </c>
      <c r="Q489" t="inlineStr">
        <is>
          <t/>
        </is>
      </c>
      <c r="R489" t="inlineStr">
        <is>
          <t/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3.0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2.0</v>
      </c>
      <c r="AL489" t="inlineStr">
        <is>
          <t/>
        </is>
      </c>
    </row>
    <row r="490">
      <c r="A490" t="inlineStr">
        <is>
          <t>管理期快乐主食，热量比鸡胸肉还低！！</t>
        </is>
      </c>
      <c r="B490" t="inlineStr">
        <is>
          <t>699fa53f000000000e00c7f9</t>
        </is>
      </c>
      <c r="C490" s="489" t="n">
        <f>HYPERLINK("https://www.xiaohongshu.com/explore/699fa53f000000000e00c7f9?xsec_token=TBmPrNsEp7sytnt8BzCMtNTYR-3h72DyI7DMt9dUng1xU=&amp;xsec_source=pc_trdark","https://www.xiaohongshu.com/explore/699fa53f000000000e00c7f9?xsec_token=TBmPrNsEp7sytnt8BzCMtNTYR-3h72DyI7DMt9dUng1xU=&amp;xsec_source=pc_trdark")</f>
        <v>0.0</v>
      </c>
      <c r="D490" t="inlineStr">
        <is>
          <t>鲜水湾</t>
        </is>
      </c>
      <c r="E490" t="inlineStr">
        <is>
          <t>49316638994</t>
        </is>
      </c>
      <c r="F490" t="inlineStr">
        <is>
          <t>2026-02-26 09:43:27</t>
        </is>
      </c>
      <c r="G490" t="inlineStr">
        <is>
          <t>图文</t>
        </is>
      </c>
      <c r="H490" t="inlineStr">
        <is>
          <t>大虾基围虾王牌大虾厄瓜多尔白虾盐冻虾仁海洋大虾送礼顺丰包邮</t>
        </is>
      </c>
      <c r="I490" t="inlineStr">
        <is>
          <t>690aeb7be379430001e686ac</t>
        </is>
      </c>
      <c r="J490" t="inlineStr">
        <is>
          <t/>
        </is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inlineStr">
        <is>
          <t/>
        </is>
      </c>
      <c r="R490" t="inlineStr">
        <is>
          <t/>
        </is>
      </c>
      <c r="S490" t="n">
        <v>0.0</v>
      </c>
      <c r="T490" t="n">
        <v>0.0</v>
      </c>
      <c r="U490" t="n">
        <v>0.0</v>
      </c>
      <c r="V490" t="n">
        <v>0.0</v>
      </c>
      <c r="W490" t="inlineStr">
        <is>
          <t/>
        </is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3.0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9.333333333333334</v>
      </c>
      <c r="AL490" t="inlineStr">
        <is>
          <t/>
        </is>
      </c>
    </row>
    <row r="491">
      <c r="A491" t="inlineStr">
        <is>
          <t>年前买北极甜虾的！年后都来回购了🤤</t>
        </is>
      </c>
      <c r="B491" t="inlineStr">
        <is>
          <t>699d4f80000000000b0134d4</t>
        </is>
      </c>
      <c r="C491" s="490" t="n">
        <f>HYPERLINK("https://www.xiaohongshu.com/explore/699d4f80000000000b0134d4?xsec_token=TBeFZqWudA4ECFcaumXjqu0Il1B7A1a0D94UGunWJ0iX8=&amp;xsec_source=pc_trdark","https://www.xiaohongshu.com/explore/699d4f80000000000b0134d4?xsec_token=TBeFZqWudA4ECFcaumXjqu0Il1B7A1a0D94UGunWJ0iX8=&amp;xsec_source=pc_trdark")</f>
        <v>0.0</v>
      </c>
      <c r="D491" t="inlineStr">
        <is>
          <t>鲜水湾甄选</t>
        </is>
      </c>
      <c r="E491" t="inlineStr">
        <is>
          <t>27401929161</t>
        </is>
      </c>
      <c r="F491" t="inlineStr">
        <is>
          <t>2026-02-24 15:13:04</t>
        </is>
      </c>
      <c r="G491" t="inlineStr">
        <is>
          <t>图文</t>
        </is>
      </c>
      <c r="H491" t="inlineStr">
        <is>
          <t>北极甜虾头籽甜虾元宝虾北极熊冰虾孕妈妈宝宝辅食顺丰</t>
        </is>
      </c>
      <c r="I491" t="inlineStr">
        <is>
          <t>6953717eb8f0bb000115158d</t>
        </is>
      </c>
      <c r="J491" t="inlineStr">
        <is>
          <t/>
        </is>
      </c>
      <c r="K491" t="n">
        <v>0.0</v>
      </c>
      <c r="L491" t="n">
        <v>0.0</v>
      </c>
      <c r="M491" t="n">
        <v>1.0</v>
      </c>
      <c r="N491" t="n">
        <v>0.3333333333333333</v>
      </c>
      <c r="O491" t="n">
        <v>1.0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inlineStr">
        <is>
          <t/>
        </is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3.0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8.666666666666666</v>
      </c>
      <c r="AL491" t="inlineStr">
        <is>
          <t/>
        </is>
      </c>
    </row>
    <row r="492">
      <c r="A492" t="inlineStr">
        <is>
          <t>刚刚300块，承包了我一个月的减脂餐</t>
        </is>
      </c>
      <c r="B492" t="inlineStr">
        <is>
          <t>6986e48e000000001a0353d7</t>
        </is>
      </c>
      <c r="C492" s="491" t="n">
        <f>HYPERLINK("https://www.xiaohongshu.com/explore/6986e48e000000001a0353d7?xsec_token=TB-LsRJw2UEyjZbU1RZqmjvhWTsaNSbTkIwPYsJhZg3xc=&amp;xsec_source=pc_trdark","https://www.xiaohongshu.com/explore/6986e48e000000001a0353d7?xsec_token=TB-LsRJw2UEyjZbU1RZqmjvhWTsaNSbTkIwPYsJhZg3xc=&amp;xsec_source=pc_trdark")</f>
        <v>0.0</v>
      </c>
      <c r="D492" t="inlineStr">
        <is>
          <t>鲜水湾</t>
        </is>
      </c>
      <c r="E492" t="inlineStr">
        <is>
          <t>49316638994</t>
        </is>
      </c>
      <c r="F492" t="inlineStr">
        <is>
          <t>2026-02-07 15:06:54</t>
        </is>
      </c>
      <c r="G492" t="inlineStr">
        <is>
          <t>图文</t>
        </is>
      </c>
      <c r="H492" t="inlineStr">
        <is>
          <t>智利三文鱼切块·整条三文鱼·深海鱼一人食健康饮食</t>
        </is>
      </c>
      <c r="I492" t="inlineStr">
        <is>
          <t>691ac562a524ee0001b51d7b</t>
        </is>
      </c>
      <c r="J492" t="inlineStr">
        <is>
          <t/>
        </is>
      </c>
      <c r="K492" t="n">
        <v>0.0</v>
      </c>
      <c r="L492" t="n">
        <v>0.0</v>
      </c>
      <c r="M492" t="n">
        <v>1.0</v>
      </c>
      <c r="N492" t="n">
        <v>0.3333333333333333</v>
      </c>
      <c r="O492" t="n">
        <v>1.0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inlineStr">
        <is>
          <t/>
        </is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3.0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44.333333333333336</v>
      </c>
      <c r="AL492" t="inlineStr">
        <is>
          <t/>
        </is>
      </c>
    </row>
    <row r="493">
      <c r="A493" t="inlineStr">
        <is>
          <t>新年送礼被问爆！整条三文鱼礼盒太有面了</t>
        </is>
      </c>
      <c r="B493" t="inlineStr">
        <is>
          <t>698197600000000028021a81</t>
        </is>
      </c>
      <c r="C493" s="492" t="n">
        <f>HYPERLINK("https://www.xiaohongshu.com/explore/698197600000000028021a81?xsec_token=TBCSP6T6xotiZWoIZvuSKQiBW6fQAyJUVJP04K6Tt2nJw=&amp;xsec_source=pc_trdark","https://www.xiaohongshu.com/explore/698197600000000028021a81?xsec_token=TBCSP6T6xotiZWoIZvuSKQiBW6fQAyJUVJP04K6Tt2nJw=&amp;xsec_source=pc_trdark")</f>
        <v>0.0</v>
      </c>
      <c r="D493" t="inlineStr">
        <is>
          <t>鲜水湾</t>
        </is>
      </c>
      <c r="E493" t="inlineStr">
        <is>
          <t>49316638994</t>
        </is>
      </c>
      <c r="F493" t="inlineStr">
        <is>
          <t>2026-02-03 14:36:16</t>
        </is>
      </c>
      <c r="G493" t="inlineStr">
        <is>
          <t>图文</t>
        </is>
      </c>
      <c r="H493" t="inlineStr">
        <is>
          <t>智利三文鱼切块·整条三文鱼·深海鱼一人食健康饮食</t>
        </is>
      </c>
      <c r="I493" t="inlineStr">
        <is>
          <t>691ac562a524ee0001b51d7b</t>
        </is>
      </c>
      <c r="J493" t="inlineStr">
        <is>
          <t/>
        </is>
      </c>
      <c r="K493" t="n">
        <v>0.0</v>
      </c>
      <c r="L493" t="n">
        <v>0.0</v>
      </c>
      <c r="M493" t="n">
        <v>2.0</v>
      </c>
      <c r="N493" t="n">
        <v>0.6666666666666666</v>
      </c>
      <c r="O493" t="n">
        <v>1.0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inlineStr">
        <is>
          <t/>
        </is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3.0</v>
      </c>
      <c r="AE493" t="n">
        <v>0.0</v>
      </c>
      <c r="AF493" t="n">
        <v>0.0</v>
      </c>
      <c r="AG493" t="n">
        <v>0.0</v>
      </c>
      <c r="AH493" t="n">
        <v>0.0</v>
      </c>
      <c r="AI493" t="n">
        <v>1.0</v>
      </c>
      <c r="AJ493" t="n">
        <v>0.0</v>
      </c>
      <c r="AK493" t="n">
        <v>7.0</v>
      </c>
      <c r="AL493" t="inlineStr">
        <is>
          <t/>
        </is>
      </c>
    </row>
    <row r="494">
      <c r="A494" t="inlineStr">
        <is>
          <t>100+可以买到这种品质的北极甜虾吗</t>
        </is>
      </c>
      <c r="B494" t="inlineStr">
        <is>
          <t>69806aed000000000a0282c5</t>
        </is>
      </c>
      <c r="C494" s="493" t="n">
        <f>HYPERLINK("https://www.xiaohongshu.com/explore/69806aed000000000a0282c5?xsec_token=TBZp4EcwSVhJKyeKQt7CpumcXCYw8KbWaMlDMf-Q22wcY=&amp;xsec_source=pc_trdark","https://www.xiaohongshu.com/explore/69806aed000000000a0282c5?xsec_token=TBZp4EcwSVhJKyeKQt7CpumcXCYw8KbWaMlDMf-Q22wcY=&amp;xsec_source=pc_trdark")</f>
        <v>0.0</v>
      </c>
      <c r="D494" t="inlineStr">
        <is>
          <t>鲜水湾甄选</t>
        </is>
      </c>
      <c r="E494" t="inlineStr">
        <is>
          <t>27401929161</t>
        </is>
      </c>
      <c r="F494" t="inlineStr">
        <is>
          <t>2026-02-02 17:14:21</t>
        </is>
      </c>
      <c r="G494" t="inlineStr">
        <is>
          <t>视频</t>
        </is>
      </c>
      <c r="H494" t="inlineStr">
        <is>
          <t>北极甜虾头籽甜虾元宝虾北极熊冰虾孕妈妈宝宝辅食顺丰</t>
        </is>
      </c>
      <c r="I494" t="inlineStr">
        <is>
          <t>6953717eb8f0bb000115158d</t>
        </is>
      </c>
      <c r="J494" t="n">
        <v>41.0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inlineStr">
        <is>
          <t/>
        </is>
      </c>
      <c r="R494" t="inlineStr">
        <is>
          <t/>
        </is>
      </c>
      <c r="S494" t="n">
        <v>0.0</v>
      </c>
      <c r="T494" t="n">
        <v>0.0</v>
      </c>
      <c r="U494" t="n">
        <v>0.0</v>
      </c>
      <c r="V494" t="n">
        <v>0.0</v>
      </c>
      <c r="W494" t="inlineStr">
        <is>
          <t/>
        </is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3.0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25.0</v>
      </c>
      <c r="AL494" t="n">
        <v>0.0</v>
      </c>
    </row>
    <row r="495">
      <c r="A495" t="inlineStr">
        <is>
          <t>一代人有一代人的年货要买！</t>
        </is>
      </c>
      <c r="B495" t="inlineStr">
        <is>
          <t>697a0a1d000000000b00a2b0</t>
        </is>
      </c>
      <c r="C495" s="494" t="n">
        <f>HYPERLINK("https://www.xiaohongshu.com/explore/697a0a1d000000000b00a2b0?xsec_token=TB2dScbVxeUy83D31__wCwwwhDIrhPy6wRpuOWBkn90P4=&amp;xsec_source=pc_trdark","https://www.xiaohongshu.com/explore/697a0a1d000000000b00a2b0?xsec_token=TB2dScbVxeUy83D31__wCwwwhDIrhPy6wRpuOWBkn90P4=&amp;xsec_source=pc_trdark")</f>
        <v>0.0</v>
      </c>
      <c r="D495" t="inlineStr">
        <is>
          <t>鲜水湾甄选</t>
        </is>
      </c>
      <c r="E495" t="inlineStr">
        <is>
          <t>27401929161</t>
        </is>
      </c>
      <c r="F495" t="inlineStr">
        <is>
          <t>2026-01-28 21:07:41</t>
        </is>
      </c>
      <c r="G495" t="inlineStr">
        <is>
          <t>图文</t>
        </is>
      </c>
      <c r="H495" t="inlineStr">
        <is>
          <t>北极甜虾头籽甜虾元宝虾北极熊冰虾孕妈妈宝宝辅食顺丰</t>
        </is>
      </c>
      <c r="I495" t="inlineStr">
        <is>
          <t>6953717eb8f0bb000115158d</t>
        </is>
      </c>
      <c r="J495" t="inlineStr">
        <is>
          <t/>
        </is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inlineStr">
        <is>
          <t/>
        </is>
      </c>
      <c r="R495" t="inlineStr">
        <is>
          <t/>
        </is>
      </c>
      <c r="S495" t="n">
        <v>0.0</v>
      </c>
      <c r="T495" t="n">
        <v>0.0</v>
      </c>
      <c r="U495" t="n">
        <v>0.0</v>
      </c>
      <c r="V495" t="n">
        <v>0.0</v>
      </c>
      <c r="W495" t="inlineStr">
        <is>
          <t/>
        </is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3.0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4.666666666666667</v>
      </c>
      <c r="AL495" t="inlineStr">
        <is>
          <t/>
        </is>
      </c>
    </row>
    <row r="496">
      <c r="A496" t="inlineStr">
        <is>
          <t>马上过年了，都来囤我家大虾了</t>
        </is>
      </c>
      <c r="B496" t="inlineStr">
        <is>
          <t>69783035000000000e03e32f</t>
        </is>
      </c>
      <c r="C496" s="495" t="n">
        <f>HYPERLINK("https://www.xiaohongshu.com/explore/69783035000000000e03e32f?xsec_token=TB4uixe4FoDg0vEpIlbspmiqO8CmvC1qYIzvuKZenPR1Q=&amp;xsec_source=pc_trdark","https://www.xiaohongshu.com/explore/69783035000000000e03e32f?xsec_token=TB4uixe4FoDg0vEpIlbspmiqO8CmvC1qYIzvuKZenPR1Q=&amp;xsec_source=pc_trdark")</f>
        <v>0.0</v>
      </c>
      <c r="D496" t="inlineStr">
        <is>
          <t>鲜水湾</t>
        </is>
      </c>
      <c r="E496" t="inlineStr">
        <is>
          <t>49316638994</t>
        </is>
      </c>
      <c r="F496" t="inlineStr">
        <is>
          <t>2026-01-27 11:25:41</t>
        </is>
      </c>
      <c r="G496" t="inlineStr">
        <is>
          <t>图文</t>
        </is>
      </c>
      <c r="H496" t="inlineStr">
        <is>
          <t>王牌大虾鲜冻大虾厄瓜多尔白虾盐冻大虾年货过年送礼顺丰包邮</t>
        </is>
      </c>
      <c r="I496" t="inlineStr">
        <is>
          <t>69782738eb0d9a0001cd8a32</t>
        </is>
      </c>
      <c r="J496" t="inlineStr">
        <is>
          <t/>
        </is>
      </c>
      <c r="K496" t="n">
        <v>0.0</v>
      </c>
      <c r="L496" t="n">
        <v>0.0</v>
      </c>
      <c r="M496" t="n">
        <v>2.0</v>
      </c>
      <c r="N496" t="n">
        <v>0.6666666666666666</v>
      </c>
      <c r="O496" t="n">
        <v>1.0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inlineStr">
        <is>
          <t/>
        </is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3.0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19.333333333333332</v>
      </c>
      <c r="AL496" t="inlineStr">
        <is>
          <t/>
        </is>
      </c>
    </row>
    <row r="497">
      <c r="A497" t="inlineStr">
        <is>
          <t>我妈让我赶紧宣传一下40多一箱了‼️包活包肥</t>
        </is>
      </c>
      <c r="B497" t="inlineStr">
        <is>
          <t>697391e8000000001a024cb4</t>
        </is>
      </c>
      <c r="C497" s="496" t="n">
        <f>HYPERLINK("https://www.xiaohongshu.com/explore/697391e8000000001a024cb4?xsec_token=TBK07qywxRjCZuuyJUweFeX78HomRTj3dyX-Jx-RO2FF0=&amp;xsec_source=pc_trdark","https://www.xiaohongshu.com/explore/697391e8000000001a024cb4?xsec_token=TBK07qywxRjCZuuyJUweFeX78HomRTj3dyX-Jx-RO2FF0=&amp;xsec_source=pc_trdark")</f>
        <v>0.0</v>
      </c>
      <c r="D497" t="inlineStr">
        <is>
          <t>鲜水湾</t>
        </is>
      </c>
      <c r="E497" t="inlineStr">
        <is>
          <t>49316638994</t>
        </is>
      </c>
      <c r="F497" t="inlineStr">
        <is>
          <t>2026-01-23 23:21:12</t>
        </is>
      </c>
      <c r="G497" t="inlineStr">
        <is>
          <t>图文</t>
        </is>
      </c>
      <c r="H497" t="inlineStr">
        <is>
          <t>生蚝乳山生蚝海蛎子顺丰包邮</t>
        </is>
      </c>
      <c r="I497" t="inlineStr">
        <is>
          <t>690c70971b787900010866cc</t>
        </is>
      </c>
      <c r="J497" t="inlineStr">
        <is>
          <t/>
        </is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inlineStr">
        <is>
          <t/>
        </is>
      </c>
      <c r="R497" t="inlineStr">
        <is>
          <t/>
        </is>
      </c>
      <c r="S497" t="n">
        <v>0.0</v>
      </c>
      <c r="T497" t="n">
        <v>0.0</v>
      </c>
      <c r="U497" t="n">
        <v>0.0</v>
      </c>
      <c r="V497" t="n">
        <v>0.0</v>
      </c>
      <c r="W497" t="inlineStr">
        <is>
          <t/>
        </is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3.0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8.333333333333334</v>
      </c>
      <c r="AL497" t="inlineStr">
        <is>
          <t/>
        </is>
      </c>
    </row>
    <row r="498">
      <c r="A498" t="inlineStr">
        <is>
          <t>大虾脑袋碰到，回购已成定局</t>
        </is>
      </c>
      <c r="B498" t="inlineStr">
        <is>
          <t>6944bc2b000000001e03b50a</t>
        </is>
      </c>
      <c r="C498" s="497" t="n">
        <f>HYPERLINK("https://www.xiaohongshu.com/explore/6944bc2b000000001e03b50a?xsec_token=TBEei_gEGYdPM_jdeWI2PhOSmczcWrE11ULxlwH7TajNA=&amp;xsec_source=pc_trdark","https://www.xiaohongshu.com/explore/6944bc2b000000001e03b50a?xsec_token=TBEei_gEGYdPM_jdeWI2PhOSmczcWrE11ULxlwH7TajNA=&amp;xsec_source=pc_trdark")</f>
        <v>0.0</v>
      </c>
      <c r="D498" t="inlineStr">
        <is>
          <t>鲜水湾</t>
        </is>
      </c>
      <c r="E498" t="inlineStr">
        <is>
          <t>49316638994</t>
        </is>
      </c>
      <c r="F498" t="inlineStr">
        <is>
          <t>2025-12-19 10:44:59</t>
        </is>
      </c>
      <c r="G498" t="inlineStr">
        <is>
          <t>图文</t>
        </is>
      </c>
      <c r="H498" t="inlineStr">
        <is>
          <t>大虾基围虾王牌大虾厄瓜多尔白虾盐冻虾仁海洋大虾送礼顺丰包邮</t>
        </is>
      </c>
      <c r="I498" t="inlineStr">
        <is>
          <t>690aeb7be379430001e686ac</t>
        </is>
      </c>
      <c r="J498" t="inlineStr">
        <is>
          <t/>
        </is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inlineStr">
        <is>
          <t/>
        </is>
      </c>
      <c r="R498" t="inlineStr">
        <is>
          <t/>
        </is>
      </c>
      <c r="S498" t="n">
        <v>0.0</v>
      </c>
      <c r="T498" t="n">
        <v>0.0</v>
      </c>
      <c r="U498" t="n">
        <v>0.0</v>
      </c>
      <c r="V498" t="n">
        <v>0.0</v>
      </c>
      <c r="W498" t="inlineStr">
        <is>
          <t/>
        </is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3.0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2.0</v>
      </c>
      <c r="AL498" t="inlineStr">
        <is>
          <t/>
        </is>
      </c>
    </row>
    <row r="499">
      <c r="A499" t="inlineStr">
        <is>
          <t>我爸说便宜卖吧，反正就这一季 59.9五斤</t>
        </is>
      </c>
      <c r="B499" t="inlineStr">
        <is>
          <t>691ebdcb000000001e002b14</t>
        </is>
      </c>
      <c r="C499" s="498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499" t="inlineStr">
        <is>
          <t>婉婉上班吃什么</t>
        </is>
      </c>
      <c r="E499" t="inlineStr">
        <is>
          <t>11434449706</t>
        </is>
      </c>
      <c r="F499" t="inlineStr">
        <is>
          <t>2025-11-20 15:05:47</t>
        </is>
      </c>
      <c r="G499" t="inlineStr">
        <is>
          <t>视频</t>
        </is>
      </c>
      <c r="H499" t="inlineStr">
        <is>
          <t>生蚝乳山生蚝海蛎子顺丰包邮</t>
        </is>
      </c>
      <c r="I499" t="inlineStr">
        <is>
          <t>690c70971b787900010866cc</t>
        </is>
      </c>
      <c r="J499" t="n">
        <v>30.0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inlineStr">
        <is>
          <t/>
        </is>
      </c>
      <c r="R499" t="inlineStr">
        <is>
          <t/>
        </is>
      </c>
      <c r="S499" t="n">
        <v>0.0</v>
      </c>
      <c r="T499" t="n">
        <v>0.0</v>
      </c>
      <c r="U499" t="n">
        <v>0.0</v>
      </c>
      <c r="V499" t="n">
        <v>0.0</v>
      </c>
      <c r="W499" t="inlineStr">
        <is>
          <t/>
        </is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3.0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4.666666666666667</v>
      </c>
      <c r="AL499" t="n">
        <v>0.0</v>
      </c>
    </row>
    <row r="500">
      <c r="A500" t="inlineStr">
        <is>
          <t>没招了，我爸让我在网上卖生蚝，谁买啊🥲</t>
        </is>
      </c>
      <c r="B500" t="inlineStr">
        <is>
          <t>691c462f000000001e007a24</t>
        </is>
      </c>
      <c r="C500" s="499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500" t="inlineStr">
        <is>
          <t>婉婉上班吃什么</t>
        </is>
      </c>
      <c r="E500" t="inlineStr">
        <is>
          <t>11434449706</t>
        </is>
      </c>
      <c r="F500" t="inlineStr">
        <is>
          <t>2025-11-18 19:10:50</t>
        </is>
      </c>
      <c r="G500" t="inlineStr">
        <is>
          <t>视频</t>
        </is>
      </c>
      <c r="H500" t="inlineStr">
        <is>
          <t>生蚝乳山生蚝海蛎子顺丰包邮</t>
        </is>
      </c>
      <c r="I500" t="inlineStr">
        <is>
          <t>690c70971b787900010866cc</t>
        </is>
      </c>
      <c r="J500" t="n">
        <v>28.0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inlineStr">
        <is>
          <t/>
        </is>
      </c>
      <c r="R500" t="inlineStr">
        <is>
          <t/>
        </is>
      </c>
      <c r="S500" t="n">
        <v>0.0</v>
      </c>
      <c r="T500" t="n">
        <v>0.0</v>
      </c>
      <c r="U500" t="n">
        <v>0.0</v>
      </c>
      <c r="V500" t="n">
        <v>0.0</v>
      </c>
      <c r="W500" t="inlineStr">
        <is>
          <t/>
        </is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3.0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2.0</v>
      </c>
      <c r="AL500" t="n">
        <v>0.0</v>
      </c>
    </row>
    <row r="501">
      <c r="A501" t="inlineStr">
        <is>
          <t>破案了！！！怪不得身材瘦的女生都喜欢吃虾</t>
        </is>
      </c>
      <c r="B501" t="inlineStr">
        <is>
          <t>6913fbb10000000005010120</t>
        </is>
      </c>
      <c r="C501" s="500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501" t="inlineStr">
        <is>
          <t>鲜水湾</t>
        </is>
      </c>
      <c r="E501" t="inlineStr">
        <is>
          <t>49316638994</t>
        </is>
      </c>
      <c r="F501" t="inlineStr">
        <is>
          <t>2025-11-12 11:14:57</t>
        </is>
      </c>
      <c r="G501" t="inlineStr">
        <is>
          <t>图文</t>
        </is>
      </c>
      <c r="H501" t="inlineStr">
        <is>
          <t>大虾基围虾王牌大虾厄瓜多尔白虾盐冻虾仁海洋大虾送礼顺丰包邮</t>
        </is>
      </c>
      <c r="I501" t="inlineStr">
        <is>
          <t>690aeb7be379430001e686ac</t>
        </is>
      </c>
      <c r="J501" t="inlineStr">
        <is>
          <t/>
        </is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inlineStr">
        <is>
          <t/>
        </is>
      </c>
      <c r="R501" t="inlineStr">
        <is>
          <t/>
        </is>
      </c>
      <c r="S501" t="n">
        <v>0.0</v>
      </c>
      <c r="T501" t="n">
        <v>0.0</v>
      </c>
      <c r="U501" t="n">
        <v>0.0</v>
      </c>
      <c r="V501" t="n">
        <v>0.0</v>
      </c>
      <c r="W501" t="inlineStr">
        <is>
          <t/>
        </is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3.0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13.333333333333334</v>
      </c>
      <c r="AL501" t="inlineStr">
        <is>
          <t/>
        </is>
      </c>
    </row>
    <row r="502">
      <c r="A502" t="inlineStr">
        <is>
          <t>原产地海蛎子直发！这海蛎子真的肥到没边了</t>
        </is>
      </c>
      <c r="B502" t="inlineStr">
        <is>
          <t>6912feac000000000302d5f9</t>
        </is>
      </c>
      <c r="C502" s="501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502" t="inlineStr">
        <is>
          <t>婉婉上班吃什么</t>
        </is>
      </c>
      <c r="E502" t="inlineStr">
        <is>
          <t>11434449706</t>
        </is>
      </c>
      <c r="F502" t="inlineStr">
        <is>
          <t>2025-11-11 17:15:24</t>
        </is>
      </c>
      <c r="G502" t="inlineStr">
        <is>
          <t>视频</t>
        </is>
      </c>
      <c r="H502" t="inlineStr">
        <is>
          <t>生蚝乳山生蚝海蛎子顺丰包邮</t>
        </is>
      </c>
      <c r="I502" t="inlineStr">
        <is>
          <t>690c70971b787900010866cc</t>
        </is>
      </c>
      <c r="J502" t="n">
        <v>19.0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inlineStr">
        <is>
          <t/>
        </is>
      </c>
      <c r="R502" t="inlineStr">
        <is>
          <t/>
        </is>
      </c>
      <c r="S502" t="n">
        <v>0.0</v>
      </c>
      <c r="T502" t="n">
        <v>0.0</v>
      </c>
      <c r="U502" t="n">
        <v>0.0</v>
      </c>
      <c r="V502" t="n">
        <v>0.0</v>
      </c>
      <c r="W502" t="inlineStr">
        <is>
          <t/>
        </is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3.0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7.666666666666667</v>
      </c>
      <c r="AL502" t="n">
        <v>0.0</v>
      </c>
    </row>
    <row r="503">
      <c r="A503" t="inlineStr">
        <is>
          <t>随手一买带动全办公室开始减酯</t>
        </is>
      </c>
      <c r="B503" t="inlineStr">
        <is>
          <t>6912ce19000000000401511c</t>
        </is>
      </c>
      <c r="C503" s="502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503" t="inlineStr">
        <is>
          <t>鲜水湾</t>
        </is>
      </c>
      <c r="E503" t="inlineStr">
        <is>
          <t>49316638994</t>
        </is>
      </c>
      <c r="F503" t="inlineStr">
        <is>
          <t>2025-11-11 13:48:09</t>
        </is>
      </c>
      <c r="G503" t="inlineStr">
        <is>
          <t>图文</t>
        </is>
      </c>
      <c r="H503" t="inlineStr">
        <is>
          <t>大虾基围虾王牌大虾厄瓜多尔白虾盐冻虾仁海洋大虾送礼顺丰包邮</t>
        </is>
      </c>
      <c r="I503" t="inlineStr">
        <is>
          <t>690aeb7be379430001e686ac</t>
        </is>
      </c>
      <c r="J503" t="inlineStr">
        <is>
          <t/>
        </is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inlineStr">
        <is>
          <t/>
        </is>
      </c>
      <c r="R503" t="inlineStr">
        <is>
          <t/>
        </is>
      </c>
      <c r="S503" t="n">
        <v>0.0</v>
      </c>
      <c r="T503" t="n">
        <v>0.0</v>
      </c>
      <c r="U503" t="n">
        <v>0.0</v>
      </c>
      <c r="V503" t="n">
        <v>0.0</v>
      </c>
      <c r="W503" t="inlineStr">
        <is>
          <t/>
        </is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3.0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3.3333333333333335</v>
      </c>
      <c r="AL503" t="inlineStr">
        <is>
          <t/>
        </is>
      </c>
    </row>
    <row r="504">
      <c r="A504" t="inlineStr">
        <is>
          <t>原以为不便宜，其实70多3斤大虾太过瘾</t>
        </is>
      </c>
      <c r="B504" t="inlineStr">
        <is>
          <t>6911a9ec000000000400776e</t>
        </is>
      </c>
      <c r="C504" s="503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504" t="inlineStr">
        <is>
          <t>鲜水湾</t>
        </is>
      </c>
      <c r="E504" t="inlineStr">
        <is>
          <t>49316638994</t>
        </is>
      </c>
      <c r="F504" t="inlineStr">
        <is>
          <t>2025-11-10 17:01:32</t>
        </is>
      </c>
      <c r="G504" t="inlineStr">
        <is>
          <t>图文</t>
        </is>
      </c>
      <c r="H504" t="inlineStr">
        <is>
          <t>大虾基围虾王牌大虾厄瓜多尔白虾盐冻虾仁海洋大虾送礼顺丰包邮</t>
        </is>
      </c>
      <c r="I504" t="inlineStr">
        <is>
          <t>690aeb7be379430001e686ac</t>
        </is>
      </c>
      <c r="J504" t="inlineStr">
        <is>
          <t/>
        </is>
      </c>
      <c r="K504" t="n">
        <v>0.0</v>
      </c>
      <c r="L504" t="n">
        <v>0.0</v>
      </c>
      <c r="M504" t="n">
        <v>1.0</v>
      </c>
      <c r="N504" t="n">
        <v>0.3333333333333333</v>
      </c>
      <c r="O504" t="n">
        <v>1.0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inlineStr">
        <is>
          <t/>
        </is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3.0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4.333333333333333</v>
      </c>
      <c r="AL504" t="inlineStr">
        <is>
          <t/>
        </is>
      </c>
    </row>
    <row r="505">
      <c r="A505" t="inlineStr">
        <is>
          <t>没招了，我妈让我在网上卖，谁买啊🥲</t>
        </is>
      </c>
      <c r="B505" t="inlineStr">
        <is>
          <t>6911a66d0000000004002444</t>
        </is>
      </c>
      <c r="C505" s="504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505" t="inlineStr">
        <is>
          <t>婉婉上班吃什么</t>
        </is>
      </c>
      <c r="E505" t="inlineStr">
        <is>
          <t>11434449706</t>
        </is>
      </c>
      <c r="F505" t="inlineStr">
        <is>
          <t>2025-11-10 16:46:37</t>
        </is>
      </c>
      <c r="G505" t="inlineStr">
        <is>
          <t>视频</t>
        </is>
      </c>
      <c r="H505" t="inlineStr">
        <is>
          <t>生蚝乳山生蚝海蛎子顺丰包邮</t>
        </is>
      </c>
      <c r="I505" t="inlineStr">
        <is>
          <t>690c70971b787900010866cc</t>
        </is>
      </c>
      <c r="J505" t="n">
        <v>14.0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inlineStr">
        <is>
          <t/>
        </is>
      </c>
      <c r="R505" t="inlineStr">
        <is>
          <t/>
        </is>
      </c>
      <c r="S505" t="n">
        <v>0.0</v>
      </c>
      <c r="T505" t="n">
        <v>0.0</v>
      </c>
      <c r="U505" t="n">
        <v>0.0</v>
      </c>
      <c r="V505" t="n">
        <v>0.0</v>
      </c>
      <c r="W505" t="inlineStr">
        <is>
          <t/>
        </is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3.0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2.3333333333333335</v>
      </c>
      <c r="AL505" t="n">
        <v>0.0</v>
      </c>
    </row>
    <row r="506">
      <c r="A506" t="inlineStr">
        <is>
          <t>原以为不便宜，其实60多三斤大虾太过瘾！</t>
        </is>
      </c>
      <c r="B506" t="inlineStr">
        <is>
          <t>6911558000000000040108e2</t>
        </is>
      </c>
      <c r="C506" s="505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506" t="inlineStr">
        <is>
          <t>鲜水湾</t>
        </is>
      </c>
      <c r="E506" t="inlineStr">
        <is>
          <t>49316638994</t>
        </is>
      </c>
      <c r="F506" t="inlineStr">
        <is>
          <t>2025-11-10 11:01:20</t>
        </is>
      </c>
      <c r="G506" t="inlineStr">
        <is>
          <t>图文</t>
        </is>
      </c>
      <c r="H506" t="inlineStr">
        <is>
          <t>大虾基围虾王牌大虾厄瓜多尔白虾盐冻虾仁海洋大虾送礼顺丰包邮</t>
        </is>
      </c>
      <c r="I506" t="inlineStr">
        <is>
          <t>690aeb7be379430001e686ac</t>
        </is>
      </c>
      <c r="J506" t="inlineStr">
        <is>
          <t/>
        </is>
      </c>
      <c r="K506" t="n">
        <v>0.0</v>
      </c>
      <c r="L506" t="n">
        <v>0.0</v>
      </c>
      <c r="M506" t="n">
        <v>1.0</v>
      </c>
      <c r="N506" t="n">
        <v>0.3333333333333333</v>
      </c>
      <c r="O506" t="n">
        <v>1.0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inlineStr">
        <is>
          <t/>
        </is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3.0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6.666666666666667</v>
      </c>
      <c r="AL506" t="inlineStr">
        <is>
          <t/>
        </is>
      </c>
    </row>
    <row r="507">
      <c r="A507" t="inlineStr">
        <is>
          <t>年后，打工人带饭！</t>
        </is>
      </c>
      <c r="B507" t="inlineStr">
        <is>
          <t>69a0ffd8000000001a032e1b</t>
        </is>
      </c>
      <c r="C507" s="506" t="n">
        <f>HYPERLINK("https://www.xiaohongshu.com/explore/69a0ffd8000000001a032e1b?xsec_token=TBGIgfrKGy2wDtxaQW-J26Ge221lUHCIC8B3V6DnDx7fE=&amp;xsec_source=pc_trdark","https://www.xiaohongshu.com/explore/69a0ffd8000000001a032e1b?xsec_token=TBGIgfrKGy2wDtxaQW-J26Ge221lUHCIC8B3V6DnDx7fE=&amp;xsec_source=pc_trdark")</f>
        <v>0.0</v>
      </c>
      <c r="D507" t="inlineStr">
        <is>
          <t>鲜水湾</t>
        </is>
      </c>
      <c r="E507" t="inlineStr">
        <is>
          <t>49316638994</t>
        </is>
      </c>
      <c r="F507" t="inlineStr">
        <is>
          <t>2026-02-27 10:22:16</t>
        </is>
      </c>
      <c r="G507" t="inlineStr">
        <is>
          <t>图文</t>
        </is>
      </c>
      <c r="H507" t="inlineStr">
        <is>
          <t>智利三文鱼切块·整条三文鱼·深海鱼一人食健康饮食</t>
        </is>
      </c>
      <c r="I507" t="inlineStr">
        <is>
          <t>691ac562a524ee0001b51d7b</t>
        </is>
      </c>
      <c r="J507" t="inlineStr">
        <is>
          <t/>
        </is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inlineStr">
        <is>
          <t/>
        </is>
      </c>
      <c r="R507" t="inlineStr">
        <is>
          <t/>
        </is>
      </c>
      <c r="S507" t="n">
        <v>0.0</v>
      </c>
      <c r="T507" t="n">
        <v>0.0</v>
      </c>
      <c r="U507" t="n">
        <v>0.0</v>
      </c>
      <c r="V507" t="n">
        <v>0.0</v>
      </c>
      <c r="W507" t="inlineStr">
        <is>
          <t/>
        </is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2.0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4.5</v>
      </c>
      <c r="AL507" t="inlineStr">
        <is>
          <t/>
        </is>
      </c>
    </row>
    <row r="508">
      <c r="A508" t="inlineStr">
        <is>
          <t>第一次直观感受到 70 块钱的威力</t>
        </is>
      </c>
      <c r="B508" t="inlineStr">
        <is>
          <t>699ec416000000001a03214d</t>
        </is>
      </c>
      <c r="C508" s="507" t="n">
        <f>HYPERLINK("https://www.xiaohongshu.com/explore/699ec416000000001a03214d?xsec_token=TBggKgSP0tIUAtqBAPfP3mLfAUR-Rz_K3CwxcaHMVC0-E=&amp;xsec_source=pc_trdark","https://www.xiaohongshu.com/explore/699ec416000000001a03214d?xsec_token=TBggKgSP0tIUAtqBAPfP3mLfAUR-Rz_K3CwxcaHMVC0-E=&amp;xsec_source=pc_trdark")</f>
        <v>0.0</v>
      </c>
      <c r="D508" t="inlineStr">
        <is>
          <t>鲜水湾</t>
        </is>
      </c>
      <c r="E508" t="inlineStr">
        <is>
          <t>49316638994</t>
        </is>
      </c>
      <c r="F508" t="inlineStr">
        <is>
          <t>2026-02-25 17:42:46</t>
        </is>
      </c>
      <c r="G508" t="inlineStr">
        <is>
          <t>图文</t>
        </is>
      </c>
      <c r="H508" t="inlineStr">
        <is>
          <t>大虾基围虾王牌大虾厄瓜多尔白虾盐冻虾仁海洋大虾送礼顺丰包邮</t>
        </is>
      </c>
      <c r="I508" t="inlineStr">
        <is>
          <t>690aeb7be379430001e686ac</t>
        </is>
      </c>
      <c r="J508" t="inlineStr">
        <is>
          <t/>
        </is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inlineStr">
        <is>
          <t/>
        </is>
      </c>
      <c r="R508" t="inlineStr">
        <is>
          <t/>
        </is>
      </c>
      <c r="S508" t="n">
        <v>0.0</v>
      </c>
      <c r="T508" t="n">
        <v>0.0</v>
      </c>
      <c r="U508" t="n">
        <v>0.0</v>
      </c>
      <c r="V508" t="n">
        <v>0.0</v>
      </c>
      <c r="W508" t="inlineStr">
        <is>
          <t/>
        </is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2.0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8.5</v>
      </c>
      <c r="AL508" t="inlineStr">
        <is>
          <t/>
        </is>
      </c>
    </row>
    <row r="509">
      <c r="A509" t="inlineStr">
        <is>
          <t>干干净净的大虾，年后控体又稳了👍🏻</t>
        </is>
      </c>
      <c r="B509" t="inlineStr">
        <is>
          <t>699eb76a000000001a01d105</t>
        </is>
      </c>
      <c r="C509" s="508" t="n">
        <f>HYPERLINK("https://www.xiaohongshu.com/explore/699eb76a000000001a01d105?xsec_token=TBggKgSP0tIUAtqBAPfP3mLUtD7ffnX5hrr4yU8gTva3M=&amp;xsec_source=pc_trdark","https://www.xiaohongshu.com/explore/699eb76a000000001a01d105?xsec_token=TBggKgSP0tIUAtqBAPfP3mLUtD7ffnX5hrr4yU8gTva3M=&amp;xsec_source=pc_trdark")</f>
        <v>0.0</v>
      </c>
      <c r="D509" t="inlineStr">
        <is>
          <t>鲜水湾</t>
        </is>
      </c>
      <c r="E509" t="inlineStr">
        <is>
          <t>49316638994</t>
        </is>
      </c>
      <c r="F509" t="inlineStr">
        <is>
          <t>2026-02-25 16:48:42</t>
        </is>
      </c>
      <c r="G509" t="inlineStr">
        <is>
          <t>图文</t>
        </is>
      </c>
      <c r="H509" t="inlineStr">
        <is>
          <t>大虾基围虾王牌大虾厄瓜多尔白虾盐冻虾仁海洋大虾送礼顺丰包邮</t>
        </is>
      </c>
      <c r="I509" t="inlineStr">
        <is>
          <t>690aeb7be379430001e686ac</t>
        </is>
      </c>
      <c r="J509" t="inlineStr">
        <is>
          <t/>
        </is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inlineStr">
        <is>
          <t/>
        </is>
      </c>
      <c r="R509" t="inlineStr">
        <is>
          <t/>
        </is>
      </c>
      <c r="S509" t="n">
        <v>0.0</v>
      </c>
      <c r="T509" t="n">
        <v>0.0</v>
      </c>
      <c r="U509" t="n">
        <v>0.0</v>
      </c>
      <c r="V509" t="n">
        <v>0.0</v>
      </c>
      <c r="W509" t="inlineStr">
        <is>
          <t/>
        </is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2.0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5.0</v>
      </c>
      <c r="AL509" t="inlineStr">
        <is>
          <t/>
        </is>
      </c>
    </row>
    <row r="510">
      <c r="A510" t="inlineStr">
        <is>
          <t>立马回购6箱，家附近超市的再也看不上了</t>
        </is>
      </c>
      <c r="B510" t="inlineStr">
        <is>
          <t>698b3b1d000000000a03221b</t>
        </is>
      </c>
      <c r="C510" s="509" t="n">
        <f>HYPERLINK("https://www.xiaohongshu.com/explore/698b3b1d000000000a03221b?xsec_token=TBaxNaL0i9x3ULjrtJNOAFMYrarouGMHyN9XZ3dvMrzZQ=&amp;xsec_source=pc_trdark","https://www.xiaohongshu.com/explore/698b3b1d000000000a03221b?xsec_token=TBaxNaL0i9x3ULjrtJNOAFMYrarouGMHyN9XZ3dvMrzZQ=&amp;xsec_source=pc_trdark")</f>
        <v>0.0</v>
      </c>
      <c r="D510" t="inlineStr">
        <is>
          <t>鲜水湾甄选</t>
        </is>
      </c>
      <c r="E510" t="inlineStr">
        <is>
          <t>27401929161</t>
        </is>
      </c>
      <c r="F510" t="inlineStr">
        <is>
          <t>2026-02-10 22:05:17</t>
        </is>
      </c>
      <c r="G510" t="inlineStr">
        <is>
          <t>图文</t>
        </is>
      </c>
      <c r="H510" t="inlineStr">
        <is>
          <t>大虾基围虾王牌大虾厄瓜多尔白虾盐冻虾仁海洋大虾送礼顺丰包邮</t>
        </is>
      </c>
      <c r="I510" t="inlineStr">
        <is>
          <t>690aeb7be379430001e686ac</t>
        </is>
      </c>
      <c r="J510" t="inlineStr">
        <is>
          <t/>
        </is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inlineStr">
        <is>
          <t/>
        </is>
      </c>
      <c r="R510" t="inlineStr">
        <is>
          <t/>
        </is>
      </c>
      <c r="S510" t="n">
        <v>0.0</v>
      </c>
      <c r="T510" t="n">
        <v>0.0</v>
      </c>
      <c r="U510" t="n">
        <v>0.0</v>
      </c>
      <c r="V510" t="n">
        <v>0.0</v>
      </c>
      <c r="W510" t="inlineStr">
        <is>
          <t/>
        </is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2.0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2.0</v>
      </c>
      <c r="AL510" t="inlineStr">
        <is>
          <t/>
        </is>
      </c>
    </row>
    <row r="511">
      <c r="A511" t="inlineStr">
        <is>
          <t>讲真！自己像米其林大厨🧑‍🍳</t>
        </is>
      </c>
      <c r="B511" t="inlineStr">
        <is>
          <t>69899080000000000903b066</t>
        </is>
      </c>
      <c r="C511" s="510" t="n">
        <f>HYPERLINK("https://www.xiaohongshu.com/explore/69899080000000000903b066?xsec_token=TBeAeWMkLJ9etYlFDlK3pguZcv4i1LaORTLoyt49jb22o=&amp;xsec_source=pc_trdark","https://www.xiaohongshu.com/explore/69899080000000000903b066?xsec_token=TBeAeWMkLJ9etYlFDlK3pguZcv4i1LaORTLoyt49jb22o=&amp;xsec_source=pc_trdark")</f>
        <v>0.0</v>
      </c>
      <c r="D511" t="inlineStr">
        <is>
          <t>鲜水湾甄选</t>
        </is>
      </c>
      <c r="E511" t="inlineStr">
        <is>
          <t>27401929161</t>
        </is>
      </c>
      <c r="F511" t="inlineStr">
        <is>
          <t>2026-02-09 15:45:04</t>
        </is>
      </c>
      <c r="G511" t="inlineStr">
        <is>
          <t>图文</t>
        </is>
      </c>
      <c r="H511" t="inlineStr">
        <is>
          <t>智利三文鱼切块·整条三文鱼·深海鱼一人食健康饮食</t>
        </is>
      </c>
      <c r="I511" t="inlineStr">
        <is>
          <t>691ac562a524ee0001b51d7b</t>
        </is>
      </c>
      <c r="J511" t="inlineStr">
        <is>
          <t/>
        </is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inlineStr">
        <is>
          <t/>
        </is>
      </c>
      <c r="R511" t="inlineStr">
        <is>
          <t/>
        </is>
      </c>
      <c r="S511" t="n">
        <v>0.0</v>
      </c>
      <c r="T511" t="n">
        <v>0.0</v>
      </c>
      <c r="U511" t="n">
        <v>0.0</v>
      </c>
      <c r="V511" t="n">
        <v>0.0</v>
      </c>
      <c r="W511" t="inlineStr">
        <is>
          <t/>
        </is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2.0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1.5</v>
      </c>
      <c r="AL511" t="inlineStr">
        <is>
          <t/>
        </is>
      </c>
    </row>
    <row r="512">
      <c r="A512" t="inlineStr">
        <is>
          <t>爸妈对于我每天吃虾表示很奢侈！</t>
        </is>
      </c>
      <c r="B512" t="inlineStr">
        <is>
          <t>6981b845000000001a01d18b</t>
        </is>
      </c>
      <c r="C512" s="511" t="n">
        <f>HYPERLINK("https://www.xiaohongshu.com/explore/6981b845000000001a01d18b?xsec_token=TBCSP6T6xotiZWoIZvuSKQiH0fXJfqfpS_xUHvxEXstxs=&amp;xsec_source=pc_trdark","https://www.xiaohongshu.com/explore/6981b845000000001a01d18b?xsec_token=TBCSP6T6xotiZWoIZvuSKQiH0fXJfqfpS_xUHvxEXstxs=&amp;xsec_source=pc_trdark")</f>
        <v>0.0</v>
      </c>
      <c r="D512" t="inlineStr">
        <is>
          <t>鲜水湾</t>
        </is>
      </c>
      <c r="E512" t="inlineStr">
        <is>
          <t>49316638994</t>
        </is>
      </c>
      <c r="F512" t="inlineStr">
        <is>
          <t>2026-02-03 16:56:37</t>
        </is>
      </c>
      <c r="G512" t="inlineStr">
        <is>
          <t>图文</t>
        </is>
      </c>
      <c r="H512" t="inlineStr">
        <is>
          <t>大虾基围虾王牌大虾厄瓜多尔白虾盐冻虾仁海洋大虾送礼顺丰包邮</t>
        </is>
      </c>
      <c r="I512" t="inlineStr">
        <is>
          <t>690aeb7be379430001e686ac</t>
        </is>
      </c>
      <c r="J512" t="inlineStr">
        <is>
          <t/>
        </is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inlineStr">
        <is>
          <t/>
        </is>
      </c>
      <c r="R512" t="inlineStr">
        <is>
          <t/>
        </is>
      </c>
      <c r="S512" t="n">
        <v>0.0</v>
      </c>
      <c r="T512" t="n">
        <v>0.0</v>
      </c>
      <c r="U512" t="n">
        <v>0.0</v>
      </c>
      <c r="V512" t="n">
        <v>0.0</v>
      </c>
      <c r="W512" t="inlineStr">
        <is>
          <t/>
        </is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2.0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6.0</v>
      </c>
      <c r="AL512" t="inlineStr">
        <is>
          <t/>
        </is>
      </c>
    </row>
    <row r="513">
      <c r="A513" t="inlineStr">
        <is>
          <t>以为69没多少，但一盒够我吃一周的了🥹</t>
        </is>
      </c>
      <c r="B513" t="inlineStr">
        <is>
          <t>69787b64000000001a02d584</t>
        </is>
      </c>
      <c r="C513" s="512" t="n">
        <f>HYPERLINK("https://www.xiaohongshu.com/explore/69787b64000000001a02d584?xsec_token=TB4uixe4FoDg0vEpIlbspmiiDHdct7wttXqXSRfpGWphA=&amp;xsec_source=pc_trdark","https://www.xiaohongshu.com/explore/69787b64000000001a02d584?xsec_token=TB4uixe4FoDg0vEpIlbspmiiDHdct7wttXqXSRfpGWphA=&amp;xsec_source=pc_trdark")</f>
        <v>0.0</v>
      </c>
      <c r="D513" t="inlineStr">
        <is>
          <t>鲜水湾</t>
        </is>
      </c>
      <c r="E513" t="inlineStr">
        <is>
          <t>49316638994</t>
        </is>
      </c>
      <c r="F513" t="inlineStr">
        <is>
          <t>2026-01-27 16:46:28</t>
        </is>
      </c>
      <c r="G513" t="inlineStr">
        <is>
          <t>图文</t>
        </is>
      </c>
      <c r="H513" t="inlineStr">
        <is>
          <t>王牌大虾鲜冻大虾厄瓜多尔白虾盐冻大虾年货过年送礼顺丰包邮</t>
        </is>
      </c>
      <c r="I513" t="inlineStr">
        <is>
          <t>69782738eb0d9a0001cd8a32</t>
        </is>
      </c>
      <c r="J513" t="inlineStr">
        <is>
          <t/>
        </is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inlineStr">
        <is>
          <t/>
        </is>
      </c>
      <c r="R513" t="inlineStr">
        <is>
          <t/>
        </is>
      </c>
      <c r="S513" t="n">
        <v>0.0</v>
      </c>
      <c r="T513" t="n">
        <v>0.0</v>
      </c>
      <c r="U513" t="n">
        <v>0.0</v>
      </c>
      <c r="V513" t="n">
        <v>0.0</v>
      </c>
      <c r="W513" t="inlineStr">
        <is>
          <t/>
        </is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2.0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30.5</v>
      </c>
      <c r="AL513" t="inlineStr">
        <is>
          <t/>
        </is>
      </c>
    </row>
    <row r="514">
      <c r="A514" t="inlineStr">
        <is>
          <t>握靠现在70来块的购买力真的被低估了</t>
        </is>
      </c>
      <c r="B514" t="inlineStr">
        <is>
          <t>696f434a000000001a02ed52</t>
        </is>
      </c>
      <c r="C514" s="513" t="n">
        <f>HYPERLINK("https://www.xiaohongshu.com/explore/696f434a000000001a02ed52?xsec_token=TBhNblbQcUsDvO_PJ-ZmFokjb5t2rjT3mndC001c6Fhl0=&amp;xsec_source=pc_trdark","https://www.xiaohongshu.com/explore/696f434a000000001a02ed52?xsec_token=TBhNblbQcUsDvO_PJ-ZmFokjb5t2rjT3mndC001c6Fhl0=&amp;xsec_source=pc_trdark")</f>
        <v>0.0</v>
      </c>
      <c r="D514" t="inlineStr">
        <is>
          <t>鲜水湾</t>
        </is>
      </c>
      <c r="E514" t="inlineStr">
        <is>
          <t>49316638994</t>
        </is>
      </c>
      <c r="F514" t="inlineStr">
        <is>
          <t>2026-01-20 16:56:42</t>
        </is>
      </c>
      <c r="G514" t="inlineStr">
        <is>
          <t>图文</t>
        </is>
      </c>
      <c r="H514" t="inlineStr">
        <is>
          <t>生蚝乳山生蚝海蛎子顺丰包邮</t>
        </is>
      </c>
      <c r="I514" t="inlineStr">
        <is>
          <t>690c70971b787900010866cc</t>
        </is>
      </c>
      <c r="J514" t="inlineStr">
        <is>
          <t/>
        </is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inlineStr">
        <is>
          <t/>
        </is>
      </c>
      <c r="R514" t="inlineStr">
        <is>
          <t/>
        </is>
      </c>
      <c r="S514" t="n">
        <v>0.0</v>
      </c>
      <c r="T514" t="n">
        <v>0.0</v>
      </c>
      <c r="U514" t="n">
        <v>0.0</v>
      </c>
      <c r="V514" t="n">
        <v>0.0</v>
      </c>
      <c r="W514" t="inlineStr">
        <is>
          <t/>
        </is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2.0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7.0</v>
      </c>
      <c r="AL514" t="inlineStr">
        <is>
          <t/>
        </is>
      </c>
    </row>
    <row r="515">
      <c r="A515" t="inlineStr">
        <is>
          <t>区区300多承包了我一个月的减脂餐</t>
        </is>
      </c>
      <c r="B515" t="inlineStr">
        <is>
          <t>6957e73c000000001f00d9de</t>
        </is>
      </c>
      <c r="C515" s="514" t="n">
        <f>HYPERLINK("https://www.xiaohongshu.com/explore/6957e73c000000001f00d9de?xsec_token=TBhUA1uFx5IoVoBZdOr3ZJfSYhCUQQhi1UCWoJJtqs1Kw=&amp;xsec_source=pc_trdark","https://www.xiaohongshu.com/explore/6957e73c000000001f00d9de?xsec_token=TBhUA1uFx5IoVoBZdOr3ZJfSYhCUQQhi1UCWoJJtqs1Kw=&amp;xsec_source=pc_trdark")</f>
        <v>0.0</v>
      </c>
      <c r="D515" t="inlineStr">
        <is>
          <t>鲜水湾</t>
        </is>
      </c>
      <c r="E515" t="inlineStr">
        <is>
          <t>49316638994</t>
        </is>
      </c>
      <c r="F515" t="inlineStr">
        <is>
          <t>2026-01-02 23:41:48</t>
        </is>
      </c>
      <c r="G515" t="inlineStr">
        <is>
          <t>图文</t>
        </is>
      </c>
      <c r="H515" t="inlineStr">
        <is>
          <t>智利三文鱼切块·整条三文鱼·深海鱼一人食健康饮食</t>
        </is>
      </c>
      <c r="I515" t="inlineStr">
        <is>
          <t>691ac562a524ee0001b51d7b</t>
        </is>
      </c>
      <c r="J515" t="inlineStr">
        <is>
          <t/>
        </is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inlineStr">
        <is>
          <t/>
        </is>
      </c>
      <c r="R515" t="inlineStr">
        <is>
          <t/>
        </is>
      </c>
      <c r="S515" t="n">
        <v>0.0</v>
      </c>
      <c r="T515" t="n">
        <v>0.0</v>
      </c>
      <c r="U515" t="n">
        <v>0.0</v>
      </c>
      <c r="V515" t="n">
        <v>0.0</v>
      </c>
      <c r="W515" t="inlineStr">
        <is>
          <t/>
        </is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2.0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5.5</v>
      </c>
      <c r="AL515" t="inlineStr">
        <is>
          <t/>
        </is>
      </c>
    </row>
    <row r="516">
      <c r="A516" t="inlineStr">
        <is>
          <t>不愧是山东出品！生蚝都和馒头一样大</t>
        </is>
      </c>
      <c r="B516" t="inlineStr">
        <is>
          <t>694a3970000000001e024667</t>
        </is>
      </c>
      <c r="C516" s="515" t="n">
        <f>HYPERLINK("https://www.xiaohongshu.com/explore/694a3970000000001e024667?xsec_token=TBdeZ0Rm1wYmDrNYnjdb_05qHdJwThHLkuOp5qppMagFA=&amp;xsec_source=pc_trdark","https://www.xiaohongshu.com/explore/694a3970000000001e024667?xsec_token=TBdeZ0Rm1wYmDrNYnjdb_05qHdJwThHLkuOp5qppMagFA=&amp;xsec_source=pc_trdark")</f>
        <v>0.0</v>
      </c>
      <c r="D516" t="inlineStr">
        <is>
          <t>鲜水湾</t>
        </is>
      </c>
      <c r="E516" t="inlineStr">
        <is>
          <t>49316638994</t>
        </is>
      </c>
      <c r="F516" t="inlineStr">
        <is>
          <t>2025-12-23 14:40:48</t>
        </is>
      </c>
      <c r="G516" t="inlineStr">
        <is>
          <t>图文</t>
        </is>
      </c>
      <c r="H516" t="inlineStr">
        <is>
          <t>生蚝乳山生蚝海蛎子顺丰包邮</t>
        </is>
      </c>
      <c r="I516" t="inlineStr">
        <is>
          <t>690c70971b787900010866cc</t>
        </is>
      </c>
      <c r="J516" t="inlineStr">
        <is>
          <t/>
        </is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inlineStr">
        <is>
          <t/>
        </is>
      </c>
      <c r="R516" t="inlineStr">
        <is>
          <t/>
        </is>
      </c>
      <c r="S516" t="n">
        <v>0.0</v>
      </c>
      <c r="T516" t="n">
        <v>0.0</v>
      </c>
      <c r="U516" t="n">
        <v>0.0</v>
      </c>
      <c r="V516" t="n">
        <v>0.0</v>
      </c>
      <c r="W516" t="inlineStr">
        <is>
          <t/>
        </is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2.0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7.0</v>
      </c>
      <c r="AL516" t="inlineStr">
        <is>
          <t/>
        </is>
      </c>
    </row>
    <row r="517">
      <c r="A517" t="inlineStr">
        <is>
          <t>一定要尝尝这个49.9r五斤的乳山生蚝！</t>
        </is>
      </c>
      <c r="B517" t="inlineStr">
        <is>
          <t>693fbc0f000000001e0388c5</t>
        </is>
      </c>
      <c r="C517" s="516" t="n">
        <f>HYPERLINK("https://www.xiaohongshu.com/explore/693fbc0f000000001e0388c5?xsec_token=TB1R2yju8ccr97WVPo1goJUAHzI_Uw9P_WDQyZH2LtLn8=&amp;xsec_source=pc_trdark","https://www.xiaohongshu.com/explore/693fbc0f000000001e0388c5?xsec_token=TB1R2yju8ccr97WVPo1goJUAHzI_Uw9P_WDQyZH2LtLn8=&amp;xsec_source=pc_trdark")</f>
        <v>0.0</v>
      </c>
      <c r="D517" t="inlineStr">
        <is>
          <t>婉婉上班吃什么</t>
        </is>
      </c>
      <c r="E517" t="inlineStr">
        <is>
          <t>11434449706</t>
        </is>
      </c>
      <c r="F517" t="inlineStr">
        <is>
          <t>2025-12-15 15:43:11</t>
        </is>
      </c>
      <c r="G517" t="inlineStr">
        <is>
          <t>视频</t>
        </is>
      </c>
      <c r="H517" t="inlineStr">
        <is>
          <t>生蚝乳山生蚝海蛎子顺丰包邮</t>
        </is>
      </c>
      <c r="I517" t="inlineStr">
        <is>
          <t>690c70971b787900010866cc</t>
        </is>
      </c>
      <c r="J517" t="n">
        <v>26.0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inlineStr">
        <is>
          <t/>
        </is>
      </c>
      <c r="R517" t="inlineStr">
        <is>
          <t/>
        </is>
      </c>
      <c r="S517" t="n">
        <v>0.0</v>
      </c>
      <c r="T517" t="n">
        <v>0.0</v>
      </c>
      <c r="U517" t="n">
        <v>0.0</v>
      </c>
      <c r="V517" t="n">
        <v>0.0</v>
      </c>
      <c r="W517" t="inlineStr">
        <is>
          <t/>
        </is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2.0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9.0</v>
      </c>
      <c r="AL517" t="n">
        <v>0.0</v>
      </c>
    </row>
    <row r="518">
      <c r="A518" t="inlineStr">
        <is>
          <t>不要低估40多的购买力，敞开吃吧……</t>
        </is>
      </c>
      <c r="B518" t="inlineStr">
        <is>
          <t>693bcf26000000001e0313a0</t>
        </is>
      </c>
      <c r="C518" s="517" t="n">
        <f>HYPERLINK("https://www.xiaohongshu.com/explore/693bcf26000000001e0313a0?xsec_token=TBehUwc4QxLaaQbLqKc-ieHlcU-HjcnOsH6QsqzwjUCYk=&amp;xsec_source=pc_trdark","https://www.xiaohongshu.com/explore/693bcf26000000001e0313a0?xsec_token=TBehUwc4QxLaaQbLqKc-ieHlcU-HjcnOsH6QsqzwjUCYk=&amp;xsec_source=pc_trdark")</f>
        <v>0.0</v>
      </c>
      <c r="D518" t="inlineStr">
        <is>
          <t>婉婉上班吃什么</t>
        </is>
      </c>
      <c r="E518" t="inlineStr">
        <is>
          <t>11434449706</t>
        </is>
      </c>
      <c r="F518" t="inlineStr">
        <is>
          <t>2025-12-12 16:15:34</t>
        </is>
      </c>
      <c r="G518" t="inlineStr">
        <is>
          <t>视频</t>
        </is>
      </c>
      <c r="H518" t="inlineStr">
        <is>
          <t>生蚝乳山生蚝海蛎子顺丰包邮</t>
        </is>
      </c>
      <c r="I518" t="inlineStr">
        <is>
          <t>690c70971b787900010866cc</t>
        </is>
      </c>
      <c r="J518" t="n">
        <v>25.0</v>
      </c>
      <c r="K518" t="n">
        <v>0.0</v>
      </c>
      <c r="L518" t="n">
        <v>0.0</v>
      </c>
      <c r="M518" t="n">
        <v>1.0</v>
      </c>
      <c r="N518" t="n">
        <v>0.5</v>
      </c>
      <c r="O518" t="n">
        <v>1.0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inlineStr">
        <is>
          <t/>
        </is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2.0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5.5</v>
      </c>
      <c r="AL518" t="n">
        <v>0.0</v>
      </c>
    </row>
    <row r="519">
      <c r="A519" t="inlineStr">
        <is>
          <t>我爸让我赶紧宣传一下40多一箱了！包活包肥</t>
        </is>
      </c>
      <c r="B519" t="inlineStr">
        <is>
          <t>693a2988000000001e0221ba</t>
        </is>
      </c>
      <c r="C519" s="518" t="n">
        <f>HYPERLINK("https://www.xiaohongshu.com/explore/693a2988000000001e0221ba?xsec_token=TBSe-eT4tPFhzXSmwZAcjHHzQcaRUI4VGM8y9as0HprmI=&amp;xsec_source=pc_trdark","https://www.xiaohongshu.com/explore/693a2988000000001e0221ba?xsec_token=TBSe-eT4tPFhzXSmwZAcjHHzQcaRUI4VGM8y9as0HprmI=&amp;xsec_source=pc_trdark")</f>
        <v>0.0</v>
      </c>
      <c r="D519" t="inlineStr">
        <is>
          <t>婉婉上班吃什么</t>
        </is>
      </c>
      <c r="E519" t="inlineStr">
        <is>
          <t>11434449706</t>
        </is>
      </c>
      <c r="F519" t="inlineStr">
        <is>
          <t>2025-12-11 10:16:40</t>
        </is>
      </c>
      <c r="G519" t="inlineStr">
        <is>
          <t>视频</t>
        </is>
      </c>
      <c r="H519" t="inlineStr">
        <is>
          <t>生蚝乳山生蚝海蛎子顺丰包邮</t>
        </is>
      </c>
      <c r="I519" t="inlineStr">
        <is>
          <t>690c70971b787900010866cc</t>
        </is>
      </c>
      <c r="J519" t="n">
        <v>21.0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inlineStr">
        <is>
          <t/>
        </is>
      </c>
      <c r="R519" t="inlineStr">
        <is>
          <t/>
        </is>
      </c>
      <c r="S519" t="n">
        <v>0.0</v>
      </c>
      <c r="T519" t="n">
        <v>0.0</v>
      </c>
      <c r="U519" t="n">
        <v>0.0</v>
      </c>
      <c r="V519" t="n">
        <v>0.0</v>
      </c>
      <c r="W519" t="inlineStr">
        <is>
          <t/>
        </is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2.0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3.5</v>
      </c>
      <c r="AL519" t="n">
        <v>0.0</v>
      </c>
    </row>
    <row r="520">
      <c r="A520" t="inlineStr">
        <is>
          <t>太喜欢小红书了！比山姆还实惠</t>
        </is>
      </c>
      <c r="B520" t="inlineStr">
        <is>
          <t>69367f13000000001f005aef</t>
        </is>
      </c>
      <c r="C520" s="519" t="n">
        <f>HYPERLINK("https://www.xiaohongshu.com/explore/69367f13000000001f005aef?xsec_token=TBlR01uRP0dY963Q_AxX8vHBOKSHOJrXd3qrdXkuvz998=&amp;xsec_source=pc_trdark","https://www.xiaohongshu.com/explore/69367f13000000001f005aef?xsec_token=TBlR01uRP0dY963Q_AxX8vHBOKSHOJrXd3qrdXkuvz998=&amp;xsec_source=pc_trdark")</f>
        <v>0.0</v>
      </c>
      <c r="D520" t="inlineStr">
        <is>
          <t>鲜水湾</t>
        </is>
      </c>
      <c r="E520" t="inlineStr">
        <is>
          <t>49316638994</t>
        </is>
      </c>
      <c r="F520" t="inlineStr">
        <is>
          <t>2025-12-08 15:32:35</t>
        </is>
      </c>
      <c r="G520" t="inlineStr">
        <is>
          <t>图文</t>
        </is>
      </c>
      <c r="H520" t="inlineStr">
        <is>
          <t>智利三文鱼切块·整条三文鱼·深海鱼一人食健康饮食</t>
        </is>
      </c>
      <c r="I520" t="inlineStr">
        <is>
          <t>691ac562a524ee0001b51d7b</t>
        </is>
      </c>
      <c r="J520" t="inlineStr">
        <is>
          <t/>
        </is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inlineStr">
        <is>
          <t/>
        </is>
      </c>
      <c r="R520" t="inlineStr">
        <is>
          <t/>
        </is>
      </c>
      <c r="S520" t="n">
        <v>0.0</v>
      </c>
      <c r="T520" t="n">
        <v>0.0</v>
      </c>
      <c r="U520" t="n">
        <v>0.0</v>
      </c>
      <c r="V520" t="n">
        <v>0.0</v>
      </c>
      <c r="W520" t="inlineStr">
        <is>
          <t/>
        </is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2.0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1.0</v>
      </c>
      <c r="AL520" t="inlineStr">
        <is>
          <t/>
        </is>
      </c>
    </row>
    <row r="521">
      <c r="A521" t="inlineStr">
        <is>
          <t>误以为很贵，实际80块够吃一周的大虾</t>
        </is>
      </c>
      <c r="B521" t="inlineStr">
        <is>
          <t>692c173c000000001e0263ff</t>
        </is>
      </c>
      <c r="C521" s="520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521" t="inlineStr">
        <is>
          <t>鲜水湾</t>
        </is>
      </c>
      <c r="E521" t="inlineStr">
        <is>
          <t>49316638994</t>
        </is>
      </c>
      <c r="F521" t="inlineStr">
        <is>
          <t>2025-11-30 18:06:52</t>
        </is>
      </c>
      <c r="G521" t="inlineStr">
        <is>
          <t>图文</t>
        </is>
      </c>
      <c r="H521" t="inlineStr">
        <is>
          <t>大虾基围虾王牌大虾厄瓜多尔白虾盐冻虾仁海洋大虾送礼顺丰包邮</t>
        </is>
      </c>
      <c r="I521" t="inlineStr">
        <is>
          <t>690aeb7be379430001e686ac</t>
        </is>
      </c>
      <c r="J521" t="inlineStr">
        <is>
          <t/>
        </is>
      </c>
      <c r="K521" t="n">
        <v>0.0</v>
      </c>
      <c r="L521" t="n">
        <v>0.0</v>
      </c>
      <c r="M521" t="n">
        <v>1.0</v>
      </c>
      <c r="N521" t="n">
        <v>0.5</v>
      </c>
      <c r="O521" t="n">
        <v>1.0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inlineStr">
        <is>
          <t/>
        </is>
      </c>
      <c r="X521" t="n">
        <v>0.0</v>
      </c>
      <c r="Y521" t="n">
        <v>1.0</v>
      </c>
      <c r="Z521" t="n">
        <v>0.0</v>
      </c>
      <c r="AA521" t="n">
        <v>0.0</v>
      </c>
      <c r="AB521" t="n">
        <v>0.0</v>
      </c>
      <c r="AC521" t="n">
        <v>0.0</v>
      </c>
      <c r="AD521" t="n">
        <v>2.0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5.0</v>
      </c>
      <c r="AL521" t="inlineStr">
        <is>
          <t/>
        </is>
      </c>
    </row>
    <row r="522">
      <c r="A522" t="inlineStr">
        <is>
          <t>为什么网上减脂的人很少吃虾啊？</t>
        </is>
      </c>
      <c r="B522" t="inlineStr">
        <is>
          <t>69287242000000001e02637f</t>
        </is>
      </c>
      <c r="C522" s="521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522" t="inlineStr">
        <is>
          <t>鲜水湾</t>
        </is>
      </c>
      <c r="E522" t="inlineStr">
        <is>
          <t>49316638994</t>
        </is>
      </c>
      <c r="F522" t="inlineStr">
        <is>
          <t>2025-11-27 23:46:10</t>
        </is>
      </c>
      <c r="G522" t="inlineStr">
        <is>
          <t>图文</t>
        </is>
      </c>
      <c r="H522" t="inlineStr">
        <is>
          <t>大虾基围虾王牌大虾厄瓜多尔白虾盐冻虾仁海洋大虾送礼顺丰包邮</t>
        </is>
      </c>
      <c r="I522" t="inlineStr">
        <is>
          <t>690aeb7be379430001e686ac</t>
        </is>
      </c>
      <c r="J522" t="inlineStr">
        <is>
          <t/>
        </is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inlineStr">
        <is>
          <t/>
        </is>
      </c>
      <c r="R522" t="inlineStr">
        <is>
          <t/>
        </is>
      </c>
      <c r="S522" t="n">
        <v>0.0</v>
      </c>
      <c r="T522" t="n">
        <v>0.0</v>
      </c>
      <c r="U522" t="n">
        <v>0.0</v>
      </c>
      <c r="V522" t="n">
        <v>0.0</v>
      </c>
      <c r="W522" t="inlineStr">
        <is>
          <t/>
        </is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2.0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5.5</v>
      </c>
      <c r="AL522" t="inlineStr">
        <is>
          <t/>
        </is>
      </c>
    </row>
    <row r="523">
      <c r="A523" t="inlineStr">
        <is>
          <t>我爸说：海捕大虾你早卖24一斤，早就爆单了❗️</t>
        </is>
      </c>
      <c r="B523" t="inlineStr">
        <is>
          <t>6924018a000000001f00bee4</t>
        </is>
      </c>
      <c r="C523" s="522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523" t="inlineStr">
        <is>
          <t>鲜水湾</t>
        </is>
      </c>
      <c r="E523" t="inlineStr">
        <is>
          <t>49316638994</t>
        </is>
      </c>
      <c r="F523" t="inlineStr">
        <is>
          <t>2025-11-24 14:56:10</t>
        </is>
      </c>
      <c r="G523" t="inlineStr">
        <is>
          <t>图文</t>
        </is>
      </c>
      <c r="H523" t="inlineStr">
        <is>
          <t>大虾基围虾王牌大虾厄瓜多尔白虾盐冻虾仁海洋大虾送礼顺丰包邮</t>
        </is>
      </c>
      <c r="I523" t="inlineStr">
        <is>
          <t>690aeb7be379430001e686ac</t>
        </is>
      </c>
      <c r="J523" t="inlineStr">
        <is>
          <t/>
        </is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inlineStr">
        <is>
          <t/>
        </is>
      </c>
      <c r="R523" t="inlineStr">
        <is>
          <t/>
        </is>
      </c>
      <c r="S523" t="n">
        <v>0.0</v>
      </c>
      <c r="T523" t="n">
        <v>0.0</v>
      </c>
      <c r="U523" t="n">
        <v>0.0</v>
      </c>
      <c r="V523" t="n">
        <v>0.0</v>
      </c>
      <c r="W523" t="inlineStr">
        <is>
          <t/>
        </is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2.0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3.0</v>
      </c>
      <c r="AL523" t="inlineStr">
        <is>
          <t/>
        </is>
      </c>
    </row>
    <row r="524">
      <c r="A524" t="inlineStr">
        <is>
          <t>有人爱吃生蚝吗？</t>
        </is>
      </c>
      <c r="B524" t="inlineStr">
        <is>
          <t>691e96e5000000001b0336b0</t>
        </is>
      </c>
      <c r="C524" s="523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524" t="inlineStr">
        <is>
          <t>婉婉上班吃什么</t>
        </is>
      </c>
      <c r="E524" t="inlineStr">
        <is>
          <t>11434449706</t>
        </is>
      </c>
      <c r="F524" t="inlineStr">
        <is>
          <t>2025-11-20 12:19:49</t>
        </is>
      </c>
      <c r="G524" t="inlineStr">
        <is>
          <t>视频</t>
        </is>
      </c>
      <c r="H524" t="inlineStr">
        <is>
          <t>生蚝乳山生蚝海蛎子顺丰包邮</t>
        </is>
      </c>
      <c r="I524" t="inlineStr">
        <is>
          <t>690c70971b787900010866cc</t>
        </is>
      </c>
      <c r="J524" t="n">
        <v>26.0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inlineStr">
        <is>
          <t/>
        </is>
      </c>
      <c r="R524" t="inlineStr">
        <is>
          <t/>
        </is>
      </c>
      <c r="S524" t="n">
        <v>0.0</v>
      </c>
      <c r="T524" t="n">
        <v>0.0</v>
      </c>
      <c r="U524" t="n">
        <v>0.0</v>
      </c>
      <c r="V524" t="n">
        <v>0.0</v>
      </c>
      <c r="W524" t="inlineStr">
        <is>
          <t/>
        </is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2.0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0.5</v>
      </c>
      <c r="AL524" t="n">
        <v>0.0</v>
      </c>
    </row>
    <row r="525">
      <c r="A525" t="inlineStr">
        <is>
          <t>爸妈眼里的奢侈品，我的平价大虾😂</t>
        </is>
      </c>
      <c r="B525" t="inlineStr">
        <is>
          <t>691d6969000000001d03a42c</t>
        </is>
      </c>
      <c r="C525" s="524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525" t="inlineStr">
        <is>
          <t>鲜水湾甄选</t>
        </is>
      </c>
      <c r="E525" t="inlineStr">
        <is>
          <t>27401929161</t>
        </is>
      </c>
      <c r="F525" t="inlineStr">
        <is>
          <t>2025-11-19 14:53:29</t>
        </is>
      </c>
      <c r="G525" t="inlineStr">
        <is>
          <t>图文</t>
        </is>
      </c>
      <c r="H525" t="inlineStr">
        <is>
          <t>大虾基围虾王牌大虾厄瓜多尔白虾盐冻虾仁海洋大虾送礼顺丰包邮</t>
        </is>
      </c>
      <c r="I525" t="inlineStr">
        <is>
          <t>690aeb7be379430001e686ac</t>
        </is>
      </c>
      <c r="J525" t="inlineStr">
        <is>
          <t/>
        </is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inlineStr">
        <is>
          <t/>
        </is>
      </c>
      <c r="R525" t="inlineStr">
        <is>
          <t/>
        </is>
      </c>
      <c r="S525" t="n">
        <v>0.0</v>
      </c>
      <c r="T525" t="n">
        <v>0.0</v>
      </c>
      <c r="U525" t="n">
        <v>0.0</v>
      </c>
      <c r="V525" t="n">
        <v>0.0</v>
      </c>
      <c r="W525" t="inlineStr">
        <is>
          <t/>
        </is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2.0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1.5</v>
      </c>
      <c r="AL525" t="inlineStr">
        <is>
          <t/>
        </is>
      </c>
    </row>
    <row r="526">
      <c r="A526" t="inlineStr">
        <is>
          <t>巨惊艳❗️乳山真有好生蚝</t>
        </is>
      </c>
      <c r="B526" t="inlineStr">
        <is>
          <t>691c9929000000001f00e731</t>
        </is>
      </c>
      <c r="C526" s="525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526" t="inlineStr">
        <is>
          <t>婉婉上班吃什么</t>
        </is>
      </c>
      <c r="E526" t="inlineStr">
        <is>
          <t>11434449706</t>
        </is>
      </c>
      <c r="F526" t="inlineStr">
        <is>
          <t>2025-11-19 00:04:57</t>
        </is>
      </c>
      <c r="G526" t="inlineStr">
        <is>
          <t>图文</t>
        </is>
      </c>
      <c r="H526" t="inlineStr">
        <is>
          <t>生蚝乳山生蚝海蛎子顺丰包邮</t>
        </is>
      </c>
      <c r="I526" t="inlineStr">
        <is>
          <t>690c70971b787900010866cc</t>
        </is>
      </c>
      <c r="J526" t="inlineStr">
        <is>
          <t/>
        </is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inlineStr">
        <is>
          <t/>
        </is>
      </c>
      <c r="R526" t="inlineStr">
        <is>
          <t/>
        </is>
      </c>
      <c r="S526" t="n">
        <v>0.0</v>
      </c>
      <c r="T526" t="n">
        <v>0.0</v>
      </c>
      <c r="U526" t="n">
        <v>0.0</v>
      </c>
      <c r="V526" t="n">
        <v>0.0</v>
      </c>
      <c r="W526" t="inlineStr">
        <is>
          <t/>
        </is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2.0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8.0</v>
      </c>
      <c r="AL526" t="inlineStr">
        <is>
          <t/>
        </is>
      </c>
    </row>
    <row r="527">
      <c r="A527" t="inlineStr">
        <is>
          <t>控体人看到了嘛！上班带饭真的超简单</t>
        </is>
      </c>
      <c r="B527" t="inlineStr">
        <is>
          <t>691988350000000005039d0a</t>
        </is>
      </c>
      <c r="C527" s="526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527" t="inlineStr">
        <is>
          <t>鲜水湾</t>
        </is>
      </c>
      <c r="E527" t="inlineStr">
        <is>
          <t>49316638994</t>
        </is>
      </c>
      <c r="F527" t="inlineStr">
        <is>
          <t>2025-11-16 16:15:49</t>
        </is>
      </c>
      <c r="G527" t="inlineStr">
        <is>
          <t>图文</t>
        </is>
      </c>
      <c r="H527" t="inlineStr">
        <is>
          <t>大虾基围虾王牌大虾厄瓜多尔白虾盐冻虾仁海洋大虾送礼顺丰包邮</t>
        </is>
      </c>
      <c r="I527" t="inlineStr">
        <is>
          <t>690aeb7be379430001e686ac</t>
        </is>
      </c>
      <c r="J527" t="inlineStr">
        <is>
          <t/>
        </is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inlineStr">
        <is>
          <t/>
        </is>
      </c>
      <c r="R527" t="inlineStr">
        <is>
          <t/>
        </is>
      </c>
      <c r="S527" t="n">
        <v>0.0</v>
      </c>
      <c r="T527" t="n">
        <v>0.0</v>
      </c>
      <c r="U527" t="n">
        <v>0.0</v>
      </c>
      <c r="V527" t="n">
        <v>0.0</v>
      </c>
      <c r="W527" t="inlineStr">
        <is>
          <t/>
        </is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2.0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3.0</v>
      </c>
      <c r="AL527" t="inlineStr">
        <is>
          <t/>
        </is>
      </c>
    </row>
    <row r="528">
      <c r="A528" t="inlineStr">
        <is>
          <t>没招了，我爸让我在网上卖，谁买啊🥲</t>
        </is>
      </c>
      <c r="B528" t="inlineStr">
        <is>
          <t>69141aad000000000700bda1</t>
        </is>
      </c>
      <c r="C528" s="527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528" t="inlineStr">
        <is>
          <t>婉婉上班吃什么</t>
        </is>
      </c>
      <c r="E528" t="inlineStr">
        <is>
          <t>11434449706</t>
        </is>
      </c>
      <c r="F528" t="inlineStr">
        <is>
          <t>2025-11-12 13:27:09</t>
        </is>
      </c>
      <c r="G528" t="inlineStr">
        <is>
          <t>视频</t>
        </is>
      </c>
      <c r="H528" t="inlineStr">
        <is>
          <t>生蚝乳山生蚝海蛎子顺丰包邮</t>
        </is>
      </c>
      <c r="I528" t="inlineStr">
        <is>
          <t>690c70971b787900010866cc</t>
        </is>
      </c>
      <c r="J528" t="n">
        <v>19.0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inlineStr">
        <is>
          <t/>
        </is>
      </c>
      <c r="R528" t="inlineStr">
        <is>
          <t/>
        </is>
      </c>
      <c r="S528" t="n">
        <v>0.0</v>
      </c>
      <c r="T528" t="n">
        <v>0.0</v>
      </c>
      <c r="U528" t="n">
        <v>0.0</v>
      </c>
      <c r="V528" t="n">
        <v>0.0</v>
      </c>
      <c r="W528" t="inlineStr">
        <is>
          <t/>
        </is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2.0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7.0</v>
      </c>
      <c r="AL528" t="n">
        <v>0.0</v>
      </c>
    </row>
    <row r="529">
      <c r="A529" t="inlineStr">
        <is>
          <t>感谢小红书，让我感受到69.9吃一周的快乐！</t>
        </is>
      </c>
      <c r="B529" t="inlineStr">
        <is>
          <t>6913ee9d0000000007016882</t>
        </is>
      </c>
      <c r="C529" s="528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529" t="inlineStr">
        <is>
          <t>鲜水湾甄选</t>
        </is>
      </c>
      <c r="E529" t="inlineStr">
        <is>
          <t>27401929161</t>
        </is>
      </c>
      <c r="F529" t="inlineStr">
        <is>
          <t>2025-11-12 10:19:09</t>
        </is>
      </c>
      <c r="G529" t="inlineStr">
        <is>
          <t>图文</t>
        </is>
      </c>
      <c r="H529" t="inlineStr">
        <is>
          <t>大虾基围虾王牌大虾厄瓜多尔白虾盐冻虾仁海洋大虾送礼顺丰包邮</t>
        </is>
      </c>
      <c r="I529" t="inlineStr">
        <is>
          <t>690aeb7be379430001e686ac</t>
        </is>
      </c>
      <c r="J529" t="inlineStr">
        <is>
          <t/>
        </is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inlineStr">
        <is>
          <t/>
        </is>
      </c>
      <c r="R529" t="inlineStr">
        <is>
          <t/>
        </is>
      </c>
      <c r="S529" t="n">
        <v>0.0</v>
      </c>
      <c r="T529" t="n">
        <v>0.0</v>
      </c>
      <c r="U529" t="n">
        <v>0.0</v>
      </c>
      <c r="V529" t="n">
        <v>0.0</v>
      </c>
      <c r="W529" t="inlineStr">
        <is>
          <t/>
        </is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2.0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0.5</v>
      </c>
      <c r="AL529" t="inlineStr">
        <is>
          <t/>
        </is>
      </c>
    </row>
    <row r="530">
      <c r="A530" t="inlineStr">
        <is>
          <t>试吃之后发现！这大虾性价比太高了！</t>
        </is>
      </c>
      <c r="B530" t="inlineStr">
        <is>
          <t>6912fb9000000000070381c2</t>
        </is>
      </c>
      <c r="C530" s="529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530" t="inlineStr">
        <is>
          <t>鲜水湾甄选</t>
        </is>
      </c>
      <c r="E530" t="inlineStr">
        <is>
          <t>27401929161</t>
        </is>
      </c>
      <c r="F530" t="inlineStr">
        <is>
          <t>2025-11-11 17:02:08</t>
        </is>
      </c>
      <c r="G530" t="inlineStr">
        <is>
          <t>图文</t>
        </is>
      </c>
      <c r="H530" t="inlineStr">
        <is>
          <t>大虾基围虾王牌大虾厄瓜多尔白虾盐冻虾仁海洋大虾送礼顺丰包邮</t>
        </is>
      </c>
      <c r="I530" t="inlineStr">
        <is>
          <t>690aeb7be379430001e686ac</t>
        </is>
      </c>
      <c r="J530" t="inlineStr">
        <is>
          <t/>
        </is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inlineStr">
        <is>
          <t/>
        </is>
      </c>
      <c r="R530" t="inlineStr">
        <is>
          <t/>
        </is>
      </c>
      <c r="S530" t="n">
        <v>0.0</v>
      </c>
      <c r="T530" t="n">
        <v>0.0</v>
      </c>
      <c r="U530" t="n">
        <v>0.0</v>
      </c>
      <c r="V530" t="n">
        <v>0.0</v>
      </c>
      <c r="W530" t="inlineStr">
        <is>
          <t/>
        </is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2.0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7.5</v>
      </c>
      <c r="AL530" t="inlineStr">
        <is>
          <t/>
        </is>
      </c>
    </row>
    <row r="531">
      <c r="A531" t="inlineStr">
        <is>
          <t>懂事的姐妹已经给男朋友安排起来了......</t>
        </is>
      </c>
      <c r="B531" t="inlineStr">
        <is>
          <t>6912caf4000000000301ad06</t>
        </is>
      </c>
      <c r="C531" s="530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531" t="inlineStr">
        <is>
          <t>婉婉上班吃什么</t>
        </is>
      </c>
      <c r="E531" t="inlineStr">
        <is>
          <t>11434449706</t>
        </is>
      </c>
      <c r="F531" t="inlineStr">
        <is>
          <t>2025-11-11 13:34:44</t>
        </is>
      </c>
      <c r="G531" t="inlineStr">
        <is>
          <t>视频</t>
        </is>
      </c>
      <c r="H531" t="inlineStr">
        <is>
          <t>生蚝乳山生蚝海蛎子顺丰包邮</t>
        </is>
      </c>
      <c r="I531" t="inlineStr">
        <is>
          <t>690c70971b787900010866cc</t>
        </is>
      </c>
      <c r="J531" t="n">
        <v>24.0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inlineStr">
        <is>
          <t/>
        </is>
      </c>
      <c r="R531" t="inlineStr">
        <is>
          <t/>
        </is>
      </c>
      <c r="S531" t="n">
        <v>0.0</v>
      </c>
      <c r="T531" t="n">
        <v>0.0</v>
      </c>
      <c r="U531" t="n">
        <v>0.0</v>
      </c>
      <c r="V531" t="n">
        <v>0.0</v>
      </c>
      <c r="W531" t="inlineStr">
        <is>
          <t/>
        </is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2.0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5.0</v>
      </c>
      <c r="AL531" t="n">
        <v>0.0</v>
      </c>
    </row>
    <row r="532">
      <c r="A532" t="inlineStr">
        <is>
          <t>低估60💰多块的购买力了不到1r一只</t>
        </is>
      </c>
      <c r="B532" t="inlineStr">
        <is>
          <t>690c9bfa000000000700c012</t>
        </is>
      </c>
      <c r="C532" s="531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532" t="inlineStr">
        <is>
          <t>鲜水湾甄选</t>
        </is>
      </c>
      <c r="E532" t="inlineStr">
        <is>
          <t>27401929161</t>
        </is>
      </c>
      <c r="F532" t="inlineStr">
        <is>
          <t>2025-11-06 21:00:43</t>
        </is>
      </c>
      <c r="G532" t="inlineStr">
        <is>
          <t>图文</t>
        </is>
      </c>
      <c r="H532" t="inlineStr">
        <is>
          <t>大虾基围虾王牌大虾厄瓜多尔白虾盐冻虾仁海洋大虾送礼顺丰包邮</t>
        </is>
      </c>
      <c r="I532" t="inlineStr">
        <is>
          <t>690aeb7be379430001e686ac</t>
        </is>
      </c>
      <c r="J532" t="inlineStr">
        <is>
          <t/>
        </is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inlineStr">
        <is>
          <t/>
        </is>
      </c>
      <c r="R532" t="inlineStr">
        <is>
          <t/>
        </is>
      </c>
      <c r="S532" t="n">
        <v>0.0</v>
      </c>
      <c r="T532" t="n">
        <v>0.0</v>
      </c>
      <c r="U532" t="n">
        <v>0.0</v>
      </c>
      <c r="V532" t="n">
        <v>0.0</v>
      </c>
      <c r="W532" t="inlineStr">
        <is>
          <t/>
        </is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2.0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5.0</v>
      </c>
      <c r="AL532" t="inlineStr">
        <is>
          <t/>
        </is>
      </c>
    </row>
    <row r="533">
      <c r="A533" t="inlineStr">
        <is>
          <t>办公室同事说我每天吃虾仁减脂很奢侈！</t>
        </is>
      </c>
      <c r="B533" t="inlineStr">
        <is>
          <t>69a25159000000001a01f71b</t>
        </is>
      </c>
      <c r="C533" s="532" t="n">
        <f>HYPERLINK("https://www.xiaohongshu.com/explore/69a25159000000001a01f71b?xsec_token=TBUws-qSGfQm7WfIK5gxFwZ7xVCnym_yvsCHgY-PnK_20=&amp;xsec_source=pc_trdark","https://www.xiaohongshu.com/explore/69a25159000000001a01f71b?xsec_token=TBUws-qSGfQm7WfIK5gxFwZ7xVCnym_yvsCHgY-PnK_20=&amp;xsec_source=pc_trdark")</f>
        <v>0.0</v>
      </c>
      <c r="D533" t="inlineStr">
        <is>
          <t>鲜水湾</t>
        </is>
      </c>
      <c r="E533" t="inlineStr">
        <is>
          <t>49316638994</t>
        </is>
      </c>
      <c r="F533" t="inlineStr">
        <is>
          <t>2026-02-28 10:22:17</t>
        </is>
      </c>
      <c r="G533" t="inlineStr">
        <is>
          <t>图文</t>
        </is>
      </c>
      <c r="H533" t="inlineStr">
        <is>
          <t>手剥虾仁 无冰衣无添加 低脂餐一人食 上班带饭 顺丰包邮 5盒装</t>
        </is>
      </c>
      <c r="I533" t="inlineStr">
        <is>
          <t>694baba01d450d00013662f0</t>
        </is>
      </c>
      <c r="J533" t="inlineStr">
        <is>
          <t/>
        </is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inlineStr">
        <is>
          <t/>
        </is>
      </c>
      <c r="R533" t="inlineStr">
        <is>
          <t/>
        </is>
      </c>
      <c r="S533" t="n">
        <v>0.0</v>
      </c>
      <c r="T533" t="n">
        <v>0.0</v>
      </c>
      <c r="U533" t="n">
        <v>0.0</v>
      </c>
      <c r="V533" t="n">
        <v>0.0</v>
      </c>
      <c r="W533" t="inlineStr">
        <is>
          <t/>
        </is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1.0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2.0</v>
      </c>
      <c r="AL533" t="inlineStr">
        <is>
          <t/>
        </is>
      </c>
    </row>
    <row r="534">
      <c r="A534" t="inlineStr">
        <is>
          <t>减脂界的天花板🦐… 低卡高蛋白的神仙食材‼️</t>
        </is>
      </c>
      <c r="B534" t="inlineStr">
        <is>
          <t>69a13fec000000000e03d4db</t>
        </is>
      </c>
      <c r="C534" s="533" t="n">
        <f>HYPERLINK("https://www.xiaohongshu.com/explore/69a13fec000000000e03d4db?xsec_token=TBk7Tu9foWGIsieMmGc2tlwjEOD4OCZs9l6eUaeWjGmL8=&amp;xsec_source=pc_trdark","https://www.xiaohongshu.com/explore/69a13fec000000000e03d4db?xsec_token=TBk7Tu9foWGIsieMmGc2tlwjEOD4OCZs9l6eUaeWjGmL8=&amp;xsec_source=pc_trdark")</f>
        <v>0.0</v>
      </c>
      <c r="D534" t="inlineStr">
        <is>
          <t>鲜水湾</t>
        </is>
      </c>
      <c r="E534" t="inlineStr">
        <is>
          <t>49316638994</t>
        </is>
      </c>
      <c r="F534" t="inlineStr">
        <is>
          <t>2026-02-27 14:55:40</t>
        </is>
      </c>
      <c r="G534" t="inlineStr">
        <is>
          <t>图文</t>
        </is>
      </c>
      <c r="H534" t="inlineStr">
        <is>
          <t>手剥虾仁 无冰衣无添加 低脂餐一人食 上班带饭 顺丰包邮 5盒装</t>
        </is>
      </c>
      <c r="I534" t="inlineStr">
        <is>
          <t>694baba01d450d00013662f0</t>
        </is>
      </c>
      <c r="J534" t="inlineStr">
        <is>
          <t/>
        </is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inlineStr">
        <is>
          <t/>
        </is>
      </c>
      <c r="R534" t="inlineStr">
        <is>
          <t/>
        </is>
      </c>
      <c r="S534" t="n">
        <v>0.0</v>
      </c>
      <c r="T534" t="n">
        <v>0.0</v>
      </c>
      <c r="U534" t="n">
        <v>0.0</v>
      </c>
      <c r="V534" t="n">
        <v>0.0</v>
      </c>
      <c r="W534" t="inlineStr">
        <is>
          <t/>
        </is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1.0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19.0</v>
      </c>
      <c r="AL534" t="inlineStr">
        <is>
          <t/>
        </is>
      </c>
    </row>
    <row r="535">
      <c r="A535" t="inlineStr">
        <is>
          <t>和老爸商量了，专为减脂人推出的小包装</t>
        </is>
      </c>
      <c r="B535" t="inlineStr">
        <is>
          <t>699ffa9a000000001a0256e5</t>
        </is>
      </c>
      <c r="C535" s="534" t="n">
        <f>HYPERLINK("https://www.xiaohongshu.com/explore/699ffa9a000000001a0256e5?xsec_token=TBmPrNsEp7sytnt8BzCMtNTT2Nw9Ds1BbOaU-rSrKDxl8=&amp;xsec_source=pc_trdark","https://www.xiaohongshu.com/explore/699ffa9a000000001a0256e5?xsec_token=TBmPrNsEp7sytnt8BzCMtNTT2Nw9Ds1BbOaU-rSrKDxl8=&amp;xsec_source=pc_trdark")</f>
        <v>0.0</v>
      </c>
      <c r="D535" t="inlineStr">
        <is>
          <t>鲜水湾</t>
        </is>
      </c>
      <c r="E535" t="inlineStr">
        <is>
          <t>49316638994</t>
        </is>
      </c>
      <c r="F535" t="inlineStr">
        <is>
          <t>2026-02-26 15:47:38</t>
        </is>
      </c>
      <c r="G535" t="inlineStr">
        <is>
          <t>图文</t>
        </is>
      </c>
      <c r="H535" t="inlineStr">
        <is>
          <t>手剥虾仁 无冰衣无添加 低脂餐一人食 上班带饭 顺丰包邮 5盒装</t>
        </is>
      </c>
      <c r="I535" t="inlineStr">
        <is>
          <t>694baba01d450d00013662f0</t>
        </is>
      </c>
      <c r="J535" t="inlineStr">
        <is>
          <t/>
        </is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inlineStr">
        <is>
          <t/>
        </is>
      </c>
      <c r="R535" t="inlineStr">
        <is>
          <t/>
        </is>
      </c>
      <c r="S535" t="n">
        <v>0.0</v>
      </c>
      <c r="T535" t="n">
        <v>0.0</v>
      </c>
      <c r="U535" t="n">
        <v>0.0</v>
      </c>
      <c r="V535" t="n">
        <v>0.0</v>
      </c>
      <c r="W535" t="inlineStr">
        <is>
          <t/>
        </is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1.0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5.0</v>
      </c>
      <c r="AL535" t="inlineStr">
        <is>
          <t/>
        </is>
      </c>
    </row>
    <row r="536">
      <c r="A536" t="inlineStr">
        <is>
          <t>瘦女淡饭🥣</t>
        </is>
      </c>
      <c r="B536" t="inlineStr">
        <is>
          <t>699ea65a000000001a030d01</t>
        </is>
      </c>
      <c r="C536" s="535" t="n">
        <f>HYPERLINK("https://www.xiaohongshu.com/explore/699ea65a000000001a030d01?xsec_token=TBggKgSP0tIUAtqBAPfP3mLfT0CLhuH5UVikjbYsB5rhs=&amp;xsec_source=pc_trdark","https://www.xiaohongshu.com/explore/699ea65a000000001a030d01?xsec_token=TBggKgSP0tIUAtqBAPfP3mLfT0CLhuH5UVikjbYsB5rhs=&amp;xsec_source=pc_trdark")</f>
        <v>0.0</v>
      </c>
      <c r="D536" t="inlineStr">
        <is>
          <t>鲜水湾</t>
        </is>
      </c>
      <c r="E536" t="inlineStr">
        <is>
          <t>49316638994</t>
        </is>
      </c>
      <c r="F536" t="inlineStr">
        <is>
          <t>2026-02-25 15:35:54</t>
        </is>
      </c>
      <c r="G536" t="inlineStr">
        <is>
          <t>图文</t>
        </is>
      </c>
      <c r="H536" t="inlineStr">
        <is>
          <t>大虾基围虾王牌大虾厄瓜多尔白虾盐冻虾仁海洋大虾送礼顺丰包邮</t>
        </is>
      </c>
      <c r="I536" t="inlineStr">
        <is>
          <t>690aeb7be379430001e686ac</t>
        </is>
      </c>
      <c r="J536" t="inlineStr">
        <is>
          <t/>
        </is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inlineStr">
        <is>
          <t/>
        </is>
      </c>
      <c r="R536" t="inlineStr">
        <is>
          <t/>
        </is>
      </c>
      <c r="S536" t="n">
        <v>0.0</v>
      </c>
      <c r="T536" t="n">
        <v>0.0</v>
      </c>
      <c r="U536" t="n">
        <v>0.0</v>
      </c>
      <c r="V536" t="n">
        <v>0.0</v>
      </c>
      <c r="W536" t="inlineStr">
        <is>
          <t/>
        </is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1.0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3.0</v>
      </c>
      <c r="AL536" t="inlineStr">
        <is>
          <t/>
        </is>
      </c>
    </row>
    <row r="537">
      <c r="A537" t="inlineStr">
        <is>
          <t>热量比鸡胸肉还低，年后控体就吃它！</t>
        </is>
      </c>
      <c r="B537" t="inlineStr">
        <is>
          <t>699e9161000000001a02a851</t>
        </is>
      </c>
      <c r="C537" s="536" t="n">
        <f>HYPERLINK("https://www.xiaohongshu.com/explore/699e9161000000001a02a851?xsec_token=TBggKgSP0tIUAtqBAPfP3mLfen2SEZ9nxre24UDSyJD2g=&amp;xsec_source=pc_trdark","https://www.xiaohongshu.com/explore/699e9161000000001a02a851?xsec_token=TBggKgSP0tIUAtqBAPfP3mLfen2SEZ9nxre24UDSyJD2g=&amp;xsec_source=pc_trdark")</f>
        <v>0.0</v>
      </c>
      <c r="D537" t="inlineStr">
        <is>
          <t>鲜水湾</t>
        </is>
      </c>
      <c r="E537" t="inlineStr">
        <is>
          <t>49316638994</t>
        </is>
      </c>
      <c r="F537" t="inlineStr">
        <is>
          <t>2026-02-25 14:06:25</t>
        </is>
      </c>
      <c r="G537" t="inlineStr">
        <is>
          <t>图文</t>
        </is>
      </c>
      <c r="H537" t="inlineStr">
        <is>
          <t>大虾基围虾王牌大虾厄瓜多尔白虾盐冻虾仁海洋大虾送礼顺丰包邮</t>
        </is>
      </c>
      <c r="I537" t="inlineStr">
        <is>
          <t>690aeb7be379430001e686ac</t>
        </is>
      </c>
      <c r="J537" t="inlineStr">
        <is>
          <t/>
        </is>
      </c>
      <c r="K537" t="n">
        <v>0.0</v>
      </c>
      <c r="L537" t="n">
        <v>0.0</v>
      </c>
      <c r="M537" t="n">
        <v>1.0</v>
      </c>
      <c r="N537" t="n">
        <v>1.0</v>
      </c>
      <c r="O537" t="n">
        <v>1.0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inlineStr">
        <is>
          <t/>
        </is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1.0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16.0</v>
      </c>
      <c r="AL537" t="inlineStr">
        <is>
          <t/>
        </is>
      </c>
    </row>
    <row r="538">
      <c r="A538" t="inlineStr">
        <is>
          <t>青岛发过来的！被爸妈夸了一整天</t>
        </is>
      </c>
      <c r="B538" t="inlineStr">
        <is>
          <t>698ebc83000000000e00cad5</t>
        </is>
      </c>
      <c r="C538" s="537" t="n">
        <f>HYPERLINK("https://www.xiaohongshu.com/explore/698ebc83000000000e00cad5?xsec_token=TBNIhd8Wg4_l-WeAs5DLBNd3MDxm99LsgWpFOMllYrtqk=&amp;xsec_source=pc_trdark","https://www.xiaohongshu.com/explore/698ebc83000000000e00cad5?xsec_token=TBNIhd8Wg4_l-WeAs5DLBNd3MDxm99LsgWpFOMllYrtqk=&amp;xsec_source=pc_trdark")</f>
        <v>0.0</v>
      </c>
      <c r="D538" t="inlineStr">
        <is>
          <t>鲜水湾</t>
        </is>
      </c>
      <c r="E538" t="inlineStr">
        <is>
          <t>49316638994</t>
        </is>
      </c>
      <c r="F538" t="inlineStr">
        <is>
          <t>2026-02-13 13:54:11</t>
        </is>
      </c>
      <c r="G538" t="inlineStr">
        <is>
          <t>图文</t>
        </is>
      </c>
      <c r="H538" t="inlineStr">
        <is>
          <t>智利三文鱼切块·整条三文鱼·深海鱼一人食健康饮食</t>
        </is>
      </c>
      <c r="I538" t="inlineStr">
        <is>
          <t>691ac562a524ee0001b51d7b</t>
        </is>
      </c>
      <c r="J538" t="inlineStr">
        <is>
          <t/>
        </is>
      </c>
      <c r="K538" t="n">
        <v>0.0</v>
      </c>
      <c r="L538" t="n">
        <v>0.0</v>
      </c>
      <c r="M538" t="n">
        <v>1.0</v>
      </c>
      <c r="N538" t="n">
        <v>1.0</v>
      </c>
      <c r="O538" t="n">
        <v>1.0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inlineStr">
        <is>
          <t/>
        </is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1.0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3.0</v>
      </c>
      <c r="AL538" t="inlineStr">
        <is>
          <t/>
        </is>
      </c>
    </row>
    <row r="539">
      <c r="A539" t="inlineStr">
        <is>
          <t>这个整条三文鱼还是太超前了</t>
        </is>
      </c>
      <c r="B539" t="inlineStr">
        <is>
          <t>698c4a7f000000001a0245b9</t>
        </is>
      </c>
      <c r="C539" s="538" t="n">
        <f>HYPERLINK("https://www.xiaohongshu.com/explore/698c4a7f000000001a0245b9?xsec_token=TBpbSmv2Dvzozu0JyB91ReC66B6SXpbUkYoSr5rurwqSQ=&amp;xsec_source=pc_trdark","https://www.xiaohongshu.com/explore/698c4a7f000000001a0245b9?xsec_token=TBpbSmv2Dvzozu0JyB91ReC66B6SXpbUkYoSr5rurwqSQ=&amp;xsec_source=pc_trdark")</f>
        <v>0.0</v>
      </c>
      <c r="D539" t="inlineStr">
        <is>
          <t>鲜水湾</t>
        </is>
      </c>
      <c r="E539" t="inlineStr">
        <is>
          <t>49316638994</t>
        </is>
      </c>
      <c r="F539" t="inlineStr">
        <is>
          <t>2026-02-11 17:23:11</t>
        </is>
      </c>
      <c r="G539" t="inlineStr">
        <is>
          <t>图文</t>
        </is>
      </c>
      <c r="H539" t="inlineStr">
        <is>
          <t>智利三文鱼切块·整条三文鱼·深海鱼一人食健康饮食</t>
        </is>
      </c>
      <c r="I539" t="inlineStr">
        <is>
          <t>691ac562a524ee0001b51d7b</t>
        </is>
      </c>
      <c r="J539" t="inlineStr">
        <is>
          <t/>
        </is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inlineStr">
        <is>
          <t/>
        </is>
      </c>
      <c r="R539" t="inlineStr">
        <is>
          <t/>
        </is>
      </c>
      <c r="S539" t="n">
        <v>0.0</v>
      </c>
      <c r="T539" t="n">
        <v>0.0</v>
      </c>
      <c r="U539" t="n">
        <v>0.0</v>
      </c>
      <c r="V539" t="n">
        <v>0.0</v>
      </c>
      <c r="W539" t="inlineStr">
        <is>
          <t/>
        </is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1.0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inlineStr">
        <is>
          <t/>
        </is>
      </c>
    </row>
    <row r="540">
      <c r="A540" t="inlineStr">
        <is>
          <t>讲真！自己像米其林大厨🧑‍🍳</t>
        </is>
      </c>
      <c r="B540" t="inlineStr">
        <is>
          <t>69897fe4000000002801ed74</t>
        </is>
      </c>
      <c r="C540" s="539" t="n">
        <f>HYPERLINK("https://www.xiaohongshu.com/explore/69897fe4000000002801ed74?xsec_token=TBeAeWMkLJ9etYlFDlK3pguZaINAfHwvOzpr8AxU8Cp0k=&amp;xsec_source=pc_trdark","https://www.xiaohongshu.com/explore/69897fe4000000002801ed74?xsec_token=TBeAeWMkLJ9etYlFDlK3pguZaINAfHwvOzpr8AxU8Cp0k=&amp;xsec_source=pc_trdark")</f>
        <v>0.0</v>
      </c>
      <c r="D540" t="inlineStr">
        <is>
          <t>鲜水湾</t>
        </is>
      </c>
      <c r="E540" t="inlineStr">
        <is>
          <t>49316638994</t>
        </is>
      </c>
      <c r="F540" t="inlineStr">
        <is>
          <t>2026-02-09 14:34:12</t>
        </is>
      </c>
      <c r="G540" t="inlineStr">
        <is>
          <t>图文</t>
        </is>
      </c>
      <c r="H540" t="inlineStr">
        <is>
          <t>智利三文鱼切块·整条三文鱼·深海鱼一人食健康饮食</t>
        </is>
      </c>
      <c r="I540" t="inlineStr">
        <is>
          <t>691ac562a524ee0001b51d7b</t>
        </is>
      </c>
      <c r="J540" t="inlineStr">
        <is>
          <t/>
        </is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inlineStr">
        <is>
          <t/>
        </is>
      </c>
      <c r="R540" t="inlineStr">
        <is>
          <t/>
        </is>
      </c>
      <c r="S540" t="n">
        <v>0.0</v>
      </c>
      <c r="T540" t="n">
        <v>0.0</v>
      </c>
      <c r="U540" t="n">
        <v>0.0</v>
      </c>
      <c r="V540" t="n">
        <v>0.0</v>
      </c>
      <c r="W540" t="inlineStr">
        <is>
          <t/>
        </is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1.0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2.0</v>
      </c>
      <c r="AL540" t="inlineStr">
        <is>
          <t/>
        </is>
      </c>
    </row>
    <row r="541">
      <c r="A541" t="inlineStr">
        <is>
          <t>发现现在的年轻人真的低估了100块的购买力…</t>
        </is>
      </c>
      <c r="B541" t="inlineStr">
        <is>
          <t>6985f011000000000d00ae2b</t>
        </is>
      </c>
      <c r="C541" s="540" t="n">
        <f>HYPERLINK("https://www.xiaohongshu.com/explore/6985f011000000000d00ae2b?xsec_token=TB_5RNbIh6A19RWGV21Hy8y86A-uQs1x1bmtf7UdJLUKo=&amp;xsec_source=pc_trdark","https://www.xiaohongshu.com/explore/6985f011000000000d00ae2b?xsec_token=TB_5RNbIh6A19RWGV21Hy8y86A-uQs1x1bmtf7UdJLUKo=&amp;xsec_source=pc_trdark")</f>
        <v>0.0</v>
      </c>
      <c r="D541" t="inlineStr">
        <is>
          <t>鲜水湾</t>
        </is>
      </c>
      <c r="E541" t="inlineStr">
        <is>
          <t>49316638994</t>
        </is>
      </c>
      <c r="F541" t="inlineStr">
        <is>
          <t>2026-02-06 21:43:45</t>
        </is>
      </c>
      <c r="G541" t="inlineStr">
        <is>
          <t>图文</t>
        </is>
      </c>
      <c r="H541" t="inlineStr">
        <is>
          <t>智利三文鱼切块·整条三文鱼·深海鱼一人食健康饮食</t>
        </is>
      </c>
      <c r="I541" t="inlineStr">
        <is>
          <t>691ac562a524ee0001b51d7b</t>
        </is>
      </c>
      <c r="J541" t="inlineStr">
        <is>
          <t/>
        </is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inlineStr">
        <is>
          <t/>
        </is>
      </c>
      <c r="R541" t="inlineStr">
        <is>
          <t/>
        </is>
      </c>
      <c r="S541" t="n">
        <v>0.0</v>
      </c>
      <c r="T541" t="n">
        <v>0.0</v>
      </c>
      <c r="U541" t="n">
        <v>0.0</v>
      </c>
      <c r="V541" t="n">
        <v>0.0</v>
      </c>
      <c r="W541" t="inlineStr">
        <is>
          <t/>
        </is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1.0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2.0</v>
      </c>
      <c r="AL541" t="inlineStr">
        <is>
          <t/>
        </is>
      </c>
    </row>
    <row r="542">
      <c r="A542" t="inlineStr">
        <is>
          <t>区区300块！承包管理期一个月晚餐🍣</t>
        </is>
      </c>
      <c r="B542" t="inlineStr">
        <is>
          <t>698404a5000000001a02515f</t>
        </is>
      </c>
      <c r="C542" s="541" t="n">
        <f>HYPERLINK("https://www.xiaohongshu.com/explore/698404a5000000001a02515f?xsec_token=TBn0ftdrPlwv37Gn1tDFpAI-44n--kANrJmbPcJicRDLM=&amp;xsec_source=pc_trdark","https://www.xiaohongshu.com/explore/698404a5000000001a02515f?xsec_token=TBn0ftdrPlwv37Gn1tDFpAI-44n--kANrJmbPcJicRDLM=&amp;xsec_source=pc_trdark")</f>
        <v>0.0</v>
      </c>
      <c r="D542" t="inlineStr">
        <is>
          <t>鲜水湾</t>
        </is>
      </c>
      <c r="E542" t="inlineStr">
        <is>
          <t>49316638994</t>
        </is>
      </c>
      <c r="F542" t="inlineStr">
        <is>
          <t>2026-02-05 10:47:01</t>
        </is>
      </c>
      <c r="G542" t="inlineStr">
        <is>
          <t>图文</t>
        </is>
      </c>
      <c r="H542" t="inlineStr">
        <is>
          <t>智利三文鱼切块·整条三文鱼·深海鱼一人食健康饮食</t>
        </is>
      </c>
      <c r="I542" t="inlineStr">
        <is>
          <t>691ac562a524ee0001b51d7b</t>
        </is>
      </c>
      <c r="J542" t="inlineStr">
        <is>
          <t/>
        </is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inlineStr">
        <is>
          <t/>
        </is>
      </c>
      <c r="R542" t="inlineStr">
        <is>
          <t/>
        </is>
      </c>
      <c r="S542" t="n">
        <v>0.0</v>
      </c>
      <c r="T542" t="n">
        <v>0.0</v>
      </c>
      <c r="U542" t="n">
        <v>0.0</v>
      </c>
      <c r="V542" t="n">
        <v>0.0</v>
      </c>
      <c r="W542" t="inlineStr">
        <is>
          <t/>
        </is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1.0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4.0</v>
      </c>
      <c r="AL542" t="inlineStr">
        <is>
          <t/>
        </is>
      </c>
    </row>
    <row r="543">
      <c r="A543" t="inlineStr">
        <is>
          <t>成功代替车厘子在我心中的地位……</t>
        </is>
      </c>
      <c r="B543" t="inlineStr">
        <is>
          <t>6980641a000000000c034ea0</t>
        </is>
      </c>
      <c r="C543" s="542" t="n">
        <f>HYPERLINK("https://www.xiaohongshu.com/explore/6980641a000000000c034ea0?xsec_token=TBZp4EcwSVhJKyeKQt7CpumeF_oKqtnRQDv-nG9X5gfZ0=&amp;xsec_source=pc_trdark","https://www.xiaohongshu.com/explore/6980641a000000000c034ea0?xsec_token=TBZp4EcwSVhJKyeKQt7CpumeF_oKqtnRQDv-nG9X5gfZ0=&amp;xsec_source=pc_trdark")</f>
        <v>0.0</v>
      </c>
      <c r="D543" t="inlineStr">
        <is>
          <t>鲜水湾甄选</t>
        </is>
      </c>
      <c r="E543" t="inlineStr">
        <is>
          <t>27401929161</t>
        </is>
      </c>
      <c r="F543" t="inlineStr">
        <is>
          <t>2026-02-02 16:45:14</t>
        </is>
      </c>
      <c r="G543" t="inlineStr">
        <is>
          <t>图文</t>
        </is>
      </c>
      <c r="H543" t="inlineStr">
        <is>
          <t>北极甜虾头籽甜虾元宝虾北极熊冰虾孕妈妈宝宝辅食顺丰</t>
        </is>
      </c>
      <c r="I543" t="inlineStr">
        <is>
          <t>6953717eb8f0bb000115158d</t>
        </is>
      </c>
      <c r="J543" t="inlineStr">
        <is>
          <t/>
        </is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inlineStr">
        <is>
          <t/>
        </is>
      </c>
      <c r="R543" t="inlineStr">
        <is>
          <t/>
        </is>
      </c>
      <c r="S543" t="n">
        <v>0.0</v>
      </c>
      <c r="T543" t="n">
        <v>0.0</v>
      </c>
      <c r="U543" t="n">
        <v>0.0</v>
      </c>
      <c r="V543" t="n">
        <v>0.0</v>
      </c>
      <c r="W543" t="inlineStr">
        <is>
          <t/>
        </is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1.0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2.0</v>
      </c>
      <c r="AL543" t="inlineStr">
        <is>
          <t/>
        </is>
      </c>
    </row>
    <row r="544">
      <c r="A544" t="inlineStr">
        <is>
          <t>终于找到性价比天花板！这三文鱼比⛰️姆划算</t>
        </is>
      </c>
      <c r="B544" t="inlineStr">
        <is>
          <t>69770c77000000001a01cb2f</t>
        </is>
      </c>
      <c r="C544" s="543" t="n">
        <f>HYPERLINK("https://www.xiaohongshu.com/explore/69770c77000000001a01cb2f?xsec_token=TBZa2Y5La6UySpk4oKPt7hfxYzxcd8zC6ovj4vxPHsmAg=&amp;xsec_source=pc_trdark","https://www.xiaohongshu.com/explore/69770c77000000001a01cb2f?xsec_token=TBZa2Y5La6UySpk4oKPt7hfxYzxcd8zC6ovj4vxPHsmAg=&amp;xsec_source=pc_trdark")</f>
        <v>0.0</v>
      </c>
      <c r="D544" t="inlineStr">
        <is>
          <t>鲜水湾</t>
        </is>
      </c>
      <c r="E544" t="inlineStr">
        <is>
          <t>49316638994</t>
        </is>
      </c>
      <c r="F544" t="inlineStr">
        <is>
          <t>2026-01-26 14:40:55</t>
        </is>
      </c>
      <c r="G544" t="inlineStr">
        <is>
          <t>图文</t>
        </is>
      </c>
      <c r="H544" t="inlineStr">
        <is>
          <t>智利三文鱼切块·整条三文鱼·深海鱼一人食健康饮食</t>
        </is>
      </c>
      <c r="I544" t="inlineStr">
        <is>
          <t>691ac562a524ee0001b51d7b</t>
        </is>
      </c>
      <c r="J544" t="inlineStr">
        <is>
          <t/>
        </is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inlineStr">
        <is>
          <t/>
        </is>
      </c>
      <c r="R544" t="inlineStr">
        <is>
          <t/>
        </is>
      </c>
      <c r="S544" t="n">
        <v>0.0</v>
      </c>
      <c r="T544" t="n">
        <v>0.0</v>
      </c>
      <c r="U544" t="n">
        <v>0.0</v>
      </c>
      <c r="V544" t="n">
        <v>0.0</v>
      </c>
      <c r="W544" t="inlineStr">
        <is>
          <t/>
        </is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1.0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4.0</v>
      </c>
      <c r="AL544" t="inlineStr">
        <is>
          <t/>
        </is>
      </c>
    </row>
    <row r="545">
      <c r="A545" t="inlineStr">
        <is>
          <t>区区300块承包了我一个月的低脂餐</t>
        </is>
      </c>
      <c r="B545" t="inlineStr">
        <is>
          <t>6976c763000000001a02bd8d</t>
        </is>
      </c>
      <c r="C545" s="544" t="n">
        <f>HYPERLINK("https://www.xiaohongshu.com/explore/6976c763000000001a02bd8d?xsec_token=TBEjiQazNQ2GMSJvE5OHqWXpZu9XuycYyPoI8S0NbTa78=&amp;xsec_source=pc_trdark","https://www.xiaohongshu.com/explore/6976c763000000001a02bd8d?xsec_token=TBEjiQazNQ2GMSJvE5OHqWXpZu9XuycYyPoI8S0NbTa78=&amp;xsec_source=pc_trdark")</f>
        <v>0.0</v>
      </c>
      <c r="D545" t="inlineStr">
        <is>
          <t>鲜水湾</t>
        </is>
      </c>
      <c r="E545" t="inlineStr">
        <is>
          <t>49316638994</t>
        </is>
      </c>
      <c r="F545" t="inlineStr">
        <is>
          <t>2026-01-26 09:46:11</t>
        </is>
      </c>
      <c r="G545" t="inlineStr">
        <is>
          <t>图文</t>
        </is>
      </c>
      <c r="H545" t="inlineStr">
        <is>
          <t>智利三文鱼切块·整条三文鱼·深海鱼一人食健康饮食</t>
        </is>
      </c>
      <c r="I545" t="inlineStr">
        <is>
          <t>691ac562a524ee0001b51d7b</t>
        </is>
      </c>
      <c r="J545" t="inlineStr">
        <is>
          <t/>
        </is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inlineStr">
        <is>
          <t/>
        </is>
      </c>
      <c r="R545" t="inlineStr">
        <is>
          <t/>
        </is>
      </c>
      <c r="S545" t="n">
        <v>0.0</v>
      </c>
      <c r="T545" t="n">
        <v>0.0</v>
      </c>
      <c r="U545" t="n">
        <v>0.0</v>
      </c>
      <c r="V545" t="n">
        <v>0.0</v>
      </c>
      <c r="W545" t="inlineStr">
        <is>
          <t/>
        </is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1.0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3.0</v>
      </c>
      <c r="AL545" t="inlineStr">
        <is>
          <t/>
        </is>
      </c>
    </row>
    <row r="546">
      <c r="A546" t="inlineStr">
        <is>
          <t>到季节了！这个乳山生蚝太肥了</t>
        </is>
      </c>
      <c r="B546" t="inlineStr">
        <is>
          <t>695542bc000000001e03711a</t>
        </is>
      </c>
      <c r="C546" s="545" t="n">
        <f>HYPERLINK("https://www.xiaohongshu.com/explore/695542bc000000001e03711a?xsec_token=TBIaTt8bDdfMemJ3dJpsBVNEpQGzC0cmx-IiY_YDjPRDI=&amp;xsec_source=pc_trdark","https://www.xiaohongshu.com/explore/695542bc000000001e03711a?xsec_token=TBIaTt8bDdfMemJ3dJpsBVNEpQGzC0cmx-IiY_YDjPRDI=&amp;xsec_source=pc_trdark")</f>
        <v>0.0</v>
      </c>
      <c r="D546" t="inlineStr">
        <is>
          <t>鲜水湾</t>
        </is>
      </c>
      <c r="E546" t="inlineStr">
        <is>
          <t>49316638994</t>
        </is>
      </c>
      <c r="F546" t="inlineStr">
        <is>
          <t>2025-12-31 23:35:24</t>
        </is>
      </c>
      <c r="G546" t="inlineStr">
        <is>
          <t>图文</t>
        </is>
      </c>
      <c r="H546" t="inlineStr">
        <is>
          <t>生蚝乳山生蚝海蛎子顺丰包邮</t>
        </is>
      </c>
      <c r="I546" t="inlineStr">
        <is>
          <t>690c70971b787900010866cc</t>
        </is>
      </c>
      <c r="J546" t="inlineStr">
        <is>
          <t/>
        </is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inlineStr">
        <is>
          <t/>
        </is>
      </c>
      <c r="R546" t="inlineStr">
        <is>
          <t/>
        </is>
      </c>
      <c r="S546" t="n">
        <v>0.0</v>
      </c>
      <c r="T546" t="n">
        <v>0.0</v>
      </c>
      <c r="U546" t="n">
        <v>0.0</v>
      </c>
      <c r="V546" t="n">
        <v>0.0</v>
      </c>
      <c r="W546" t="inlineStr">
        <is>
          <t/>
        </is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1.0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2.0</v>
      </c>
      <c r="AL546" t="inlineStr">
        <is>
          <t/>
        </is>
      </c>
    </row>
    <row r="547">
      <c r="A547" t="inlineStr">
        <is>
          <t>我妈让我通知各位：整条鱼200多可以冲了‼️</t>
        </is>
      </c>
      <c r="B547" t="inlineStr">
        <is>
          <t>693d2cdc000000001f0075a4</t>
        </is>
      </c>
      <c r="C547" s="546" t="n">
        <f>HYPERLINK("https://www.xiaohongshu.com/explore/693d2cdc000000001f0075a4?xsec_token=TBz651BHP1Dr15NeLsAqSGPgl1sDuSofFc9NSt7WNS2cs=&amp;xsec_source=pc_trdark","https://www.xiaohongshu.com/explore/693d2cdc000000001f0075a4?xsec_token=TBz651BHP1Dr15NeLsAqSGPgl1sDuSofFc9NSt7WNS2cs=&amp;xsec_source=pc_trdark")</f>
        <v>0.0</v>
      </c>
      <c r="D547" t="inlineStr">
        <is>
          <t>鲜水湾</t>
        </is>
      </c>
      <c r="E547" t="inlineStr">
        <is>
          <t>49316638994</t>
        </is>
      </c>
      <c r="F547" t="inlineStr">
        <is>
          <t>2025-12-13 17:07:40</t>
        </is>
      </c>
      <c r="G547" t="inlineStr">
        <is>
          <t>图文</t>
        </is>
      </c>
      <c r="H547" t="inlineStr">
        <is>
          <t>智利三文鱼切块·整条三文鱼·深海鱼一人食健康饮食</t>
        </is>
      </c>
      <c r="I547" t="inlineStr">
        <is>
          <t>691ac562a524ee0001b51d7b</t>
        </is>
      </c>
      <c r="J547" t="inlineStr">
        <is>
          <t/>
        </is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inlineStr">
        <is>
          <t/>
        </is>
      </c>
      <c r="R547" t="inlineStr">
        <is>
          <t/>
        </is>
      </c>
      <c r="S547" t="n">
        <v>0.0</v>
      </c>
      <c r="T547" t="n">
        <v>0.0</v>
      </c>
      <c r="U547" t="n">
        <v>0.0</v>
      </c>
      <c r="V547" t="n">
        <v>0.0</v>
      </c>
      <c r="W547" t="inlineStr">
        <is>
          <t/>
        </is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1.0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4.0</v>
      </c>
      <c r="AL547" t="inlineStr">
        <is>
          <t/>
        </is>
      </c>
    </row>
    <row r="548">
      <c r="A548" t="inlineStr">
        <is>
          <t>区区200多，承包了我整个月的减脂餐</t>
        </is>
      </c>
      <c r="B548" t="inlineStr">
        <is>
          <t>693d11c7000000001f00d4a6</t>
        </is>
      </c>
      <c r="C548" s="547" t="n">
        <f>HYPERLINK("https://www.xiaohongshu.com/explore/693d11c7000000001f00d4a6?xsec_token=TBz651BHP1Dr15NeLsAqSGPpHrcfQmPZ1RNBQG6o9sT3k=&amp;xsec_source=pc_trdark","https://www.xiaohongshu.com/explore/693d11c7000000001f00d4a6?xsec_token=TBz651BHP1Dr15NeLsAqSGPpHrcfQmPZ1RNBQG6o9sT3k=&amp;xsec_source=pc_trdark")</f>
        <v>0.0</v>
      </c>
      <c r="D548" t="inlineStr">
        <is>
          <t>鲜水湾</t>
        </is>
      </c>
      <c r="E548" t="inlineStr">
        <is>
          <t>49316638994</t>
        </is>
      </c>
      <c r="F548" t="inlineStr">
        <is>
          <t>2025-12-13 15:12:07</t>
        </is>
      </c>
      <c r="G548" t="inlineStr">
        <is>
          <t>图文</t>
        </is>
      </c>
      <c r="H548" t="inlineStr">
        <is>
          <t>智利三文鱼切块·整条三文鱼·深海鱼一人食健康饮食</t>
        </is>
      </c>
      <c r="I548" t="inlineStr">
        <is>
          <t>691ac562a524ee0001b51d7b</t>
        </is>
      </c>
      <c r="J548" t="inlineStr">
        <is>
          <t/>
        </is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inlineStr">
        <is>
          <t/>
        </is>
      </c>
      <c r="R548" t="inlineStr">
        <is>
          <t/>
        </is>
      </c>
      <c r="S548" t="n">
        <v>0.0</v>
      </c>
      <c r="T548" t="n">
        <v>0.0</v>
      </c>
      <c r="U548" t="n">
        <v>0.0</v>
      </c>
      <c r="V548" t="n">
        <v>0.0</v>
      </c>
      <c r="W548" t="inlineStr">
        <is>
          <t/>
        </is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1.0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26.0</v>
      </c>
      <c r="AL548" t="inlineStr">
        <is>
          <t/>
        </is>
      </c>
    </row>
    <row r="549">
      <c r="A549" t="inlineStr">
        <is>
          <t>要不是吃虾瘦的快，我早就不吃了！</t>
        </is>
      </c>
      <c r="B549" t="inlineStr">
        <is>
          <t>693c089e000000001f00b833</t>
        </is>
      </c>
      <c r="C549" s="548" t="n">
        <f>HYPERLINK("https://www.xiaohongshu.com/explore/693c089e000000001f00b833?xsec_token=TBby_8TUlAJfj-jHsmZvLUDQadctlSDj2QnDumqshe8Is=&amp;xsec_source=pc_trdark","https://www.xiaohongshu.com/explore/693c089e000000001f00b833?xsec_token=TBby_8TUlAJfj-jHsmZvLUDQadctlSDj2QnDumqshe8Is=&amp;xsec_source=pc_trdark")</f>
        <v>0.0</v>
      </c>
      <c r="D549" t="inlineStr">
        <is>
          <t>鲜水湾</t>
        </is>
      </c>
      <c r="E549" t="inlineStr">
        <is>
          <t>49316638994</t>
        </is>
      </c>
      <c r="F549" t="inlineStr">
        <is>
          <t>2025-12-12 20:20:46</t>
        </is>
      </c>
      <c r="G549" t="inlineStr">
        <is>
          <t>图文</t>
        </is>
      </c>
      <c r="H549" t="inlineStr">
        <is>
          <t>大虾基围虾王牌大虾厄瓜多尔白虾盐冻虾仁海洋大虾送礼顺丰包邮</t>
        </is>
      </c>
      <c r="I549" t="inlineStr">
        <is>
          <t>690aeb7be379430001e686ac</t>
        </is>
      </c>
      <c r="J549" t="inlineStr">
        <is>
          <t/>
        </is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inlineStr">
        <is>
          <t/>
        </is>
      </c>
      <c r="R549" t="inlineStr">
        <is>
          <t/>
        </is>
      </c>
      <c r="S549" t="n">
        <v>0.0</v>
      </c>
      <c r="T549" t="n">
        <v>0.0</v>
      </c>
      <c r="U549" t="n">
        <v>0.0</v>
      </c>
      <c r="V549" t="n">
        <v>0.0</v>
      </c>
      <c r="W549" t="inlineStr">
        <is>
          <t/>
        </is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1.0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4.0</v>
      </c>
      <c r="AL549" t="inlineStr">
        <is>
          <t/>
        </is>
      </c>
    </row>
    <row r="550">
      <c r="A550" t="inlineStr">
        <is>
          <t>讲真…年轻人低估了100💰的购买力</t>
        </is>
      </c>
      <c r="B550" t="inlineStr">
        <is>
          <t>69358c43000000001e026616</t>
        </is>
      </c>
      <c r="C550" s="549" t="n">
        <f>HYPERLINK("https://www.xiaohongshu.com/explore/69358c43000000001e026616?xsec_token=TBVD2oNyykPWo5AeaDpfHB-g66dbnYDAWmgdsgoTyZ2cE=&amp;xsec_source=pc_trdark","https://www.xiaohongshu.com/explore/69358c43000000001e026616?xsec_token=TBVD2oNyykPWo5AeaDpfHB-g66dbnYDAWmgdsgoTyZ2cE=&amp;xsec_source=pc_trdark")</f>
        <v>0.0</v>
      </c>
      <c r="D550" t="inlineStr">
        <is>
          <t>鲜水湾</t>
        </is>
      </c>
      <c r="E550" t="inlineStr">
        <is>
          <t>49316638994</t>
        </is>
      </c>
      <c r="F550" t="inlineStr">
        <is>
          <t>2025-12-07 22:16:35</t>
        </is>
      </c>
      <c r="G550" t="inlineStr">
        <is>
          <t>图文</t>
        </is>
      </c>
      <c r="H550" t="inlineStr">
        <is>
          <t>智利三文鱼切块·整条三文鱼·深海鱼一人食健康饮食</t>
        </is>
      </c>
      <c r="I550" t="inlineStr">
        <is>
          <t>691ac562a524ee0001b51d7b</t>
        </is>
      </c>
      <c r="J550" t="inlineStr">
        <is>
          <t/>
        </is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inlineStr">
        <is>
          <t/>
        </is>
      </c>
      <c r="R550" t="inlineStr">
        <is>
          <t/>
        </is>
      </c>
      <c r="S550" t="n">
        <v>0.0</v>
      </c>
      <c r="T550" t="n">
        <v>0.0</v>
      </c>
      <c r="U550" t="n">
        <v>0.0</v>
      </c>
      <c r="V550" t="n">
        <v>0.0</v>
      </c>
      <c r="W550" t="inlineStr">
        <is>
          <t/>
        </is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1.0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4.0</v>
      </c>
      <c r="AL550" t="inlineStr">
        <is>
          <t/>
        </is>
      </c>
    </row>
    <row r="551">
      <c r="A551" t="inlineStr">
        <is>
          <t>爸妈对我每天吃虾表示很奢侈</t>
        </is>
      </c>
      <c r="B551" t="inlineStr">
        <is>
          <t>693397b8000000001d03918c</t>
        </is>
      </c>
      <c r="C551" s="550" t="n">
        <f>HYPERLINK("https://www.xiaohongshu.com/explore/693397b8000000001d03918c?xsec_token=TBtLw60d0rN_yGhfj7_ewzhZQrEH49D2EswsFkD3n_bkY=&amp;xsec_source=pc_trdark","https://www.xiaohongshu.com/explore/693397b8000000001d03918c?xsec_token=TBtLw60d0rN_yGhfj7_ewzhZQrEH49D2EswsFkD3n_bkY=&amp;xsec_source=pc_trdark")</f>
        <v>0.0</v>
      </c>
      <c r="D551" t="inlineStr">
        <is>
          <t>鲜水湾甄选</t>
        </is>
      </c>
      <c r="E551" t="inlineStr">
        <is>
          <t>27401929161</t>
        </is>
      </c>
      <c r="F551" t="inlineStr">
        <is>
          <t>2025-12-06 10:40:56</t>
        </is>
      </c>
      <c r="G551" t="inlineStr">
        <is>
          <t>图文</t>
        </is>
      </c>
      <c r="H551" t="inlineStr">
        <is>
          <t>大虾基围虾王牌大虾厄瓜多尔白虾盐冻虾仁海洋大虾送礼顺丰包邮</t>
        </is>
      </c>
      <c r="I551" t="inlineStr">
        <is>
          <t>690aeb7be379430001e686ac</t>
        </is>
      </c>
      <c r="J551" t="inlineStr">
        <is>
          <t/>
        </is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inlineStr">
        <is>
          <t/>
        </is>
      </c>
      <c r="R551" t="inlineStr">
        <is>
          <t/>
        </is>
      </c>
      <c r="S551" t="n">
        <v>0.0</v>
      </c>
      <c r="T551" t="n">
        <v>0.0</v>
      </c>
      <c r="U551" t="n">
        <v>0.0</v>
      </c>
      <c r="V551" t="n">
        <v>0.0</v>
      </c>
      <c r="W551" t="inlineStr">
        <is>
          <t/>
        </is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1.0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2.0</v>
      </c>
      <c r="AL551" t="inlineStr">
        <is>
          <t/>
        </is>
      </c>
    </row>
    <row r="552">
      <c r="A552" t="inlineStr">
        <is>
          <t>我妈说：你就41r一直卖，总会出单的</t>
        </is>
      </c>
      <c r="B552" t="inlineStr">
        <is>
          <t>6932a29d000000001e0213f6</t>
        </is>
      </c>
      <c r="C552" s="551" t="n">
        <f>HYPERLINK("https://www.xiaohongshu.com/explore/6932a29d000000001e0213f6?xsec_token=TBpgGkEYDo_gVOMrYT9wIn9z6vfXDhvw6nIa3HACWFP9s=&amp;xsec_source=pc_trdark","https://www.xiaohongshu.com/explore/6932a29d000000001e0213f6?xsec_token=TBpgGkEYDo_gVOMrYT9wIn9z6vfXDhvw6nIa3HACWFP9s=&amp;xsec_source=pc_trdark")</f>
        <v>0.0</v>
      </c>
      <c r="D552" t="inlineStr">
        <is>
          <t>鲜水湾</t>
        </is>
      </c>
      <c r="E552" t="inlineStr">
        <is>
          <t>49316638994</t>
        </is>
      </c>
      <c r="F552" t="inlineStr">
        <is>
          <t>2025-12-05 17:15:09</t>
        </is>
      </c>
      <c r="G552" t="inlineStr">
        <is>
          <t>图文</t>
        </is>
      </c>
      <c r="H552" t="inlineStr">
        <is>
          <t>智利三文鱼切块·整条三文鱼·深海鱼一人食健康饮食</t>
        </is>
      </c>
      <c r="I552" t="inlineStr">
        <is>
          <t>691ac562a524ee0001b51d7b</t>
        </is>
      </c>
      <c r="J552" t="inlineStr">
        <is>
          <t/>
        </is>
      </c>
      <c r="K552" t="n">
        <v>0.0</v>
      </c>
      <c r="L552" t="n">
        <v>0.0</v>
      </c>
      <c r="M552" t="n">
        <v>3.0</v>
      </c>
      <c r="N552" t="n">
        <v>3.0</v>
      </c>
      <c r="O552" t="n">
        <v>2.0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inlineStr">
        <is>
          <t/>
        </is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1.0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88.0</v>
      </c>
      <c r="AL552" t="inlineStr">
        <is>
          <t/>
        </is>
      </c>
    </row>
    <row r="553">
      <c r="A553" t="inlineStr">
        <is>
          <t>马上元旦了，都来囤我家大虾吧！！</t>
        </is>
      </c>
      <c r="B553" t="inlineStr">
        <is>
          <t>69328cb8000000001f0062ce</t>
        </is>
      </c>
      <c r="C553" s="552" t="n">
        <f>HYPERLINK("https://www.xiaohongshu.com/explore/69328cb8000000001f0062ce?xsec_token=TBpgGkEYDo_gVOMrYT9wIn94nVVTjcLT2GuGmQI9u37lQ=&amp;xsec_source=pc_trdark","https://www.xiaohongshu.com/explore/69328cb8000000001f0062ce?xsec_token=TBpgGkEYDo_gVOMrYT9wIn94nVVTjcLT2GuGmQI9u37lQ=&amp;xsec_source=pc_trdark")</f>
        <v>0.0</v>
      </c>
      <c r="D553" t="inlineStr">
        <is>
          <t>鲜水湾</t>
        </is>
      </c>
      <c r="E553" t="inlineStr">
        <is>
          <t>49316638994</t>
        </is>
      </c>
      <c r="F553" t="inlineStr">
        <is>
          <t>2025-12-05 15:41:44</t>
        </is>
      </c>
      <c r="G553" t="inlineStr">
        <is>
          <t>图文</t>
        </is>
      </c>
      <c r="H553" t="inlineStr">
        <is>
          <t>大虾基围虾王牌大虾厄瓜多尔白虾盐冻虾仁海洋大虾送礼顺丰包邮</t>
        </is>
      </c>
      <c r="I553" t="inlineStr">
        <is>
          <t>690aeb7be379430001e686ac</t>
        </is>
      </c>
      <c r="J553" t="inlineStr">
        <is>
          <t/>
        </is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inlineStr">
        <is>
          <t/>
        </is>
      </c>
      <c r="R553" t="inlineStr">
        <is>
          <t/>
        </is>
      </c>
      <c r="S553" t="n">
        <v>0.0</v>
      </c>
      <c r="T553" t="n">
        <v>0.0</v>
      </c>
      <c r="U553" t="n">
        <v>0.0</v>
      </c>
      <c r="V553" t="n">
        <v>0.0</v>
      </c>
      <c r="W553" t="inlineStr">
        <is>
          <t/>
        </is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1.0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1.0</v>
      </c>
      <c r="AL553" t="inlineStr">
        <is>
          <t/>
        </is>
      </c>
    </row>
    <row r="554">
      <c r="A554" t="inlineStr">
        <is>
          <t>一个能撑死人，但热量很低的东西</t>
        </is>
      </c>
      <c r="B554" t="inlineStr">
        <is>
          <t>69231eff000000001e022941</t>
        </is>
      </c>
      <c r="C554" s="553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554" t="inlineStr">
        <is>
          <t>鲜水湾</t>
        </is>
      </c>
      <c r="E554" t="inlineStr">
        <is>
          <t>49316638994</t>
        </is>
      </c>
      <c r="F554" t="inlineStr">
        <is>
          <t>2025-11-23 22:49:35</t>
        </is>
      </c>
      <c r="G554" t="inlineStr">
        <is>
          <t>图文</t>
        </is>
      </c>
      <c r="H554" t="inlineStr">
        <is>
          <t>大虾基围虾王牌大虾厄瓜多尔白虾盐冻虾仁海洋大虾送礼顺丰包邮</t>
        </is>
      </c>
      <c r="I554" t="inlineStr">
        <is>
          <t>690aeb7be379430001e686ac</t>
        </is>
      </c>
      <c r="J554" t="inlineStr">
        <is>
          <t/>
        </is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inlineStr">
        <is>
          <t/>
        </is>
      </c>
      <c r="R554" t="inlineStr">
        <is>
          <t/>
        </is>
      </c>
      <c r="S554" t="n">
        <v>0.0</v>
      </c>
      <c r="T554" t="n">
        <v>0.0</v>
      </c>
      <c r="U554" t="n">
        <v>0.0</v>
      </c>
      <c r="V554" t="n">
        <v>0.0</v>
      </c>
      <c r="W554" t="inlineStr">
        <is>
          <t/>
        </is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1.0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5.0</v>
      </c>
      <c r="AL554" t="inlineStr">
        <is>
          <t/>
        </is>
      </c>
    </row>
    <row r="555">
      <c r="A555" t="inlineStr">
        <is>
          <t>70块承包半月夜宵！这虾比泡面还值😭</t>
        </is>
      </c>
      <c r="B555" t="inlineStr">
        <is>
          <t>6920750f000000001f00bac4</t>
        </is>
      </c>
      <c r="C555" s="554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555" t="inlineStr">
        <is>
          <t>鲜水湾</t>
        </is>
      </c>
      <c r="E555" t="inlineStr">
        <is>
          <t>49316638994</t>
        </is>
      </c>
      <c r="F555" t="inlineStr">
        <is>
          <t>2025-11-21 22:19:59</t>
        </is>
      </c>
      <c r="G555" t="inlineStr">
        <is>
          <t>图文</t>
        </is>
      </c>
      <c r="H555" t="inlineStr">
        <is>
          <t>大虾基围虾王牌大虾厄瓜多尔白虾盐冻虾仁海洋大虾送礼顺丰包邮</t>
        </is>
      </c>
      <c r="I555" t="inlineStr">
        <is>
          <t>690aeb7be379430001e686ac</t>
        </is>
      </c>
      <c r="J555" t="inlineStr">
        <is>
          <t/>
        </is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inlineStr">
        <is>
          <t/>
        </is>
      </c>
      <c r="R555" t="inlineStr">
        <is>
          <t/>
        </is>
      </c>
      <c r="S555" t="n">
        <v>0.0</v>
      </c>
      <c r="T555" t="n">
        <v>0.0</v>
      </c>
      <c r="U555" t="n">
        <v>0.0</v>
      </c>
      <c r="V555" t="n">
        <v>0.0</v>
      </c>
      <c r="W555" t="inlineStr">
        <is>
          <t/>
        </is>
      </c>
      <c r="X555" t="n">
        <v>0.0</v>
      </c>
      <c r="Y555" t="n">
        <v>0.0</v>
      </c>
      <c r="Z555" t="n">
        <v>1.0</v>
      </c>
      <c r="AA555" t="n">
        <v>0.0</v>
      </c>
      <c r="AB555" t="n">
        <v>0.0</v>
      </c>
      <c r="AC555" t="n">
        <v>0.0</v>
      </c>
      <c r="AD555" t="n">
        <v>1.0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7.0</v>
      </c>
      <c r="AL555" t="inlineStr">
        <is>
          <t/>
        </is>
      </c>
    </row>
    <row r="556">
      <c r="A556" t="inlineStr">
        <is>
          <t>新店开业❗️69.9💰3斤海洋大虾</t>
        </is>
      </c>
      <c r="B556" t="inlineStr">
        <is>
          <t>691dce53000000001e02d187</t>
        </is>
      </c>
      <c r="C556" s="555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556" t="inlineStr">
        <is>
          <t>鲜水湾</t>
        </is>
      </c>
      <c r="E556" t="inlineStr">
        <is>
          <t>49316638994</t>
        </is>
      </c>
      <c r="F556" t="inlineStr">
        <is>
          <t>2025-11-19 22:04:03</t>
        </is>
      </c>
      <c r="G556" t="inlineStr">
        <is>
          <t>图文</t>
        </is>
      </c>
      <c r="H556" t="inlineStr">
        <is>
          <t>大虾基围虾王牌大虾厄瓜多尔白虾盐冻虾仁海洋大虾送礼顺丰包邮</t>
        </is>
      </c>
      <c r="I556" t="inlineStr">
        <is>
          <t>690aeb7be379430001e686ac</t>
        </is>
      </c>
      <c r="J556" t="inlineStr">
        <is>
          <t/>
        </is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inlineStr">
        <is>
          <t/>
        </is>
      </c>
      <c r="R556" t="inlineStr">
        <is>
          <t/>
        </is>
      </c>
      <c r="S556" t="n">
        <v>0.0</v>
      </c>
      <c r="T556" t="n">
        <v>0.0</v>
      </c>
      <c r="U556" t="n">
        <v>0.0</v>
      </c>
      <c r="V556" t="n">
        <v>0.0</v>
      </c>
      <c r="W556" t="inlineStr">
        <is>
          <t/>
        </is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1.0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3.0</v>
      </c>
      <c r="AL556" t="inlineStr">
        <is>
          <t/>
        </is>
      </c>
    </row>
    <row r="557">
      <c r="A557" t="inlineStr">
        <is>
          <t>不要低估50💰的购买力，敞开吃吧……</t>
        </is>
      </c>
      <c r="B557" t="inlineStr">
        <is>
          <t>691dcca3000000001f00d933</t>
        </is>
      </c>
      <c r="C557" s="556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557" t="inlineStr">
        <is>
          <t>婉婉上班吃什么</t>
        </is>
      </c>
      <c r="E557" t="inlineStr">
        <is>
          <t>11434449706</t>
        </is>
      </c>
      <c r="F557" t="inlineStr">
        <is>
          <t>2025-11-19 21:56:51</t>
        </is>
      </c>
      <c r="G557" t="inlineStr">
        <is>
          <t>视频</t>
        </is>
      </c>
      <c r="H557" t="inlineStr">
        <is>
          <t>生蚝乳山生蚝海蛎子顺丰包邮</t>
        </is>
      </c>
      <c r="I557" t="inlineStr">
        <is>
          <t>690c70971b787900010866cc</t>
        </is>
      </c>
      <c r="J557" t="n">
        <v>29.0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inlineStr">
        <is>
          <t/>
        </is>
      </c>
      <c r="R557" t="inlineStr">
        <is>
          <t/>
        </is>
      </c>
      <c r="S557" t="n">
        <v>0.0</v>
      </c>
      <c r="T557" t="n">
        <v>0.0</v>
      </c>
      <c r="U557" t="n">
        <v>0.0</v>
      </c>
      <c r="V557" t="n">
        <v>0.0</v>
      </c>
      <c r="W557" t="inlineStr">
        <is>
          <t/>
        </is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1.0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5.0</v>
      </c>
      <c r="AL557" t="n">
        <v>0.0</v>
      </c>
    </row>
    <row r="558">
      <c r="A558" t="inlineStr">
        <is>
          <t>60+💰很适合上班族带饭的虾</t>
        </is>
      </c>
      <c r="B558" t="inlineStr">
        <is>
          <t>6916fd440000000004002b06</t>
        </is>
      </c>
      <c r="C558" s="557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558" t="inlineStr">
        <is>
          <t>鲜水湾</t>
        </is>
      </c>
      <c r="E558" t="inlineStr">
        <is>
          <t>49316638994</t>
        </is>
      </c>
      <c r="F558" t="inlineStr">
        <is>
          <t>2025-11-14 17:58:28</t>
        </is>
      </c>
      <c r="G558" t="inlineStr">
        <is>
          <t>图文</t>
        </is>
      </c>
      <c r="H558" t="inlineStr">
        <is>
          <t>大虾基围虾王牌大虾厄瓜多尔白虾盐冻虾仁海洋大虾送礼顺丰包邮</t>
        </is>
      </c>
      <c r="I558" t="inlineStr">
        <is>
          <t>690aeb7be379430001e686ac</t>
        </is>
      </c>
      <c r="J558" t="inlineStr">
        <is>
          <t/>
        </is>
      </c>
      <c r="K558" t="n">
        <v>0.0</v>
      </c>
      <c r="L558" t="n">
        <v>0.0</v>
      </c>
      <c r="M558" t="n">
        <v>1.0</v>
      </c>
      <c r="N558" t="n">
        <v>1.0</v>
      </c>
      <c r="O558" t="n">
        <v>1.0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inlineStr">
        <is>
          <t/>
        </is>
      </c>
      <c r="X558" t="n">
        <v>0.0</v>
      </c>
      <c r="Y558" t="n">
        <v>1.0</v>
      </c>
      <c r="Z558" t="n">
        <v>1.0</v>
      </c>
      <c r="AA558" t="n">
        <v>0.0</v>
      </c>
      <c r="AB558" t="n">
        <v>0.0</v>
      </c>
      <c r="AC558" t="n">
        <v>0.0</v>
      </c>
      <c r="AD558" t="n">
        <v>1.0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25.0</v>
      </c>
      <c r="AL558" t="inlineStr">
        <is>
          <t/>
        </is>
      </c>
    </row>
    <row r="559">
      <c r="A559" t="inlineStr">
        <is>
          <t>太香了！60多就能买满满一箱大虾！</t>
        </is>
      </c>
      <c r="B559" t="inlineStr">
        <is>
          <t>6915760a0000000004013483</t>
        </is>
      </c>
      <c r="C559" s="558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559" t="inlineStr">
        <is>
          <t>鲜水湾</t>
        </is>
      </c>
      <c r="E559" t="inlineStr">
        <is>
          <t>49316638994</t>
        </is>
      </c>
      <c r="F559" t="inlineStr">
        <is>
          <t>2025-11-13 14:09:14</t>
        </is>
      </c>
      <c r="G559" t="inlineStr">
        <is>
          <t>图文</t>
        </is>
      </c>
      <c r="H559" t="inlineStr">
        <is>
          <t>大虾基围虾王牌大虾厄瓜多尔白虾盐冻虾仁海洋大虾送礼顺丰包邮</t>
        </is>
      </c>
      <c r="I559" t="inlineStr">
        <is>
          <t>690aeb7be379430001e686ac</t>
        </is>
      </c>
      <c r="J559" t="inlineStr">
        <is>
          <t/>
        </is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inlineStr">
        <is>
          <t/>
        </is>
      </c>
      <c r="R559" t="inlineStr">
        <is>
          <t/>
        </is>
      </c>
      <c r="S559" t="n">
        <v>0.0</v>
      </c>
      <c r="T559" t="n">
        <v>0.0</v>
      </c>
      <c r="U559" t="n">
        <v>0.0</v>
      </c>
      <c r="V559" t="n">
        <v>0.0</v>
      </c>
      <c r="W559" t="inlineStr">
        <is>
          <t/>
        </is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1.0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inlineStr">
        <is>
          <t/>
        </is>
      </c>
    </row>
    <row r="560">
      <c r="A560" t="inlineStr">
        <is>
          <t>60几块钱的购买力，远比我想得多得多</t>
        </is>
      </c>
      <c r="B560" t="inlineStr">
        <is>
          <t>691441d10000000005030f68</t>
        </is>
      </c>
      <c r="C560" s="559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560" t="inlineStr">
        <is>
          <t>鲜水湾</t>
        </is>
      </c>
      <c r="E560" t="inlineStr">
        <is>
          <t>49316638994</t>
        </is>
      </c>
      <c r="F560" t="inlineStr">
        <is>
          <t>2025-11-12 16:14:09</t>
        </is>
      </c>
      <c r="G560" t="inlineStr">
        <is>
          <t>图文</t>
        </is>
      </c>
      <c r="H560" t="inlineStr">
        <is>
          <t>大虾基围虾王牌大虾厄瓜多尔白虾盐冻虾仁海洋大虾送礼顺丰包邮</t>
        </is>
      </c>
      <c r="I560" t="inlineStr">
        <is>
          <t>690aeb7be379430001e686ac</t>
        </is>
      </c>
      <c r="J560" t="inlineStr">
        <is>
          <t/>
        </is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inlineStr">
        <is>
          <t/>
        </is>
      </c>
      <c r="R560" t="inlineStr">
        <is>
          <t/>
        </is>
      </c>
      <c r="S560" t="n">
        <v>0.0</v>
      </c>
      <c r="T560" t="n">
        <v>0.0</v>
      </c>
      <c r="U560" t="n">
        <v>0.0</v>
      </c>
      <c r="V560" t="n">
        <v>0.0</v>
      </c>
      <c r="W560" t="inlineStr">
        <is>
          <t/>
        </is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1.0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5.0</v>
      </c>
      <c r="AL560" t="inlineStr">
        <is>
          <t/>
        </is>
      </c>
    </row>
    <row r="561">
      <c r="A561" t="inlineStr">
        <is>
          <t>说一个撑死人但热量很低的东西</t>
        </is>
      </c>
      <c r="B561" t="inlineStr">
        <is>
          <t>6912f5760000000005001201</t>
        </is>
      </c>
      <c r="C561" s="560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561" t="inlineStr">
        <is>
          <t>鲜水湾</t>
        </is>
      </c>
      <c r="E561" t="inlineStr">
        <is>
          <t>49316638994</t>
        </is>
      </c>
      <c r="F561" t="inlineStr">
        <is>
          <t>2025-11-11 16:36:06</t>
        </is>
      </c>
      <c r="G561" t="inlineStr">
        <is>
          <t>图文</t>
        </is>
      </c>
      <c r="H561" t="inlineStr">
        <is>
          <t>大虾基围虾王牌大虾厄瓜多尔白虾盐冻虾仁海洋大虾送礼顺丰包邮</t>
        </is>
      </c>
      <c r="I561" t="inlineStr">
        <is>
          <t>690aeb7be379430001e686ac</t>
        </is>
      </c>
      <c r="J561" t="inlineStr">
        <is>
          <t/>
        </is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inlineStr">
        <is>
          <t/>
        </is>
      </c>
      <c r="R561" t="inlineStr">
        <is>
          <t/>
        </is>
      </c>
      <c r="S561" t="n">
        <v>0.0</v>
      </c>
      <c r="T561" t="n">
        <v>0.0</v>
      </c>
      <c r="U561" t="n">
        <v>0.0</v>
      </c>
      <c r="V561" t="n">
        <v>0.0</v>
      </c>
      <c r="W561" t="inlineStr">
        <is>
          <t/>
        </is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1.0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inlineStr">
        <is>
          <t/>
        </is>
      </c>
    </row>
    <row r="562">
      <c r="A562" t="inlineStr">
        <is>
          <t>真的低估60多块的购买力，20多一斤赶紧冲</t>
        </is>
      </c>
      <c r="B562" t="inlineStr">
        <is>
          <t>691292660000000004007ce2</t>
        </is>
      </c>
      <c r="C562" s="561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562" t="inlineStr">
        <is>
          <t>鲜水湾</t>
        </is>
      </c>
      <c r="E562" t="inlineStr">
        <is>
          <t>49316638994</t>
        </is>
      </c>
      <c r="F562" t="inlineStr">
        <is>
          <t>2025-11-11 09:33:26</t>
        </is>
      </c>
      <c r="G562" t="inlineStr">
        <is>
          <t>图文</t>
        </is>
      </c>
      <c r="H562" t="inlineStr">
        <is>
          <t>大虾基围虾王牌大虾厄瓜多尔白虾盐冻虾仁海洋大虾送礼顺丰包邮</t>
        </is>
      </c>
      <c r="I562" t="inlineStr">
        <is>
          <t>690aeb7be379430001e686ac</t>
        </is>
      </c>
      <c r="J562" t="inlineStr">
        <is>
          <t/>
        </is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inlineStr">
        <is>
          <t/>
        </is>
      </c>
      <c r="R562" t="inlineStr">
        <is>
          <t/>
        </is>
      </c>
      <c r="S562" t="n">
        <v>0.0</v>
      </c>
      <c r="T562" t="n">
        <v>0.0</v>
      </c>
      <c r="U562" t="n">
        <v>0.0</v>
      </c>
      <c r="V562" t="n">
        <v>0.0</v>
      </c>
      <c r="W562" t="inlineStr">
        <is>
          <t/>
        </is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1.0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1.0</v>
      </c>
      <c r="AL562" t="inlineStr">
        <is>
          <t/>
        </is>
      </c>
    </row>
    <row r="563">
      <c r="A563" t="inlineStr">
        <is>
          <t>真心建议身材管理期的姐妹试试我家的大虾</t>
        </is>
      </c>
      <c r="B563" t="inlineStr">
        <is>
          <t>69115c820000000004013603</t>
        </is>
      </c>
      <c r="C563" s="562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563" t="inlineStr">
        <is>
          <t>鲜水湾</t>
        </is>
      </c>
      <c r="E563" t="inlineStr">
        <is>
          <t>49316638994</t>
        </is>
      </c>
      <c r="F563" t="inlineStr">
        <is>
          <t>2025-11-10 11:31:14</t>
        </is>
      </c>
      <c r="G563" t="inlineStr">
        <is>
          <t>图文</t>
        </is>
      </c>
      <c r="H563" t="inlineStr">
        <is>
          <t>大虾基围虾王牌大虾厄瓜多尔白虾盐冻虾仁海洋大虾送礼顺丰包邮</t>
        </is>
      </c>
      <c r="I563" t="inlineStr">
        <is>
          <t>690aeb7be379430001e686ac</t>
        </is>
      </c>
      <c r="J563" t="inlineStr">
        <is>
          <t/>
        </is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inlineStr">
        <is>
          <t/>
        </is>
      </c>
      <c r="R563" t="inlineStr">
        <is>
          <t/>
        </is>
      </c>
      <c r="S563" t="n">
        <v>0.0</v>
      </c>
      <c r="T563" t="n">
        <v>0.0</v>
      </c>
      <c r="U563" t="n">
        <v>0.0</v>
      </c>
      <c r="V563" t="n">
        <v>0.0</v>
      </c>
      <c r="W563" t="inlineStr">
        <is>
          <t/>
        </is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1.0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2.0</v>
      </c>
      <c r="AL563" t="inlineStr">
        <is>
          <t/>
        </is>
      </c>
    </row>
    <row r="564">
      <c r="A564" t="inlineStr">
        <is>
          <t>别再说60💰几块不经花！这购买力绝了</t>
        </is>
      </c>
      <c r="B564" t="inlineStr">
        <is>
          <t>69108c100000000005033662</t>
        </is>
      </c>
      <c r="C564" s="563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564" t="inlineStr">
        <is>
          <t>鲜水湾</t>
        </is>
      </c>
      <c r="E564" t="inlineStr">
        <is>
          <t>49316638994</t>
        </is>
      </c>
      <c r="F564" t="inlineStr">
        <is>
          <t>2025-11-09 20:41:52</t>
        </is>
      </c>
      <c r="G564" t="inlineStr">
        <is>
          <t>图文</t>
        </is>
      </c>
      <c r="H564" t="inlineStr">
        <is>
          <t>大虾基围虾王牌大虾厄瓜多尔白虾盐冻虾仁海洋大虾送礼顺丰包邮</t>
        </is>
      </c>
      <c r="I564" t="inlineStr">
        <is>
          <t>690aeb7be379430001e686ac</t>
        </is>
      </c>
      <c r="J564" t="inlineStr">
        <is>
          <t/>
        </is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inlineStr">
        <is>
          <t/>
        </is>
      </c>
      <c r="R564" t="inlineStr">
        <is>
          <t/>
        </is>
      </c>
      <c r="S564" t="n">
        <v>0.0</v>
      </c>
      <c r="T564" t="n">
        <v>0.0</v>
      </c>
      <c r="U564" t="n">
        <v>0.0</v>
      </c>
      <c r="V564" t="n">
        <v>0.0</v>
      </c>
      <c r="W564" t="inlineStr">
        <is>
          <t/>
        </is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1.0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4.0</v>
      </c>
      <c r="AL564" t="inlineStr">
        <is>
          <t/>
        </is>
      </c>
    </row>
    <row r="565">
      <c r="A565" t="inlineStr">
        <is>
          <t>60多块的购买力解决打工人十天的优质蛋白</t>
        </is>
      </c>
      <c r="B565" t="inlineStr">
        <is>
          <t>690f64e500000000040016dd</t>
        </is>
      </c>
      <c r="C565" s="564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565" t="inlineStr">
        <is>
          <t>鲜水湾</t>
        </is>
      </c>
      <c r="E565" t="inlineStr">
        <is>
          <t>49316638994</t>
        </is>
      </c>
      <c r="F565" t="inlineStr">
        <is>
          <t>2025-11-08 23:42:29</t>
        </is>
      </c>
      <c r="G565" t="inlineStr">
        <is>
          <t>图文</t>
        </is>
      </c>
      <c r="H565" t="inlineStr">
        <is>
          <t>大虾基围虾王牌大虾厄瓜多尔白虾盐冻虾仁海洋大虾送礼顺丰包邮</t>
        </is>
      </c>
      <c r="I565" t="inlineStr">
        <is>
          <t>690aeb7be379430001e686ac</t>
        </is>
      </c>
      <c r="J565" t="inlineStr">
        <is>
          <t/>
        </is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inlineStr">
        <is>
          <t/>
        </is>
      </c>
      <c r="R565" t="inlineStr">
        <is>
          <t/>
        </is>
      </c>
      <c r="S565" t="n">
        <v>0.0</v>
      </c>
      <c r="T565" t="n">
        <v>0.0</v>
      </c>
      <c r="U565" t="n">
        <v>0.0</v>
      </c>
      <c r="V565" t="n">
        <v>0.0</v>
      </c>
      <c r="W565" t="inlineStr">
        <is>
          <t/>
        </is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1.0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3.0</v>
      </c>
      <c r="AL565" t="inlineStr">
        <is>
          <t/>
        </is>
      </c>
    </row>
    <row r="566">
      <c r="A566" t="inlineStr">
        <is>
          <t>我爸让我赶紧宣传一下,50+一箱了！包活包肥</t>
        </is>
      </c>
      <c r="B566" t="inlineStr">
        <is>
          <t>690ea68e0000000003010d38</t>
        </is>
      </c>
      <c r="C566" s="565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566" t="inlineStr">
        <is>
          <t>婉婉上班吃什么</t>
        </is>
      </c>
      <c r="E566" t="inlineStr">
        <is>
          <t>11434449706</t>
        </is>
      </c>
      <c r="F566" t="inlineStr">
        <is>
          <t>2025-11-08 10:10:22</t>
        </is>
      </c>
      <c r="G566" t="inlineStr">
        <is>
          <t>视频</t>
        </is>
      </c>
      <c r="H566" t="inlineStr">
        <is>
          <t>生蚝乳山生蚝海蛎子顺丰包邮</t>
        </is>
      </c>
      <c r="I566" t="inlineStr">
        <is>
          <t>690c70971b787900010866cc</t>
        </is>
      </c>
      <c r="J566" t="n">
        <v>30.0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inlineStr">
        <is>
          <t/>
        </is>
      </c>
      <c r="R566" t="inlineStr">
        <is>
          <t/>
        </is>
      </c>
      <c r="S566" t="n">
        <v>0.0</v>
      </c>
      <c r="T566" t="n">
        <v>0.0</v>
      </c>
      <c r="U566" t="n">
        <v>0.0</v>
      </c>
      <c r="V566" t="n">
        <v>0.0</v>
      </c>
      <c r="W566" t="inlineStr">
        <is>
          <t/>
        </is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1.0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</row>
    <row r="567">
      <c r="A567" t="inlineStr">
        <is>
          <t>这一口含金量谁懂🥹🥹🥹</t>
        </is>
      </c>
      <c r="B567" t="inlineStr">
        <is>
          <t>690d96940000000004011cda</t>
        </is>
      </c>
      <c r="C567" s="566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567" t="inlineStr">
        <is>
          <t>婉婉上班吃什么</t>
        </is>
      </c>
      <c r="E567" t="inlineStr">
        <is>
          <t>11434449706</t>
        </is>
      </c>
      <c r="F567" t="inlineStr">
        <is>
          <t>2025-11-07 14:49:56</t>
        </is>
      </c>
      <c r="G567" t="inlineStr">
        <is>
          <t>视频</t>
        </is>
      </c>
      <c r="H567" t="inlineStr">
        <is>
          <t>生蚝乳山生蚝海蛎子顺丰包邮</t>
        </is>
      </c>
      <c r="I567" t="inlineStr">
        <is>
          <t>690c70971b787900010866cc</t>
        </is>
      </c>
      <c r="J567" t="n">
        <v>36.0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inlineStr">
        <is>
          <t/>
        </is>
      </c>
      <c r="R567" t="inlineStr">
        <is>
          <t/>
        </is>
      </c>
      <c r="S567" t="n">
        <v>0.0</v>
      </c>
      <c r="T567" t="n">
        <v>0.0</v>
      </c>
      <c r="U567" t="n">
        <v>0.0</v>
      </c>
      <c r="V567" t="n">
        <v>0.0</v>
      </c>
      <c r="W567" t="inlineStr">
        <is>
          <t/>
        </is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1.0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6.0</v>
      </c>
      <c r="AL567" t="n">
        <v>0.0</v>
      </c>
    </row>
    <row r="568">
      <c r="A568" t="inlineStr">
        <is>
          <t>低估60多块的购买力了，不到1r💰1只</t>
        </is>
      </c>
      <c r="B568" t="inlineStr">
        <is>
          <t>690d87950000000004028206</t>
        </is>
      </c>
      <c r="C568" s="567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568" t="inlineStr">
        <is>
          <t>鲜水湾</t>
        </is>
      </c>
      <c r="E568" t="inlineStr">
        <is>
          <t>49316638994</t>
        </is>
      </c>
      <c r="F568" t="inlineStr">
        <is>
          <t>2025-11-07 13:45:57</t>
        </is>
      </c>
      <c r="G568" t="inlineStr">
        <is>
          <t>图文</t>
        </is>
      </c>
      <c r="H568" t="inlineStr">
        <is>
          <t>大虾基围虾王牌大虾厄瓜多尔白虾盐冻虾仁海洋大虾送礼顺丰包邮</t>
        </is>
      </c>
      <c r="I568" t="inlineStr">
        <is>
          <t>690aeb7be379430001e686ac</t>
        </is>
      </c>
      <c r="J568" t="inlineStr">
        <is>
          <t/>
        </is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inlineStr">
        <is>
          <t/>
        </is>
      </c>
      <c r="R568" t="inlineStr">
        <is>
          <t/>
        </is>
      </c>
      <c r="S568" t="n">
        <v>0.0</v>
      </c>
      <c r="T568" t="n">
        <v>0.0</v>
      </c>
      <c r="U568" t="n">
        <v>0.0</v>
      </c>
      <c r="V568" t="n">
        <v>0.0</v>
      </c>
      <c r="W568" t="inlineStr">
        <is>
          <t/>
        </is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1.0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13.0</v>
      </c>
      <c r="AL568" t="inlineStr">
        <is>
          <t/>
        </is>
      </c>
    </row>
    <row r="569">
      <c r="A569" t="inlineStr">
        <is>
          <t>说一个撑死人但热量很低的东西</t>
        </is>
      </c>
      <c r="B569" t="inlineStr">
        <is>
          <t>69a1579a000000001a02c7db</t>
        </is>
      </c>
      <c r="C569" s="568" t="n">
        <f>HYPERLINK("https://www.xiaohongshu.com/explore/69a1579a000000001a02c7db?xsec_token=TBk7Tu9foWGIsieMmGc2tlwqr8bBKDkj0-BDl6x5WukJU=&amp;xsec_source=pc_trdark","https://www.xiaohongshu.com/explore/69a1579a000000001a02c7db?xsec_token=TBk7Tu9foWGIsieMmGc2tlwqr8bBKDkj0-BDl6x5WukJU=&amp;xsec_source=pc_trdark")</f>
        <v>0.0</v>
      </c>
      <c r="D569" t="inlineStr">
        <is>
          <t>鲜水湾</t>
        </is>
      </c>
      <c r="E569" t="inlineStr">
        <is>
          <t>49316638994</t>
        </is>
      </c>
      <c r="F569" t="inlineStr">
        <is>
          <t>2026-02-27 16:36:42</t>
        </is>
      </c>
      <c r="G569" t="inlineStr">
        <is>
          <t>图文</t>
        </is>
      </c>
      <c r="H569" t="inlineStr">
        <is>
          <t>手剥虾仁 无冰衣无添加 低脂餐一人食 上班带饭 顺丰包邮 5盒装</t>
        </is>
      </c>
      <c r="I569" t="inlineStr">
        <is>
          <t>694baba01d450d00013662f0</t>
        </is>
      </c>
      <c r="J569" t="inlineStr">
        <is>
          <t/>
        </is>
      </c>
      <c r="K569" t="n">
        <v>0.0</v>
      </c>
      <c r="L569" t="n">
        <v>0.0</v>
      </c>
      <c r="M569" t="n">
        <v>0.0</v>
      </c>
      <c r="N569" t="inlineStr">
        <is>
          <t/>
        </is>
      </c>
      <c r="O569" t="n">
        <v>0.0</v>
      </c>
      <c r="P569" t="n">
        <v>0.0</v>
      </c>
      <c r="Q569" t="inlineStr">
        <is>
          <t/>
        </is>
      </c>
      <c r="R569" t="inlineStr">
        <is>
          <t/>
        </is>
      </c>
      <c r="S569" t="n">
        <v>0.0</v>
      </c>
      <c r="T569" t="n">
        <v>0.0</v>
      </c>
      <c r="U569" t="n">
        <v>0.0</v>
      </c>
      <c r="V569" t="n">
        <v>0.0</v>
      </c>
      <c r="W569" t="inlineStr">
        <is>
          <t/>
        </is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inlineStr">
        <is>
          <t/>
        </is>
      </c>
      <c r="AL569" t="inlineStr">
        <is>
          <t/>
        </is>
      </c>
    </row>
    <row r="570">
      <c r="A570" t="inlineStr">
        <is>
          <t>高质量减脂餐，承包了我一年！</t>
        </is>
      </c>
      <c r="B570" t="inlineStr">
        <is>
          <t>699fe58b000000002801d856</t>
        </is>
      </c>
      <c r="C570" s="569" t="n">
        <f>HYPERLINK("https://www.xiaohongshu.com/explore/699fe58b000000002801d856?xsec_token=TBmPrNsEp7sytnt8BzCMtNTdu4DBCApZldWnsq-RwyRo8=&amp;xsec_source=pc_trdark","https://www.xiaohongshu.com/explore/699fe58b000000002801d856?xsec_token=TBmPrNsEp7sytnt8BzCMtNTdu4DBCApZldWnsq-RwyRo8=&amp;xsec_source=pc_trdark")</f>
        <v>0.0</v>
      </c>
      <c r="D570" t="inlineStr">
        <is>
          <t>鲜水湾</t>
        </is>
      </c>
      <c r="E570" t="inlineStr">
        <is>
          <t>49316638994</t>
        </is>
      </c>
      <c r="F570" t="inlineStr">
        <is>
          <t>2026-02-26 14:17:47</t>
        </is>
      </c>
      <c r="G570" t="inlineStr">
        <is>
          <t>图文</t>
        </is>
      </c>
      <c r="H570" t="inlineStr">
        <is>
          <t>智利三文鱼切块·整条三文鱼·深海鱼一人食健康饮食</t>
        </is>
      </c>
      <c r="I570" t="inlineStr">
        <is>
          <t>691ac562a524ee0001b51d7b</t>
        </is>
      </c>
      <c r="J570" t="inlineStr">
        <is>
          <t/>
        </is>
      </c>
      <c r="K570" t="n">
        <v>0.0</v>
      </c>
      <c r="L570" t="n">
        <v>0.0</v>
      </c>
      <c r="M570" t="n">
        <v>0.0</v>
      </c>
      <c r="N570" t="inlineStr">
        <is>
          <t/>
        </is>
      </c>
      <c r="O570" t="n">
        <v>0.0</v>
      </c>
      <c r="P570" t="n">
        <v>0.0</v>
      </c>
      <c r="Q570" t="inlineStr">
        <is>
          <t/>
        </is>
      </c>
      <c r="R570" t="inlineStr">
        <is>
          <t/>
        </is>
      </c>
      <c r="S570" t="n">
        <v>0.0</v>
      </c>
      <c r="T570" t="n">
        <v>0.0</v>
      </c>
      <c r="U570" t="n">
        <v>0.0</v>
      </c>
      <c r="V570" t="n">
        <v>0.0</v>
      </c>
      <c r="W570" t="inlineStr">
        <is>
          <t/>
        </is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inlineStr">
        <is>
          <t/>
        </is>
      </c>
      <c r="AL570" t="inlineStr">
        <is>
          <t/>
        </is>
      </c>
    </row>
    <row r="571">
      <c r="A571" t="inlineStr">
        <is>
          <t>年后控体，我就这样吃！</t>
        </is>
      </c>
      <c r="B571" t="inlineStr">
        <is>
          <t>699fd576000000001a020e66</t>
        </is>
      </c>
      <c r="C571" s="570" t="n">
        <f>HYPERLINK("https://www.xiaohongshu.com/explore/699fd576000000001a020e66?xsec_token=TBmPrNsEp7sytnt8BzCMtNTQgQ3Vb5xIjTVs5OPmtWhyI=&amp;xsec_source=pc_trdark","https://www.xiaohongshu.com/explore/699fd576000000001a020e66?xsec_token=TBmPrNsEp7sytnt8BzCMtNTQgQ3Vb5xIjTVs5OPmtWhyI=&amp;xsec_source=pc_trdark")</f>
        <v>0.0</v>
      </c>
      <c r="D571" t="inlineStr">
        <is>
          <t>鲜水湾</t>
        </is>
      </c>
      <c r="E571" t="inlineStr">
        <is>
          <t>49316638994</t>
        </is>
      </c>
      <c r="F571" t="inlineStr">
        <is>
          <t>2026-02-26 13:09:11</t>
        </is>
      </c>
      <c r="G571" t="inlineStr">
        <is>
          <t>图文</t>
        </is>
      </c>
      <c r="H571" t="inlineStr">
        <is>
          <t>手剥虾仁 无冰衣无添加 低脂餐一人食 上班带饭 顺丰包邮 5盒装</t>
        </is>
      </c>
      <c r="I571" t="inlineStr">
        <is>
          <t>694baba01d450d00013662f0</t>
        </is>
      </c>
      <c r="J571" t="inlineStr">
        <is>
          <t/>
        </is>
      </c>
      <c r="K571" t="n">
        <v>0.0</v>
      </c>
      <c r="L571" t="n">
        <v>0.0</v>
      </c>
      <c r="M571" t="n">
        <v>0.0</v>
      </c>
      <c r="N571" t="inlineStr">
        <is>
          <t/>
        </is>
      </c>
      <c r="O571" t="n">
        <v>0.0</v>
      </c>
      <c r="P571" t="n">
        <v>0.0</v>
      </c>
      <c r="Q571" t="inlineStr">
        <is>
          <t/>
        </is>
      </c>
      <c r="R571" t="inlineStr">
        <is>
          <t/>
        </is>
      </c>
      <c r="S571" t="n">
        <v>0.0</v>
      </c>
      <c r="T571" t="n">
        <v>0.0</v>
      </c>
      <c r="U571" t="n">
        <v>0.0</v>
      </c>
      <c r="V571" t="n">
        <v>0.0</v>
      </c>
      <c r="W571" t="inlineStr">
        <is>
          <t/>
        </is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inlineStr">
        <is>
          <t/>
        </is>
      </c>
      <c r="AL571" t="inlineStr">
        <is>
          <t/>
        </is>
      </c>
    </row>
    <row r="572">
      <c r="A572" t="inlineStr">
        <is>
          <t>继续回购，区区69就搞定一周减脂餐～</t>
        </is>
      </c>
      <c r="B572" t="inlineStr">
        <is>
          <t>699d3bed000000000e03d6a7</t>
        </is>
      </c>
      <c r="C572" s="571" t="n">
        <f>HYPERLINK("https://www.xiaohongshu.com/explore/699d3bed000000000e03d6a7?xsec_token=TBeFZqWudA4ECFcaumXjqu0PN5vvK74rRMyla_lNUiTZI=&amp;xsec_source=pc_trdark","https://www.xiaohongshu.com/explore/699d3bed000000000e03d6a7?xsec_token=TBeFZqWudA4ECFcaumXjqu0PN5vvK74rRMyla_lNUiTZI=&amp;xsec_source=pc_trdark")</f>
        <v>0.0</v>
      </c>
      <c r="D572" t="inlineStr">
        <is>
          <t>鲜水湾</t>
        </is>
      </c>
      <c r="E572" t="inlineStr">
        <is>
          <t>49316638994</t>
        </is>
      </c>
      <c r="F572" t="inlineStr">
        <is>
          <t>2026-02-24 13:49:33</t>
        </is>
      </c>
      <c r="G572" t="inlineStr">
        <is>
          <t>图文</t>
        </is>
      </c>
      <c r="H572" t="inlineStr">
        <is>
          <t>大虾基围虾王牌大虾厄瓜多尔白虾盐冻虾仁海洋大虾送礼顺丰包邮</t>
        </is>
      </c>
      <c r="I572" t="inlineStr">
        <is>
          <t>690aeb7be379430001e686ac</t>
        </is>
      </c>
      <c r="J572" t="inlineStr">
        <is>
          <t/>
        </is>
      </c>
      <c r="K572" t="n">
        <v>0.0</v>
      </c>
      <c r="L572" t="n">
        <v>0.0</v>
      </c>
      <c r="M572" t="n">
        <v>0.0</v>
      </c>
      <c r="N572" t="inlineStr">
        <is>
          <t/>
        </is>
      </c>
      <c r="O572" t="n">
        <v>0.0</v>
      </c>
      <c r="P572" t="n">
        <v>0.0</v>
      </c>
      <c r="Q572" t="inlineStr">
        <is>
          <t/>
        </is>
      </c>
      <c r="R572" t="inlineStr">
        <is>
          <t/>
        </is>
      </c>
      <c r="S572" t="n">
        <v>0.0</v>
      </c>
      <c r="T572" t="n">
        <v>0.0</v>
      </c>
      <c r="U572" t="n">
        <v>0.0</v>
      </c>
      <c r="V572" t="n">
        <v>0.0</v>
      </c>
      <c r="W572" t="inlineStr">
        <is>
          <t/>
        </is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inlineStr">
        <is>
          <t/>
        </is>
      </c>
      <c r="AL572" t="inlineStr">
        <is>
          <t/>
        </is>
      </c>
    </row>
    <row r="573">
      <c r="A573" t="inlineStr">
        <is>
          <t>算了不劝了！300多顺丰包邮最后1天</t>
        </is>
      </c>
      <c r="B573" t="inlineStr">
        <is>
          <t>698d82ab000000000e03ffb3</t>
        </is>
      </c>
      <c r="C573" s="572" t="n">
        <f>HYPERLINK("https://www.xiaohongshu.com/explore/698d82ab000000000e03ffb3?xsec_token=TBihogQ8oj4MEfZiNNItL7aunsPzH7zs2VUKlzsN5FC3k=&amp;xsec_source=pc_trdark","https://www.xiaohongshu.com/explore/698d82ab000000000e03ffb3?xsec_token=TBihogQ8oj4MEfZiNNItL7aunsPzH7zs2VUKlzsN5FC3k=&amp;xsec_source=pc_trdark")</f>
        <v>0.0</v>
      </c>
      <c r="D573" t="inlineStr">
        <is>
          <t>鲜水湾</t>
        </is>
      </c>
      <c r="E573" t="inlineStr">
        <is>
          <t>49316638994</t>
        </is>
      </c>
      <c r="F573" t="inlineStr">
        <is>
          <t>2026-02-12 15:35:07</t>
        </is>
      </c>
      <c r="G573" t="inlineStr">
        <is>
          <t>图文</t>
        </is>
      </c>
      <c r="H573" t="inlineStr">
        <is>
          <t>智利三文鱼切块·整条三文鱼·深海鱼一人食健康饮食</t>
        </is>
      </c>
      <c r="I573" t="inlineStr">
        <is>
          <t>691ac562a524ee0001b51d7b</t>
        </is>
      </c>
      <c r="J573" t="inlineStr">
        <is>
          <t/>
        </is>
      </c>
      <c r="K573" t="n">
        <v>0.0</v>
      </c>
      <c r="L573" t="n">
        <v>0.0</v>
      </c>
      <c r="M573" t="n">
        <v>1.0</v>
      </c>
      <c r="N573" t="inlineStr">
        <is>
          <t/>
        </is>
      </c>
      <c r="O573" t="n">
        <v>1.0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inlineStr">
        <is>
          <t/>
        </is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inlineStr">
        <is>
          <t/>
        </is>
      </c>
      <c r="AL573" t="inlineStr">
        <is>
          <t/>
        </is>
      </c>
    </row>
    <row r="574">
      <c r="A574" t="inlineStr">
        <is>
          <t>今年不送烟酒了！整条三文鱼，长辈都说太高级</t>
        </is>
      </c>
      <c r="B574" t="inlineStr">
        <is>
          <t>698c1349000000002801ff47</t>
        </is>
      </c>
      <c r="C574" s="573" t="n">
        <f>HYPERLINK("https://www.xiaohongshu.com/explore/698c1349000000002801ff47?xsec_token=TBpbSmv2Dvzozu0JyB91ReCzbSBE-1-TQJzqMrWZBehkY=&amp;xsec_source=pc_trdark","https://www.xiaohongshu.com/explore/698c1349000000002801ff47?xsec_token=TBpbSmv2Dvzozu0JyB91ReCzbSBE-1-TQJzqMrWZBehkY=&amp;xsec_source=pc_trdark")</f>
        <v>0.0</v>
      </c>
      <c r="D574" t="inlineStr">
        <is>
          <t>鲜水湾</t>
        </is>
      </c>
      <c r="E574" t="inlineStr">
        <is>
          <t>49316638994</t>
        </is>
      </c>
      <c r="F574" t="inlineStr">
        <is>
          <t>2026-02-11 13:27:37</t>
        </is>
      </c>
      <c r="G574" t="inlineStr">
        <is>
          <t>图文</t>
        </is>
      </c>
      <c r="H574" t="inlineStr">
        <is>
          <t>智利三文鱼切块·整条三文鱼·深海鱼一人食健康饮食</t>
        </is>
      </c>
      <c r="I574" t="inlineStr">
        <is>
          <t>691ac562a524ee0001b51d7b</t>
        </is>
      </c>
      <c r="J574" t="inlineStr">
        <is>
          <t/>
        </is>
      </c>
      <c r="K574" t="n">
        <v>0.0</v>
      </c>
      <c r="L574" t="n">
        <v>0.0</v>
      </c>
      <c r="M574" t="n">
        <v>0.0</v>
      </c>
      <c r="N574" t="inlineStr">
        <is>
          <t/>
        </is>
      </c>
      <c r="O574" t="n">
        <v>0.0</v>
      </c>
      <c r="P574" t="n">
        <v>0.0</v>
      </c>
      <c r="Q574" t="inlineStr">
        <is>
          <t/>
        </is>
      </c>
      <c r="R574" t="inlineStr">
        <is>
          <t/>
        </is>
      </c>
      <c r="S574" t="n">
        <v>0.0</v>
      </c>
      <c r="T574" t="n">
        <v>0.0</v>
      </c>
      <c r="U574" t="n">
        <v>0.0</v>
      </c>
      <c r="V574" t="n">
        <v>0.0</v>
      </c>
      <c r="W574" t="inlineStr">
        <is>
          <t/>
        </is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inlineStr">
        <is>
          <t/>
        </is>
      </c>
      <c r="AL574" t="inlineStr">
        <is>
          <t/>
        </is>
      </c>
    </row>
    <row r="575">
      <c r="A575" t="inlineStr">
        <is>
          <t>买了整条三文鱼回家过年🧧</t>
        </is>
      </c>
      <c r="B575" t="inlineStr">
        <is>
          <t>6986eb28000000000e03edae</t>
        </is>
      </c>
      <c r="C575" s="574" t="n">
        <f>HYPERLINK("https://www.xiaohongshu.com/explore/6986eb28000000000e03edae?xsec_token=TB-LsRJw2UEyjZbU1RZqmjvrrcFci_z02KNmmAZSXEn_E=&amp;xsec_source=pc_trdark","https://www.xiaohongshu.com/explore/6986eb28000000000e03edae?xsec_token=TB-LsRJw2UEyjZbU1RZqmjvrrcFci_z02KNmmAZSXEn_E=&amp;xsec_source=pc_trdark")</f>
        <v>0.0</v>
      </c>
      <c r="D575" t="inlineStr">
        <is>
          <t>鲜水湾</t>
        </is>
      </c>
      <c r="E575" t="inlineStr">
        <is>
          <t>49316638994</t>
        </is>
      </c>
      <c r="F575" t="inlineStr">
        <is>
          <t>2026-02-07 15:35:04</t>
        </is>
      </c>
      <c r="G575" t="inlineStr">
        <is>
          <t>图文</t>
        </is>
      </c>
      <c r="H575" t="inlineStr">
        <is>
          <t>智利三文鱼切块·整条三文鱼·深海鱼一人食健康饮食</t>
        </is>
      </c>
      <c r="I575" t="inlineStr">
        <is>
          <t>691ac562a524ee0001b51d7b</t>
        </is>
      </c>
      <c r="J575" t="inlineStr">
        <is>
          <t/>
        </is>
      </c>
      <c r="K575" t="n">
        <v>0.0</v>
      </c>
      <c r="L575" t="n">
        <v>0.0</v>
      </c>
      <c r="M575" t="n">
        <v>0.0</v>
      </c>
      <c r="N575" t="inlineStr">
        <is>
          <t/>
        </is>
      </c>
      <c r="O575" t="n">
        <v>0.0</v>
      </c>
      <c r="P575" t="n">
        <v>0.0</v>
      </c>
      <c r="Q575" t="inlineStr">
        <is>
          <t/>
        </is>
      </c>
      <c r="R575" t="inlineStr">
        <is>
          <t/>
        </is>
      </c>
      <c r="S575" t="n">
        <v>0.0</v>
      </c>
      <c r="T575" t="n">
        <v>0.0</v>
      </c>
      <c r="U575" t="n">
        <v>0.0</v>
      </c>
      <c r="V575" t="n">
        <v>0.0</v>
      </c>
      <c r="W575" t="inlineStr">
        <is>
          <t/>
        </is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inlineStr">
        <is>
          <t/>
        </is>
      </c>
      <c r="AL575" t="inlineStr">
        <is>
          <t/>
        </is>
      </c>
    </row>
    <row r="576">
      <c r="A576" t="inlineStr">
        <is>
          <t>整条三文鱼礼盒，年货送礼首选！</t>
        </is>
      </c>
      <c r="B576" t="inlineStr">
        <is>
          <t>6986d826000000001a024ae7</t>
        </is>
      </c>
      <c r="C576" s="575" t="n">
        <f>HYPERLINK("https://www.xiaohongshu.com/explore/6986d826000000001a024ae7?xsec_token=TB-LsRJw2UEyjZbU1RZqmjvk9SrejyQeu9ePCPxjBo_So=&amp;xsec_source=pc_trdark","https://www.xiaohongshu.com/explore/6986d826000000001a024ae7?xsec_token=TB-LsRJw2UEyjZbU1RZqmjvk9SrejyQeu9ePCPxjBo_So=&amp;xsec_source=pc_trdark")</f>
        <v>0.0</v>
      </c>
      <c r="D576" t="inlineStr">
        <is>
          <t>鲜水湾</t>
        </is>
      </c>
      <c r="E576" t="inlineStr">
        <is>
          <t>49316638994</t>
        </is>
      </c>
      <c r="F576" t="inlineStr">
        <is>
          <t>2026-02-07 14:13:58</t>
        </is>
      </c>
      <c r="G576" t="inlineStr">
        <is>
          <t>图文</t>
        </is>
      </c>
      <c r="H576" t="inlineStr">
        <is>
          <t>智利三文鱼切块·整条三文鱼·深海鱼一人食健康饮食</t>
        </is>
      </c>
      <c r="I576" t="inlineStr">
        <is>
          <t>691ac562a524ee0001b51d7b</t>
        </is>
      </c>
      <c r="J576" t="inlineStr">
        <is>
          <t/>
        </is>
      </c>
      <c r="K576" t="n">
        <v>0.0</v>
      </c>
      <c r="L576" t="n">
        <v>0.0</v>
      </c>
      <c r="M576" t="n">
        <v>0.0</v>
      </c>
      <c r="N576" t="inlineStr">
        <is>
          <t/>
        </is>
      </c>
      <c r="O576" t="n">
        <v>0.0</v>
      </c>
      <c r="P576" t="n">
        <v>0.0</v>
      </c>
      <c r="Q576" t="inlineStr">
        <is>
          <t/>
        </is>
      </c>
      <c r="R576" t="inlineStr">
        <is>
          <t/>
        </is>
      </c>
      <c r="S576" t="n">
        <v>0.0</v>
      </c>
      <c r="T576" t="n">
        <v>0.0</v>
      </c>
      <c r="U576" t="n">
        <v>0.0</v>
      </c>
      <c r="V576" t="n">
        <v>0.0</v>
      </c>
      <c r="W576" t="inlineStr">
        <is>
          <t/>
        </is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inlineStr">
        <is>
          <t/>
        </is>
      </c>
      <c r="AL576" t="inlineStr">
        <is>
          <t/>
        </is>
      </c>
    </row>
    <row r="577">
      <c r="A577" t="inlineStr">
        <is>
          <t>100块的购买力越来越刷新我的认知了！</t>
        </is>
      </c>
      <c r="B577" t="inlineStr">
        <is>
          <t>6986a039000000000d00af7f</t>
        </is>
      </c>
      <c r="C577" s="576" t="n">
        <f>HYPERLINK("https://www.xiaohongshu.com/explore/6986a039000000000d00af7f?xsec_token=TB-LsRJw2UEyjZbU1RZqmjviQ0sgg50uAg92dV8tGzTuw=&amp;xsec_source=pc_trdark","https://www.xiaohongshu.com/explore/6986a039000000000d00af7f?xsec_token=TB-LsRJw2UEyjZbU1RZqmjviQ0sgg50uAg92dV8tGzTuw=&amp;xsec_source=pc_trdark")</f>
        <v>0.0</v>
      </c>
      <c r="D577" t="inlineStr">
        <is>
          <t>鲜水湾</t>
        </is>
      </c>
      <c r="E577" t="inlineStr">
        <is>
          <t>49316638994</t>
        </is>
      </c>
      <c r="F577" t="inlineStr">
        <is>
          <t>2026-02-07 10:15:21</t>
        </is>
      </c>
      <c r="G577" t="inlineStr">
        <is>
          <t>图文</t>
        </is>
      </c>
      <c r="H577" t="inlineStr">
        <is>
          <t>智利三文鱼切块·整条三文鱼·深海鱼一人食健康饮食</t>
        </is>
      </c>
      <c r="I577" t="inlineStr">
        <is>
          <t>691ac562a524ee0001b51d7b</t>
        </is>
      </c>
      <c r="J577" t="inlineStr">
        <is>
          <t/>
        </is>
      </c>
      <c r="K577" t="n">
        <v>0.0</v>
      </c>
      <c r="L577" t="n">
        <v>0.0</v>
      </c>
      <c r="M577" t="n">
        <v>0.0</v>
      </c>
      <c r="N577" t="inlineStr">
        <is>
          <t/>
        </is>
      </c>
      <c r="O577" t="n">
        <v>0.0</v>
      </c>
      <c r="P577" t="n">
        <v>0.0</v>
      </c>
      <c r="Q577" t="inlineStr">
        <is>
          <t/>
        </is>
      </c>
      <c r="R577" t="inlineStr">
        <is>
          <t/>
        </is>
      </c>
      <c r="S577" t="n">
        <v>0.0</v>
      </c>
      <c r="T577" t="n">
        <v>0.0</v>
      </c>
      <c r="U577" t="n">
        <v>0.0</v>
      </c>
      <c r="V577" t="n">
        <v>0.0</v>
      </c>
      <c r="W577" t="inlineStr">
        <is>
          <t/>
        </is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inlineStr">
        <is>
          <t/>
        </is>
      </c>
      <c r="AL577" t="inlineStr">
        <is>
          <t/>
        </is>
      </c>
    </row>
    <row r="578">
      <c r="A578" t="inlineStr">
        <is>
          <t>因为这碗三文鱼，我在办公室出名了</t>
        </is>
      </c>
      <c r="B578" t="inlineStr">
        <is>
          <t>69858763000000001a02617a</t>
        </is>
      </c>
      <c r="C578" s="577" t="n">
        <f>HYPERLINK("https://www.xiaohongshu.com/explore/69858763000000001a02617a?xsec_token=TB_5RNbIh6A19RWGV21Hy8yySdw2Hth2wGpE1uc-DI1jE=&amp;xsec_source=pc_trdark","https://www.xiaohongshu.com/explore/69858763000000001a02617a?xsec_token=TB_5RNbIh6A19RWGV21Hy8yySdw2Hth2wGpE1uc-DI1jE=&amp;xsec_source=pc_trdark")</f>
        <v>0.0</v>
      </c>
      <c r="D578" t="inlineStr">
        <is>
          <t>鲜水湾</t>
        </is>
      </c>
      <c r="E578" t="inlineStr">
        <is>
          <t>49316638994</t>
        </is>
      </c>
      <c r="F578" t="inlineStr">
        <is>
          <t>2026-02-06 14:17:07</t>
        </is>
      </c>
      <c r="G578" t="inlineStr">
        <is>
          <t>图文</t>
        </is>
      </c>
      <c r="H578" t="inlineStr">
        <is>
          <t>智利三文鱼切块·整条三文鱼·深海鱼一人食健康饮食</t>
        </is>
      </c>
      <c r="I578" t="inlineStr">
        <is>
          <t>691ac562a524ee0001b51d7b</t>
        </is>
      </c>
      <c r="J578" t="inlineStr">
        <is>
          <t/>
        </is>
      </c>
      <c r="K578" t="n">
        <v>0.0</v>
      </c>
      <c r="L578" t="n">
        <v>0.0</v>
      </c>
      <c r="M578" t="n">
        <v>0.0</v>
      </c>
      <c r="N578" t="inlineStr">
        <is>
          <t/>
        </is>
      </c>
      <c r="O578" t="n">
        <v>0.0</v>
      </c>
      <c r="P578" t="n">
        <v>0.0</v>
      </c>
      <c r="Q578" t="inlineStr">
        <is>
          <t/>
        </is>
      </c>
      <c r="R578" t="inlineStr">
        <is>
          <t/>
        </is>
      </c>
      <c r="S578" t="n">
        <v>0.0</v>
      </c>
      <c r="T578" t="n">
        <v>0.0</v>
      </c>
      <c r="U578" t="n">
        <v>0.0</v>
      </c>
      <c r="V578" t="n">
        <v>0.0</v>
      </c>
      <c r="W578" t="inlineStr">
        <is>
          <t/>
        </is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inlineStr">
        <is>
          <t/>
        </is>
      </c>
      <c r="AL578" t="inlineStr">
        <is>
          <t/>
        </is>
      </c>
    </row>
    <row r="579">
      <c r="A579" t="inlineStr">
        <is>
          <t>一个人带动全办公室姐妹囤了78910斤</t>
        </is>
      </c>
      <c r="B579" t="inlineStr">
        <is>
          <t>69854a29000000001a025a5f</t>
        </is>
      </c>
      <c r="C579" s="578" t="n">
        <f>HYPERLINK("https://www.xiaohongshu.com/explore/69854a29000000001a025a5f?xsec_token=TB_5RNbIh6A19RWGV21Hy8y733BZHhqkryg2yT07qOBMQ=&amp;xsec_source=pc_trdark","https://www.xiaohongshu.com/explore/69854a29000000001a025a5f?xsec_token=TB_5RNbIh6A19RWGV21Hy8y733BZHhqkryg2yT07qOBMQ=&amp;xsec_source=pc_trdark")</f>
        <v>0.0</v>
      </c>
      <c r="D579" t="inlineStr">
        <is>
          <t>鲜水湾</t>
        </is>
      </c>
      <c r="E579" t="inlineStr">
        <is>
          <t>49316638994</t>
        </is>
      </c>
      <c r="F579" t="inlineStr">
        <is>
          <t>2026-02-06 09:55:53</t>
        </is>
      </c>
      <c r="G579" t="inlineStr">
        <is>
          <t>图文</t>
        </is>
      </c>
      <c r="H579" t="inlineStr">
        <is>
          <t>智利三文鱼切块·整条三文鱼·深海鱼一人食健康饮食</t>
        </is>
      </c>
      <c r="I579" t="inlineStr">
        <is>
          <t>691ac562a524ee0001b51d7b</t>
        </is>
      </c>
      <c r="J579" t="inlineStr">
        <is>
          <t/>
        </is>
      </c>
      <c r="K579" t="n">
        <v>0.0</v>
      </c>
      <c r="L579" t="n">
        <v>0.0</v>
      </c>
      <c r="M579" t="n">
        <v>0.0</v>
      </c>
      <c r="N579" t="inlineStr">
        <is>
          <t/>
        </is>
      </c>
      <c r="O579" t="n">
        <v>0.0</v>
      </c>
      <c r="P579" t="n">
        <v>0.0</v>
      </c>
      <c r="Q579" t="inlineStr">
        <is>
          <t/>
        </is>
      </c>
      <c r="R579" t="inlineStr">
        <is>
          <t/>
        </is>
      </c>
      <c r="S579" t="n">
        <v>0.0</v>
      </c>
      <c r="T579" t="n">
        <v>0.0</v>
      </c>
      <c r="U579" t="n">
        <v>0.0</v>
      </c>
      <c r="V579" t="n">
        <v>0.0</v>
      </c>
      <c r="W579" t="inlineStr">
        <is>
          <t/>
        </is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inlineStr">
        <is>
          <t/>
        </is>
      </c>
      <c r="AL579" t="inlineStr">
        <is>
          <t/>
        </is>
      </c>
    </row>
    <row r="580">
      <c r="A580" t="inlineStr">
        <is>
          <t>100来块实现头籽甜虾自由！</t>
        </is>
      </c>
      <c r="B580" t="inlineStr">
        <is>
          <t>69801642000000000c037ccf</t>
        </is>
      </c>
      <c r="C580" s="579" t="n">
        <f>HYPERLINK("https://www.xiaohongshu.com/explore/69801642000000000c037ccf?xsec_token=TBZp4EcwSVhJKyeKQt7CpumT7nPWGviQDYckcsRNc5U4Q=&amp;xsec_source=pc_trdark","https://www.xiaohongshu.com/explore/69801642000000000c037ccf?xsec_token=TBZp4EcwSVhJKyeKQt7CpumT7nPWGviQDYckcsRNc5U4Q=&amp;xsec_source=pc_trdark")</f>
        <v>0.0</v>
      </c>
      <c r="D580" t="inlineStr">
        <is>
          <t>鲜水湾甄选</t>
        </is>
      </c>
      <c r="E580" t="inlineStr">
        <is>
          <t>27401929161</t>
        </is>
      </c>
      <c r="F580" t="inlineStr">
        <is>
          <t>2026-02-02 11:13:06</t>
        </is>
      </c>
      <c r="G580" t="inlineStr">
        <is>
          <t>图文</t>
        </is>
      </c>
      <c r="H580" t="inlineStr">
        <is>
          <t>北极甜虾头籽甜虾元宝虾北极熊冰虾孕妈妈宝宝辅食顺丰</t>
        </is>
      </c>
      <c r="I580" t="inlineStr">
        <is>
          <t>6953717eb8f0bb000115158d</t>
        </is>
      </c>
      <c r="J580" t="inlineStr">
        <is>
          <t/>
        </is>
      </c>
      <c r="K580" t="n">
        <v>0.0</v>
      </c>
      <c r="L580" t="n">
        <v>0.0</v>
      </c>
      <c r="M580" t="n">
        <v>0.0</v>
      </c>
      <c r="N580" t="inlineStr">
        <is>
          <t/>
        </is>
      </c>
      <c r="O580" t="n">
        <v>0.0</v>
      </c>
      <c r="P580" t="n">
        <v>0.0</v>
      </c>
      <c r="Q580" t="inlineStr">
        <is>
          <t/>
        </is>
      </c>
      <c r="R580" t="inlineStr">
        <is>
          <t/>
        </is>
      </c>
      <c r="S580" t="n">
        <v>0.0</v>
      </c>
      <c r="T580" t="n">
        <v>0.0</v>
      </c>
      <c r="U580" t="n">
        <v>0.0</v>
      </c>
      <c r="V580" t="n">
        <v>0.0</v>
      </c>
      <c r="W580" t="inlineStr">
        <is>
          <t/>
        </is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inlineStr">
        <is>
          <t/>
        </is>
      </c>
      <c r="AL580" t="inlineStr">
        <is>
          <t/>
        </is>
      </c>
    </row>
    <row r="581">
      <c r="A581" t="inlineStr">
        <is>
          <t>2026年春节礼盒备好了</t>
        </is>
      </c>
      <c r="B581" t="inlineStr">
        <is>
          <t>697f4056000000001a023974</t>
        </is>
      </c>
      <c r="C581" s="580" t="n">
        <f>HYPERLINK("https://www.xiaohongshu.com/explore/697f4056000000001a023974?xsec_token=TBGi407i-ri3oYa_7RM3ZIGTv048lvZx0YXobjfww0vS8=&amp;xsec_source=pc_trdark","https://www.xiaohongshu.com/explore/697f4056000000001a023974?xsec_token=TBGi407i-ri3oYa_7RM3ZIGTv048lvZx0YXobjfww0vS8=&amp;xsec_source=pc_trdark")</f>
        <v>0.0</v>
      </c>
      <c r="D581" t="inlineStr">
        <is>
          <t>鲜水湾</t>
        </is>
      </c>
      <c r="E581" t="inlineStr">
        <is>
          <t>49316638994</t>
        </is>
      </c>
      <c r="F581" t="inlineStr">
        <is>
          <t>2026-02-01 20:00:22</t>
        </is>
      </c>
      <c r="G581" t="inlineStr">
        <is>
          <t>图文</t>
        </is>
      </c>
      <c r="H581" t="inlineStr">
        <is>
          <t>智利三文鱼切块·整条三文鱼·深海鱼一人食健康饮食</t>
        </is>
      </c>
      <c r="I581" t="inlineStr">
        <is>
          <t>691ac562a524ee0001b51d7b</t>
        </is>
      </c>
      <c r="J581" t="inlineStr">
        <is>
          <t/>
        </is>
      </c>
      <c r="K581" t="n">
        <v>0.0</v>
      </c>
      <c r="L581" t="n">
        <v>0.0</v>
      </c>
      <c r="M581" t="n">
        <v>0.0</v>
      </c>
      <c r="N581" t="inlineStr">
        <is>
          <t/>
        </is>
      </c>
      <c r="O581" t="n">
        <v>0.0</v>
      </c>
      <c r="P581" t="n">
        <v>0.0</v>
      </c>
      <c r="Q581" t="inlineStr">
        <is>
          <t/>
        </is>
      </c>
      <c r="R581" t="inlineStr">
        <is>
          <t/>
        </is>
      </c>
      <c r="S581" t="n">
        <v>0.0</v>
      </c>
      <c r="T581" t="n">
        <v>0.0</v>
      </c>
      <c r="U581" t="n">
        <v>0.0</v>
      </c>
      <c r="V581" t="n">
        <v>0.0</v>
      </c>
      <c r="W581" t="inlineStr">
        <is>
          <t/>
        </is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inlineStr">
        <is>
          <t/>
        </is>
      </c>
      <c r="AL581" t="inlineStr">
        <is>
          <t/>
        </is>
      </c>
    </row>
    <row r="582">
      <c r="A582" t="inlineStr">
        <is>
          <t>以为69元没多少，结果够我吃一周的了</t>
        </is>
      </c>
      <c r="B582" t="inlineStr">
        <is>
          <t>697eae4d000000001a02fc41</t>
        </is>
      </c>
      <c r="C582" s="581" t="n">
        <f>HYPERLINK("https://www.xiaohongshu.com/explore/697eae4d000000001a02fc41?xsec_token=TB7jwFOfZJsihjbpJtFT0dVm-n_OXKhmGM1UaGd2I0iGQ=&amp;xsec_source=pc_trdark","https://www.xiaohongshu.com/explore/697eae4d000000001a02fc41?xsec_token=TB7jwFOfZJsihjbpJtFT0dVm-n_OXKhmGM1UaGd2I0iGQ=&amp;xsec_source=pc_trdark")</f>
        <v>0.0</v>
      </c>
      <c r="D582" t="inlineStr">
        <is>
          <t>鲜水湾</t>
        </is>
      </c>
      <c r="E582" t="inlineStr">
        <is>
          <t>49316638994</t>
        </is>
      </c>
      <c r="F582" t="inlineStr">
        <is>
          <t>2026-02-01 09:37:17</t>
        </is>
      </c>
      <c r="G582" t="inlineStr">
        <is>
          <t>图文</t>
        </is>
      </c>
      <c r="H582" t="inlineStr">
        <is>
          <t>大虾基围虾王牌大虾厄瓜多尔白虾盐冻虾仁海洋大虾送礼顺丰包邮</t>
        </is>
      </c>
      <c r="I582" t="inlineStr">
        <is>
          <t>690aeb7be379430001e686ac</t>
        </is>
      </c>
      <c r="J582" t="inlineStr">
        <is>
          <t/>
        </is>
      </c>
      <c r="K582" t="n">
        <v>0.0</v>
      </c>
      <c r="L582" t="n">
        <v>0.0</v>
      </c>
      <c r="M582" t="n">
        <v>0.0</v>
      </c>
      <c r="N582" t="inlineStr">
        <is>
          <t/>
        </is>
      </c>
      <c r="O582" t="n">
        <v>0.0</v>
      </c>
      <c r="P582" t="n">
        <v>0.0</v>
      </c>
      <c r="Q582" t="inlineStr">
        <is>
          <t/>
        </is>
      </c>
      <c r="R582" t="inlineStr">
        <is>
          <t/>
        </is>
      </c>
      <c r="S582" t="n">
        <v>0.0</v>
      </c>
      <c r="T582" t="n">
        <v>0.0</v>
      </c>
      <c r="U582" t="n">
        <v>0.0</v>
      </c>
      <c r="V582" t="n">
        <v>0.0</v>
      </c>
      <c r="W582" t="inlineStr">
        <is>
          <t/>
        </is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inlineStr">
        <is>
          <t/>
        </is>
      </c>
      <c r="AL582" t="inlineStr">
        <is>
          <t/>
        </is>
      </c>
    </row>
    <row r="583">
      <c r="A583" t="inlineStr">
        <is>
          <t>千万别小看300块的购买力！</t>
        </is>
      </c>
      <c r="B583" t="inlineStr">
        <is>
          <t>697c8086000000001a01c2f5</t>
        </is>
      </c>
      <c r="C583" s="582" t="n">
        <f>HYPERLINK("https://www.xiaohongshu.com/explore/697c8086000000001a01c2f5?xsec_token=TBV-62_c6Sms9X18ENcOcpiMePbi1gQl70HCE08Zq-6uI=&amp;xsec_source=pc_trdark","https://www.xiaohongshu.com/explore/697c8086000000001a01c2f5?xsec_token=TBV-62_c6Sms9X18ENcOcpiMePbi1gQl70HCE08Zq-6uI=&amp;xsec_source=pc_trdark")</f>
        <v>0.0</v>
      </c>
      <c r="D583" t="inlineStr">
        <is>
          <t>鲜水湾</t>
        </is>
      </c>
      <c r="E583" t="inlineStr">
        <is>
          <t>49316638994</t>
        </is>
      </c>
      <c r="F583" t="inlineStr">
        <is>
          <t>2026-01-30 17:57:26</t>
        </is>
      </c>
      <c r="G583" t="inlineStr">
        <is>
          <t>图文</t>
        </is>
      </c>
      <c r="H583" t="inlineStr">
        <is>
          <t>智利三文鱼切块·整条三文鱼·深海鱼一人食健康饮食</t>
        </is>
      </c>
      <c r="I583" t="inlineStr">
        <is>
          <t>691ac562a524ee0001b51d7b</t>
        </is>
      </c>
      <c r="J583" t="inlineStr">
        <is>
          <t/>
        </is>
      </c>
      <c r="K583" t="n">
        <v>0.0</v>
      </c>
      <c r="L583" t="n">
        <v>0.0</v>
      </c>
      <c r="M583" t="n">
        <v>0.0</v>
      </c>
      <c r="N583" t="inlineStr">
        <is>
          <t/>
        </is>
      </c>
      <c r="O583" t="n">
        <v>0.0</v>
      </c>
      <c r="P583" t="n">
        <v>0.0</v>
      </c>
      <c r="Q583" t="inlineStr">
        <is>
          <t/>
        </is>
      </c>
      <c r="R583" t="inlineStr">
        <is>
          <t/>
        </is>
      </c>
      <c r="S583" t="n">
        <v>0.0</v>
      </c>
      <c r="T583" t="n">
        <v>0.0</v>
      </c>
      <c r="U583" t="n">
        <v>0.0</v>
      </c>
      <c r="V583" t="n">
        <v>0.0</v>
      </c>
      <c r="W583" t="inlineStr">
        <is>
          <t/>
        </is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inlineStr">
        <is>
          <t/>
        </is>
      </c>
      <c r="AL583" t="inlineStr">
        <is>
          <t/>
        </is>
      </c>
    </row>
    <row r="584">
      <c r="A584" t="inlineStr">
        <is>
          <t>过年就备这个大虾招待亲朋好友吧！</t>
        </is>
      </c>
      <c r="B584" t="inlineStr">
        <is>
          <t>697c77e3000000001a01d1b3</t>
        </is>
      </c>
      <c r="C584" s="583" t="n">
        <f>HYPERLINK("https://www.xiaohongshu.com/explore/697c77e3000000001a01d1b3?xsec_token=TBV-62_c6Sms9X18ENcOcpiCHEy_9hN2vO1o85ywyN8bQ=&amp;xsec_source=pc_trdark","https://www.xiaohongshu.com/explore/697c77e3000000001a01d1b3?xsec_token=TBV-62_c6Sms9X18ENcOcpiCHEy_9hN2vO1o85ywyN8bQ=&amp;xsec_source=pc_trdark")</f>
        <v>0.0</v>
      </c>
      <c r="D584" t="inlineStr">
        <is>
          <t>鲜水湾</t>
        </is>
      </c>
      <c r="E584" t="inlineStr">
        <is>
          <t>49316638994</t>
        </is>
      </c>
      <c r="F584" t="inlineStr">
        <is>
          <t>2026-01-30 17:20:35</t>
        </is>
      </c>
      <c r="G584" t="inlineStr">
        <is>
          <t>图文</t>
        </is>
      </c>
      <c r="H584" t="inlineStr">
        <is>
          <t>大虾基围虾王牌大虾厄瓜多尔白虾盐冻虾仁海洋大虾送礼顺丰包邮</t>
        </is>
      </c>
      <c r="I584" t="inlineStr">
        <is>
          <t>690aeb7be379430001e686ac</t>
        </is>
      </c>
      <c r="J584" t="inlineStr">
        <is>
          <t/>
        </is>
      </c>
      <c r="K584" t="n">
        <v>0.0</v>
      </c>
      <c r="L584" t="n">
        <v>0.0</v>
      </c>
      <c r="M584" t="n">
        <v>0.0</v>
      </c>
      <c r="N584" t="inlineStr">
        <is>
          <t/>
        </is>
      </c>
      <c r="O584" t="n">
        <v>0.0</v>
      </c>
      <c r="P584" t="n">
        <v>0.0</v>
      </c>
      <c r="Q584" t="inlineStr">
        <is>
          <t/>
        </is>
      </c>
      <c r="R584" t="inlineStr">
        <is>
          <t/>
        </is>
      </c>
      <c r="S584" t="n">
        <v>0.0</v>
      </c>
      <c r="T584" t="n">
        <v>0.0</v>
      </c>
      <c r="U584" t="n">
        <v>0.0</v>
      </c>
      <c r="V584" t="n">
        <v>0.0</v>
      </c>
      <c r="W584" t="inlineStr">
        <is>
          <t/>
        </is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inlineStr">
        <is>
          <t/>
        </is>
      </c>
      <c r="AL584" t="inlineStr">
        <is>
          <t/>
        </is>
      </c>
    </row>
    <row r="585">
      <c r="A585" t="inlineStr">
        <is>
          <t>过年给老爸老妈买的一整条三文鱼！</t>
        </is>
      </c>
      <c r="B585" t="inlineStr">
        <is>
          <t>697c559a000000001a035ccc</t>
        </is>
      </c>
      <c r="C585" s="584" t="n">
        <f>HYPERLINK("https://www.xiaohongshu.com/explore/697c559a000000001a035ccc?xsec_token=TBV-62_c6Sms9X18ENcOcpiEd6DJ77aX2nqBDIN91pMVU=&amp;xsec_source=pc_trdark","https://www.xiaohongshu.com/explore/697c559a000000001a035ccc?xsec_token=TBV-62_c6Sms9X18ENcOcpiEd6DJ77aX2nqBDIN91pMVU=&amp;xsec_source=pc_trdark")</f>
        <v>0.0</v>
      </c>
      <c r="D585" t="inlineStr">
        <is>
          <t>鲜水湾</t>
        </is>
      </c>
      <c r="E585" t="inlineStr">
        <is>
          <t>49316638994</t>
        </is>
      </c>
      <c r="F585" t="inlineStr">
        <is>
          <t>2026-01-30 14:54:18</t>
        </is>
      </c>
      <c r="G585" t="inlineStr">
        <is>
          <t>图文</t>
        </is>
      </c>
      <c r="H585" t="inlineStr">
        <is>
          <t>智利三文鱼切块·整条三文鱼·深海鱼一人食健康饮食</t>
        </is>
      </c>
      <c r="I585" t="inlineStr">
        <is>
          <t>691ac562a524ee0001b51d7b</t>
        </is>
      </c>
      <c r="J585" t="inlineStr">
        <is>
          <t/>
        </is>
      </c>
      <c r="K585" t="n">
        <v>0.0</v>
      </c>
      <c r="L585" t="n">
        <v>0.0</v>
      </c>
      <c r="M585" t="n">
        <v>0.0</v>
      </c>
      <c r="N585" t="inlineStr">
        <is>
          <t/>
        </is>
      </c>
      <c r="O585" t="n">
        <v>0.0</v>
      </c>
      <c r="P585" t="n">
        <v>0.0</v>
      </c>
      <c r="Q585" t="inlineStr">
        <is>
          <t/>
        </is>
      </c>
      <c r="R585" t="inlineStr">
        <is>
          <t/>
        </is>
      </c>
      <c r="S585" t="n">
        <v>0.0</v>
      </c>
      <c r="T585" t="n">
        <v>0.0</v>
      </c>
      <c r="U585" t="n">
        <v>0.0</v>
      </c>
      <c r="V585" t="n">
        <v>0.0</v>
      </c>
      <c r="W585" t="inlineStr">
        <is>
          <t/>
        </is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inlineStr">
        <is>
          <t/>
        </is>
      </c>
      <c r="AL585" t="inlineStr">
        <is>
          <t/>
        </is>
      </c>
    </row>
    <row r="586">
      <c r="A586" t="inlineStr">
        <is>
          <t>今年走亲戚别送奶了❗️送这鱼备有面儿</t>
        </is>
      </c>
      <c r="B586" t="inlineStr">
        <is>
          <t>697b2834000000000d008a39</t>
        </is>
      </c>
      <c r="C586" s="585" t="n">
        <f>HYPERLINK("https://www.xiaohongshu.com/explore/697b2834000000000d008a39?xsec_token=TBx0gf9xFBuo-Uf0_oTJMkRGIGml1cD74L8EYqARDVQLU=&amp;xsec_source=pc_trdark","https://www.xiaohongshu.com/explore/697b2834000000000d008a39?xsec_token=TBx0gf9xFBuo-Uf0_oTJMkRGIGml1cD74L8EYqARDVQLU=&amp;xsec_source=pc_trdark")</f>
        <v>0.0</v>
      </c>
      <c r="D586" t="inlineStr">
        <is>
          <t>鲜水湾</t>
        </is>
      </c>
      <c r="E586" t="inlineStr">
        <is>
          <t>49316638994</t>
        </is>
      </c>
      <c r="F586" t="inlineStr">
        <is>
          <t>2026-01-29 17:28:20</t>
        </is>
      </c>
      <c r="G586" t="inlineStr">
        <is>
          <t>图文</t>
        </is>
      </c>
      <c r="H586" t="inlineStr">
        <is>
          <t>智利三文鱼切块·整条三文鱼·深海鱼一人食健康饮食</t>
        </is>
      </c>
      <c r="I586" t="inlineStr">
        <is>
          <t>691ac562a524ee0001b51d7b</t>
        </is>
      </c>
      <c r="J586" t="inlineStr">
        <is>
          <t/>
        </is>
      </c>
      <c r="K586" t="n">
        <v>0.0</v>
      </c>
      <c r="L586" t="n">
        <v>0.0</v>
      </c>
      <c r="M586" t="n">
        <v>0.0</v>
      </c>
      <c r="N586" t="inlineStr">
        <is>
          <t/>
        </is>
      </c>
      <c r="O586" t="n">
        <v>0.0</v>
      </c>
      <c r="P586" t="n">
        <v>0.0</v>
      </c>
      <c r="Q586" t="inlineStr">
        <is>
          <t/>
        </is>
      </c>
      <c r="R586" t="inlineStr">
        <is>
          <t/>
        </is>
      </c>
      <c r="S586" t="n">
        <v>0.0</v>
      </c>
      <c r="T586" t="n">
        <v>0.0</v>
      </c>
      <c r="U586" t="n">
        <v>0.0</v>
      </c>
      <c r="V586" t="n">
        <v>0.0</v>
      </c>
      <c r="W586" t="inlineStr">
        <is>
          <t/>
        </is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inlineStr">
        <is>
          <t/>
        </is>
      </c>
      <c r="AL586" t="inlineStr">
        <is>
          <t/>
        </is>
      </c>
    </row>
    <row r="587">
      <c r="A587" t="inlineStr">
        <is>
          <t>一代人有一代人的年货要买！</t>
        </is>
      </c>
      <c r="B587" t="inlineStr">
        <is>
          <t>6979df44000000002800ad3a</t>
        </is>
      </c>
      <c r="C587" s="586" t="n">
        <f>HYPERLINK("https://www.xiaohongshu.com/explore/6979df44000000002800ad3a?xsec_token=TBDUixuchs-ppRvZ3sgkNDRc6EolPjX91ZgaZx97b9w9w=&amp;xsec_source=pc_trdark","https://www.xiaohongshu.com/explore/6979df44000000002800ad3a?xsec_token=TBDUixuchs-ppRvZ3sgkNDRc6EolPjX91ZgaZx97b9w9w=&amp;xsec_source=pc_trdark")</f>
        <v>0.0</v>
      </c>
      <c r="D587" t="inlineStr">
        <is>
          <t>鲜水湾</t>
        </is>
      </c>
      <c r="E587" t="inlineStr">
        <is>
          <t>49316638994</t>
        </is>
      </c>
      <c r="F587" t="inlineStr">
        <is>
          <t>2026-01-28 18:04:52</t>
        </is>
      </c>
      <c r="G587" t="inlineStr">
        <is>
          <t>图文</t>
        </is>
      </c>
      <c r="H587" t="inlineStr">
        <is>
          <t>大虾基围虾王牌大虾厄瓜多尔白虾盐冻虾仁海洋大虾送礼顺丰包邮</t>
        </is>
      </c>
      <c r="I587" t="inlineStr">
        <is>
          <t>690aeb7be379430001e686ac</t>
        </is>
      </c>
      <c r="J587" t="inlineStr">
        <is>
          <t/>
        </is>
      </c>
      <c r="K587" t="n">
        <v>0.0</v>
      </c>
      <c r="L587" t="n">
        <v>0.0</v>
      </c>
      <c r="M587" t="n">
        <v>0.0</v>
      </c>
      <c r="N587" t="inlineStr">
        <is>
          <t/>
        </is>
      </c>
      <c r="O587" t="n">
        <v>0.0</v>
      </c>
      <c r="P587" t="n">
        <v>0.0</v>
      </c>
      <c r="Q587" t="inlineStr">
        <is>
          <t/>
        </is>
      </c>
      <c r="R587" t="inlineStr">
        <is>
          <t/>
        </is>
      </c>
      <c r="S587" t="n">
        <v>0.0</v>
      </c>
      <c r="T587" t="n">
        <v>0.0</v>
      </c>
      <c r="U587" t="n">
        <v>0.0</v>
      </c>
      <c r="V587" t="n">
        <v>0.0</v>
      </c>
      <c r="W587" t="inlineStr">
        <is>
          <t/>
        </is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inlineStr">
        <is>
          <t/>
        </is>
      </c>
      <c r="AL587" t="inlineStr">
        <is>
          <t/>
        </is>
      </c>
    </row>
    <row r="588">
      <c r="A588" t="inlineStr">
        <is>
          <t>早八人抄作业！十分钟搞定的早餐🥣</t>
        </is>
      </c>
      <c r="B588" t="inlineStr">
        <is>
          <t>69798e47000000001a02404b</t>
        </is>
      </c>
      <c r="C588" s="587" t="n">
        <f>HYPERLINK("https://www.xiaohongshu.com/explore/69798e47000000001a02404b?xsec_token=TBDUixuchs-ppRvZ3sgkNDRQgtSfn7IWS1xiBCT8lbZ5w=&amp;xsec_source=pc_trdark","https://www.xiaohongshu.com/explore/69798e47000000001a02404b?xsec_token=TBDUixuchs-ppRvZ3sgkNDRQgtSfn7IWS1xiBCT8lbZ5w=&amp;xsec_source=pc_trdark")</f>
        <v>0.0</v>
      </c>
      <c r="D588" t="inlineStr">
        <is>
          <t>鲜水湾</t>
        </is>
      </c>
      <c r="E588" t="inlineStr">
        <is>
          <t>49316638994</t>
        </is>
      </c>
      <c r="F588" t="inlineStr">
        <is>
          <t>2026-01-28 12:19:19</t>
        </is>
      </c>
      <c r="G588" t="inlineStr">
        <is>
          <t>图文</t>
        </is>
      </c>
      <c r="H588" t="inlineStr">
        <is>
          <t>大虾基围虾王牌大虾厄瓜多尔白虾盐冻虾仁海洋大虾送礼顺丰包邮</t>
        </is>
      </c>
      <c r="I588" t="inlineStr">
        <is>
          <t>690aeb7be379430001e686ac</t>
        </is>
      </c>
      <c r="J588" t="inlineStr">
        <is>
          <t/>
        </is>
      </c>
      <c r="K588" t="n">
        <v>0.0</v>
      </c>
      <c r="L588" t="n">
        <v>0.0</v>
      </c>
      <c r="M588" t="n">
        <v>0.0</v>
      </c>
      <c r="N588" t="inlineStr">
        <is>
          <t/>
        </is>
      </c>
      <c r="O588" t="n">
        <v>0.0</v>
      </c>
      <c r="P588" t="n">
        <v>0.0</v>
      </c>
      <c r="Q588" t="inlineStr">
        <is>
          <t/>
        </is>
      </c>
      <c r="R588" t="inlineStr">
        <is>
          <t/>
        </is>
      </c>
      <c r="S588" t="n">
        <v>0.0</v>
      </c>
      <c r="T588" t="n">
        <v>0.0</v>
      </c>
      <c r="U588" t="n">
        <v>0.0</v>
      </c>
      <c r="V588" t="n">
        <v>0.0</v>
      </c>
      <c r="W588" t="inlineStr">
        <is>
          <t/>
        </is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inlineStr">
        <is>
          <t/>
        </is>
      </c>
      <c r="AL588" t="inlineStr">
        <is>
          <t/>
        </is>
      </c>
    </row>
    <row r="589">
      <c r="A589" t="inlineStr">
        <is>
          <t>三文鱼补蛋白质比牛肉还猛，整条才300多…</t>
        </is>
      </c>
      <c r="B589" t="inlineStr">
        <is>
          <t>6978cf1c000000000e00df74</t>
        </is>
      </c>
      <c r="C589" s="588" t="n">
        <f>HYPERLINK("https://www.xiaohongshu.com/explore/6978cf1c000000000e00df74?xsec_token=TB4uixe4FoDg0vEpIlbspmipHM29uc79_xYphutBinVZY=&amp;xsec_source=pc_trdark","https://www.xiaohongshu.com/explore/6978cf1c000000000e00df74?xsec_token=TB4uixe4FoDg0vEpIlbspmipHM29uc79_xYphutBinVZY=&amp;xsec_source=pc_trdark")</f>
        <v>0.0</v>
      </c>
      <c r="D589" t="inlineStr">
        <is>
          <t>鲜水湾</t>
        </is>
      </c>
      <c r="E589" t="inlineStr">
        <is>
          <t>49316638994</t>
        </is>
      </c>
      <c r="F589" t="inlineStr">
        <is>
          <t>2026-01-27 22:43:40</t>
        </is>
      </c>
      <c r="G589" t="inlineStr">
        <is>
          <t>图文</t>
        </is>
      </c>
      <c r="H589" t="inlineStr">
        <is>
          <t>智利三文鱼切块·整条三文鱼·深海鱼一人食健康饮食</t>
        </is>
      </c>
      <c r="I589" t="inlineStr">
        <is>
          <t>691ac562a524ee0001b51d7b</t>
        </is>
      </c>
      <c r="J589" t="inlineStr">
        <is>
          <t/>
        </is>
      </c>
      <c r="K589" t="n">
        <v>0.0</v>
      </c>
      <c r="L589" t="n">
        <v>0.0</v>
      </c>
      <c r="M589" t="n">
        <v>0.0</v>
      </c>
      <c r="N589" t="inlineStr">
        <is>
          <t/>
        </is>
      </c>
      <c r="O589" t="n">
        <v>0.0</v>
      </c>
      <c r="P589" t="n">
        <v>0.0</v>
      </c>
      <c r="Q589" t="inlineStr">
        <is>
          <t/>
        </is>
      </c>
      <c r="R589" t="inlineStr">
        <is>
          <t/>
        </is>
      </c>
      <c r="S589" t="n">
        <v>0.0</v>
      </c>
      <c r="T589" t="n">
        <v>0.0</v>
      </c>
      <c r="U589" t="n">
        <v>0.0</v>
      </c>
      <c r="V589" t="n">
        <v>0.0</v>
      </c>
      <c r="W589" t="inlineStr">
        <is>
          <t/>
        </is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inlineStr">
        <is>
          <t/>
        </is>
      </c>
      <c r="AL589" t="inlineStr">
        <is>
          <t/>
        </is>
      </c>
    </row>
    <row r="590">
      <c r="A590" t="inlineStr">
        <is>
          <t>山东朋友认证的‼️巨好吃～</t>
        </is>
      </c>
      <c r="B590" t="inlineStr">
        <is>
          <t>6951220e000000001e02bad7</t>
        </is>
      </c>
      <c r="C590" s="589" t="n">
        <f>HYPERLINK("https://www.xiaohongshu.com/explore/6951220e000000001e02bad7?xsec_token=TB_qEjSZ7tEjw02EUjImJj3TMSH6zeJgcwx7pATniN9JM=&amp;xsec_source=pc_trdark","https://www.xiaohongshu.com/explore/6951220e000000001e02bad7?xsec_token=TB_qEjSZ7tEjw02EUjImJj3TMSH6zeJgcwx7pATniN9JM=&amp;xsec_source=pc_trdark")</f>
        <v>0.0</v>
      </c>
      <c r="D590" t="inlineStr">
        <is>
          <t>鲜水湾</t>
        </is>
      </c>
      <c r="E590" t="inlineStr">
        <is>
          <t>49316638994</t>
        </is>
      </c>
      <c r="F590" t="inlineStr">
        <is>
          <t>2025-12-28 20:26:54</t>
        </is>
      </c>
      <c r="G590" t="inlineStr">
        <is>
          <t>图文</t>
        </is>
      </c>
      <c r="H590" t="inlineStr">
        <is>
          <t>生蚝乳山生蚝海蛎子顺丰包邮</t>
        </is>
      </c>
      <c r="I590" t="inlineStr">
        <is>
          <t>690c70971b787900010866cc</t>
        </is>
      </c>
      <c r="J590" t="inlineStr">
        <is>
          <t/>
        </is>
      </c>
      <c r="K590" t="n">
        <v>0.0</v>
      </c>
      <c r="L590" t="n">
        <v>0.0</v>
      </c>
      <c r="M590" t="n">
        <v>0.0</v>
      </c>
      <c r="N590" t="inlineStr">
        <is>
          <t/>
        </is>
      </c>
      <c r="O590" t="n">
        <v>0.0</v>
      </c>
      <c r="P590" t="n">
        <v>0.0</v>
      </c>
      <c r="Q590" t="inlineStr">
        <is>
          <t/>
        </is>
      </c>
      <c r="R590" t="inlineStr">
        <is>
          <t/>
        </is>
      </c>
      <c r="S590" t="n">
        <v>0.0</v>
      </c>
      <c r="T590" t="n">
        <v>0.0</v>
      </c>
      <c r="U590" t="n">
        <v>0.0</v>
      </c>
      <c r="V590" t="n">
        <v>0.0</v>
      </c>
      <c r="W590" t="inlineStr">
        <is>
          <t/>
        </is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inlineStr">
        <is>
          <t/>
        </is>
      </c>
      <c r="AL590" t="inlineStr">
        <is>
          <t/>
        </is>
      </c>
    </row>
    <row r="591">
      <c r="A591" t="inlineStr">
        <is>
          <t>山东连续大雪❄️，一下子全肥了</t>
        </is>
      </c>
      <c r="B591" t="inlineStr">
        <is>
          <t>6950de41000000001f00f0a5</t>
        </is>
      </c>
      <c r="C591" s="590" t="n">
        <f>HYPERLINK("https://www.xiaohongshu.com/explore/6950de41000000001f00f0a5?xsec_token=TBZlsVk_u522I8N-JhGtRMDoiLYtzCpe-GfAeAmuwvi8g=&amp;xsec_source=pc_trdark","https://www.xiaohongshu.com/explore/6950de41000000001f00f0a5?xsec_token=TBZlsVk_u522I8N-JhGtRMDoiLYtzCpe-GfAeAmuwvi8g=&amp;xsec_source=pc_trdark")</f>
        <v>0.0</v>
      </c>
      <c r="D591" t="inlineStr">
        <is>
          <t>鲜水湾</t>
        </is>
      </c>
      <c r="E591" t="inlineStr">
        <is>
          <t>49316638994</t>
        </is>
      </c>
      <c r="F591" t="inlineStr">
        <is>
          <t>2025-12-28 15:37:37</t>
        </is>
      </c>
      <c r="G591" t="inlineStr">
        <is>
          <t>图文</t>
        </is>
      </c>
      <c r="H591" t="inlineStr">
        <is>
          <t>生蚝乳山生蚝海蛎子顺丰包邮</t>
        </is>
      </c>
      <c r="I591" t="inlineStr">
        <is>
          <t>690c70971b787900010866cc</t>
        </is>
      </c>
      <c r="J591" t="inlineStr">
        <is>
          <t/>
        </is>
      </c>
      <c r="K591" t="n">
        <v>0.0</v>
      </c>
      <c r="L591" t="n">
        <v>0.0</v>
      </c>
      <c r="M591" t="n">
        <v>0.0</v>
      </c>
      <c r="N591" t="inlineStr">
        <is>
          <t/>
        </is>
      </c>
      <c r="O591" t="n">
        <v>0.0</v>
      </c>
      <c r="P591" t="n">
        <v>0.0</v>
      </c>
      <c r="Q591" t="inlineStr">
        <is>
          <t/>
        </is>
      </c>
      <c r="R591" t="inlineStr">
        <is>
          <t/>
        </is>
      </c>
      <c r="S591" t="n">
        <v>0.0</v>
      </c>
      <c r="T591" t="n">
        <v>0.0</v>
      </c>
      <c r="U591" t="n">
        <v>0.0</v>
      </c>
      <c r="V591" t="n">
        <v>0.0</v>
      </c>
      <c r="W591" t="inlineStr">
        <is>
          <t/>
        </is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inlineStr">
        <is>
          <t/>
        </is>
      </c>
      <c r="AL591" t="inlineStr">
        <is>
          <t/>
        </is>
      </c>
    </row>
    <row r="592">
      <c r="A592" t="inlineStr">
        <is>
          <t>轻松征服所有三文鱼脑袋🐟～</t>
        </is>
      </c>
      <c r="B592" t="inlineStr">
        <is>
          <t>6950881b000000001e0355a5</t>
        </is>
      </c>
      <c r="C592" s="591" t="n">
        <f>HYPERLINK("https://www.xiaohongshu.com/explore/6950881b000000001e0355a5?xsec_token=TBZlsVk_u522I8N-JhGtRMDjLXf1070IVefsr9amfW0wE=&amp;xsec_source=pc_trdark","https://www.xiaohongshu.com/explore/6950881b000000001e0355a5?xsec_token=TBZlsVk_u522I8N-JhGtRMDjLXf1070IVefsr9amfW0wE=&amp;xsec_source=pc_trdark")</f>
        <v>0.0</v>
      </c>
      <c r="D592" t="inlineStr">
        <is>
          <t>鲜水湾</t>
        </is>
      </c>
      <c r="E592" t="inlineStr">
        <is>
          <t>49316638994</t>
        </is>
      </c>
      <c r="F592" t="inlineStr">
        <is>
          <t>2025-12-28 09:30:03</t>
        </is>
      </c>
      <c r="G592" t="inlineStr">
        <is>
          <t>图文</t>
        </is>
      </c>
      <c r="H592" t="inlineStr">
        <is>
          <t>智利三文鱼切块·整条三文鱼·深海鱼一人食健康饮食</t>
        </is>
      </c>
      <c r="I592" t="inlineStr">
        <is>
          <t>691ac562a524ee0001b51d7b</t>
        </is>
      </c>
      <c r="J592" t="inlineStr">
        <is>
          <t/>
        </is>
      </c>
      <c r="K592" t="n">
        <v>0.0</v>
      </c>
      <c r="L592" t="n">
        <v>0.0</v>
      </c>
      <c r="M592" t="n">
        <v>0.0</v>
      </c>
      <c r="N592" t="inlineStr">
        <is>
          <t/>
        </is>
      </c>
      <c r="O592" t="n">
        <v>0.0</v>
      </c>
      <c r="P592" t="n">
        <v>0.0</v>
      </c>
      <c r="Q592" t="inlineStr">
        <is>
          <t/>
        </is>
      </c>
      <c r="R592" t="inlineStr">
        <is>
          <t/>
        </is>
      </c>
      <c r="S592" t="n">
        <v>0.0</v>
      </c>
      <c r="T592" t="n">
        <v>0.0</v>
      </c>
      <c r="U592" t="n">
        <v>0.0</v>
      </c>
      <c r="V592" t="n">
        <v>0.0</v>
      </c>
      <c r="W592" t="inlineStr">
        <is>
          <t/>
        </is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inlineStr">
        <is>
          <t/>
        </is>
      </c>
      <c r="AL592" t="inlineStr">
        <is>
          <t/>
        </is>
      </c>
    </row>
    <row r="593">
      <c r="A593" t="inlineStr">
        <is>
          <t>区区300多，承包了我一个月的减脂餐</t>
        </is>
      </c>
      <c r="B593" t="inlineStr">
        <is>
          <t>694ff17d000000001e032ce6</t>
        </is>
      </c>
      <c r="C593" s="592" t="n">
        <f>HYPERLINK("https://www.xiaohongshu.com/explore/694ff17d000000001e032ce6?xsec_token=TBw7VvNlyMjIEifzsT4Z5tlE0BEdVjw__dTXCvF1jBl8Q=&amp;xsec_source=pc_trdark","https://www.xiaohongshu.com/explore/694ff17d000000001e032ce6?xsec_token=TBw7VvNlyMjIEifzsT4Z5tlE0BEdVjw__dTXCvF1jBl8Q=&amp;xsec_source=pc_trdark")</f>
        <v>0.0</v>
      </c>
      <c r="D593" t="inlineStr">
        <is>
          <t>鲜水湾</t>
        </is>
      </c>
      <c r="E593" t="inlineStr">
        <is>
          <t>49316638994</t>
        </is>
      </c>
      <c r="F593" t="inlineStr">
        <is>
          <t>2025-12-27 22:47:25</t>
        </is>
      </c>
      <c r="G593" t="inlineStr">
        <is>
          <t>图文</t>
        </is>
      </c>
      <c r="H593" t="inlineStr">
        <is>
          <t>智利三文鱼切块·整条三文鱼·深海鱼一人食健康饮食</t>
        </is>
      </c>
      <c r="I593" t="inlineStr">
        <is>
          <t>691ac562a524ee0001b51d7b</t>
        </is>
      </c>
      <c r="J593" t="inlineStr">
        <is>
          <t/>
        </is>
      </c>
      <c r="K593" t="n">
        <v>0.0</v>
      </c>
      <c r="L593" t="n">
        <v>0.0</v>
      </c>
      <c r="M593" t="n">
        <v>0.0</v>
      </c>
      <c r="N593" t="inlineStr">
        <is>
          <t/>
        </is>
      </c>
      <c r="O593" t="n">
        <v>0.0</v>
      </c>
      <c r="P593" t="n">
        <v>0.0</v>
      </c>
      <c r="Q593" t="inlineStr">
        <is>
          <t/>
        </is>
      </c>
      <c r="R593" t="inlineStr">
        <is>
          <t/>
        </is>
      </c>
      <c r="S593" t="n">
        <v>0.0</v>
      </c>
      <c r="T593" t="n">
        <v>0.0</v>
      </c>
      <c r="U593" t="n">
        <v>0.0</v>
      </c>
      <c r="V593" t="n">
        <v>0.0</v>
      </c>
      <c r="W593" t="inlineStr">
        <is>
          <t/>
        </is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inlineStr">
        <is>
          <t/>
        </is>
      </c>
      <c r="AL593" t="inlineStr">
        <is>
          <t/>
        </is>
      </c>
    </row>
    <row r="594">
      <c r="A594" t="inlineStr">
        <is>
          <t>区区300多承包了我一个月的减脂餐😎</t>
        </is>
      </c>
      <c r="B594" t="inlineStr">
        <is>
          <t>694d4d55000000001e02f936</t>
        </is>
      </c>
      <c r="C594" s="593" t="n">
        <f>HYPERLINK("https://www.xiaohongshu.com/explore/694d4d55000000001e02f936?xsec_token=TBtwDoStOWWrqIzqfvN9e2OfBKKCe5OU5wm_XAyKnlIzM=&amp;xsec_source=pc_trdark","https://www.xiaohongshu.com/explore/694d4d55000000001e02f936?xsec_token=TBtwDoStOWWrqIzqfvN9e2OfBKKCe5OU5wm_XAyKnlIzM=&amp;xsec_source=pc_trdark")</f>
        <v>0.0</v>
      </c>
      <c r="D594" t="inlineStr">
        <is>
          <t>鲜水湾</t>
        </is>
      </c>
      <c r="E594" t="inlineStr">
        <is>
          <t>49316638994</t>
        </is>
      </c>
      <c r="F594" t="inlineStr">
        <is>
          <t>2025-12-25 22:42:29</t>
        </is>
      </c>
      <c r="G594" t="inlineStr">
        <is>
          <t>图文</t>
        </is>
      </c>
      <c r="H594" t="inlineStr">
        <is>
          <t>智利三文鱼切块·整条三文鱼·深海鱼一人食健康饮食</t>
        </is>
      </c>
      <c r="I594" t="inlineStr">
        <is>
          <t>691ac562a524ee0001b51d7b</t>
        </is>
      </c>
      <c r="J594" t="inlineStr">
        <is>
          <t/>
        </is>
      </c>
      <c r="K594" t="n">
        <v>0.0</v>
      </c>
      <c r="L594" t="n">
        <v>0.0</v>
      </c>
      <c r="M594" t="n">
        <v>0.0</v>
      </c>
      <c r="N594" t="inlineStr">
        <is>
          <t/>
        </is>
      </c>
      <c r="O594" t="n">
        <v>0.0</v>
      </c>
      <c r="P594" t="n">
        <v>0.0</v>
      </c>
      <c r="Q594" t="inlineStr">
        <is>
          <t/>
        </is>
      </c>
      <c r="R594" t="inlineStr">
        <is>
          <t/>
        </is>
      </c>
      <c r="S594" t="n">
        <v>0.0</v>
      </c>
      <c r="T594" t="n">
        <v>0.0</v>
      </c>
      <c r="U594" t="n">
        <v>0.0</v>
      </c>
      <c r="V594" t="n">
        <v>0.0</v>
      </c>
      <c r="W594" t="inlineStr">
        <is>
          <t/>
        </is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inlineStr">
        <is>
          <t/>
        </is>
      </c>
      <c r="AL594" t="inlineStr">
        <is>
          <t/>
        </is>
      </c>
    </row>
    <row r="595">
      <c r="A595" t="inlineStr">
        <is>
          <t>一个能撑s人但热量很低的东西。。。</t>
        </is>
      </c>
      <c r="B595" t="inlineStr">
        <is>
          <t>694b9383000000001e02b06a</t>
        </is>
      </c>
      <c r="C595" s="594" t="n">
        <f>HYPERLINK("https://www.xiaohongshu.com/explore/694b9383000000001e02b06a?xsec_token=TBJ1d3lsVKl7u73DozgnzSfmUOTWyfGc24kG22x1W9xTc=&amp;xsec_source=pc_trdark","https://www.xiaohongshu.com/explore/694b9383000000001e02b06a?xsec_token=TBJ1d3lsVKl7u73DozgnzSfmUOTWyfGc24kG22x1W9xTc=&amp;xsec_source=pc_trdark")</f>
        <v>0.0</v>
      </c>
      <c r="D595" t="inlineStr">
        <is>
          <t>鲜水湾</t>
        </is>
      </c>
      <c r="E595" t="inlineStr">
        <is>
          <t>49316638994</t>
        </is>
      </c>
      <c r="F595" t="inlineStr">
        <is>
          <t>2025-12-24 15:17:23</t>
        </is>
      </c>
      <c r="G595" t="inlineStr">
        <is>
          <t>图文</t>
        </is>
      </c>
      <c r="H595" t="inlineStr">
        <is>
          <t>大虾基围虾王牌大虾厄瓜多尔白虾盐冻虾仁海洋大虾送礼顺丰包邮</t>
        </is>
      </c>
      <c r="I595" t="inlineStr">
        <is>
          <t>690aeb7be379430001e686ac</t>
        </is>
      </c>
      <c r="J595" t="inlineStr">
        <is>
          <t/>
        </is>
      </c>
      <c r="K595" t="n">
        <v>0.0</v>
      </c>
      <c r="L595" t="n">
        <v>0.0</v>
      </c>
      <c r="M595" t="n">
        <v>0.0</v>
      </c>
      <c r="N595" t="inlineStr">
        <is>
          <t/>
        </is>
      </c>
      <c r="O595" t="n">
        <v>0.0</v>
      </c>
      <c r="P595" t="n">
        <v>0.0</v>
      </c>
      <c r="Q595" t="inlineStr">
        <is>
          <t/>
        </is>
      </c>
      <c r="R595" t="inlineStr">
        <is>
          <t/>
        </is>
      </c>
      <c r="S595" t="n">
        <v>0.0</v>
      </c>
      <c r="T595" t="n">
        <v>0.0</v>
      </c>
      <c r="U595" t="n">
        <v>0.0</v>
      </c>
      <c r="V595" t="n">
        <v>0.0</v>
      </c>
      <c r="W595" t="inlineStr">
        <is>
          <t/>
        </is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inlineStr">
        <is>
          <t/>
        </is>
      </c>
      <c r="AL595" t="inlineStr">
        <is>
          <t/>
        </is>
      </c>
    </row>
    <row r="596">
      <c r="A596" t="inlineStr">
        <is>
          <t>答应我！爱吃生蚝的都去冲！</t>
        </is>
      </c>
      <c r="B596" t="inlineStr">
        <is>
          <t>694964bf000000001f00a8c5</t>
        </is>
      </c>
      <c r="C596" s="595" t="n">
        <f>HYPERLINK("https://www.xiaohongshu.com/explore/694964bf000000001f00a8c5?xsec_token=TB80OIxeN-ESXgJCMbPNqK1r9K1ZcwMPKsoAYgV3_Ewpw=&amp;xsec_source=pc_trdark","https://www.xiaohongshu.com/explore/694964bf000000001f00a8c5?xsec_token=TB80OIxeN-ESXgJCMbPNqK1r9K1ZcwMPKsoAYgV3_Ewpw=&amp;xsec_source=pc_trdark")</f>
        <v>0.0</v>
      </c>
      <c r="D596" t="inlineStr">
        <is>
          <t>鲜水湾</t>
        </is>
      </c>
      <c r="E596" t="inlineStr">
        <is>
          <t>49316638994</t>
        </is>
      </c>
      <c r="F596" t="inlineStr">
        <is>
          <t>2025-12-22 23:33:19</t>
        </is>
      </c>
      <c r="G596" t="inlineStr">
        <is>
          <t>图文</t>
        </is>
      </c>
      <c r="H596" t="inlineStr">
        <is>
          <t>生蚝乳山生蚝海蛎子顺丰包邮</t>
        </is>
      </c>
      <c r="I596" t="inlineStr">
        <is>
          <t>690c70971b787900010866cc</t>
        </is>
      </c>
      <c r="J596" t="inlineStr">
        <is>
          <t/>
        </is>
      </c>
      <c r="K596" t="n">
        <v>0.0</v>
      </c>
      <c r="L596" t="n">
        <v>0.0</v>
      </c>
      <c r="M596" t="n">
        <v>0.0</v>
      </c>
      <c r="N596" t="inlineStr">
        <is>
          <t/>
        </is>
      </c>
      <c r="O596" t="n">
        <v>0.0</v>
      </c>
      <c r="P596" t="n">
        <v>0.0</v>
      </c>
      <c r="Q596" t="inlineStr">
        <is>
          <t/>
        </is>
      </c>
      <c r="R596" t="inlineStr">
        <is>
          <t/>
        </is>
      </c>
      <c r="S596" t="n">
        <v>0.0</v>
      </c>
      <c r="T596" t="n">
        <v>0.0</v>
      </c>
      <c r="U596" t="n">
        <v>0.0</v>
      </c>
      <c r="V596" t="n">
        <v>0.0</v>
      </c>
      <c r="W596" t="inlineStr">
        <is>
          <t/>
        </is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inlineStr">
        <is>
          <t/>
        </is>
      </c>
      <c r="AL596" t="inlineStr">
        <is>
          <t/>
        </is>
      </c>
    </row>
    <row r="597">
      <c r="A597" t="inlineStr">
        <is>
          <t>太适合懒人减脂餐了</t>
        </is>
      </c>
      <c r="B597" t="inlineStr">
        <is>
          <t>6946beeb000000001e026e07</t>
        </is>
      </c>
      <c r="C597" s="596" t="n">
        <f>HYPERLINK("https://www.xiaohongshu.com/explore/6946beeb000000001e026e07?xsec_token=TBHCyq_CQBT5wFdM6Ltqr7ewds_pILQ_hIkfvi2qeX7WI=&amp;xsec_source=pc_trdark","https://www.xiaohongshu.com/explore/6946beeb000000001e026e07?xsec_token=TBHCyq_CQBT5wFdM6Ltqr7ewds_pILQ_hIkfvi2qeX7WI=&amp;xsec_source=pc_trdark")</f>
        <v>0.0</v>
      </c>
      <c r="D597" t="inlineStr">
        <is>
          <t>鲜水湾</t>
        </is>
      </c>
      <c r="E597" t="inlineStr">
        <is>
          <t>49316638994</t>
        </is>
      </c>
      <c r="F597" t="inlineStr">
        <is>
          <t>2025-12-20 23:21:15</t>
        </is>
      </c>
      <c r="G597" t="inlineStr">
        <is>
          <t>图文</t>
        </is>
      </c>
      <c r="H597" t="inlineStr">
        <is>
          <t>大虾基围虾王牌大虾厄瓜多尔白虾盐冻虾仁海洋大虾送礼顺丰包邮</t>
        </is>
      </c>
      <c r="I597" t="inlineStr">
        <is>
          <t>690aeb7be379430001e686ac</t>
        </is>
      </c>
      <c r="J597" t="inlineStr">
        <is>
          <t/>
        </is>
      </c>
      <c r="K597" t="n">
        <v>0.0</v>
      </c>
      <c r="L597" t="n">
        <v>0.0</v>
      </c>
      <c r="M597" t="n">
        <v>0.0</v>
      </c>
      <c r="N597" t="inlineStr">
        <is>
          <t/>
        </is>
      </c>
      <c r="O597" t="n">
        <v>0.0</v>
      </c>
      <c r="P597" t="n">
        <v>0.0</v>
      </c>
      <c r="Q597" t="inlineStr">
        <is>
          <t/>
        </is>
      </c>
      <c r="R597" t="inlineStr">
        <is>
          <t/>
        </is>
      </c>
      <c r="S597" t="n">
        <v>0.0</v>
      </c>
      <c r="T597" t="n">
        <v>0.0</v>
      </c>
      <c r="U597" t="n">
        <v>0.0</v>
      </c>
      <c r="V597" t="n">
        <v>0.0</v>
      </c>
      <c r="W597" t="inlineStr">
        <is>
          <t/>
        </is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inlineStr">
        <is>
          <t/>
        </is>
      </c>
      <c r="AL597" t="inlineStr">
        <is>
          <t/>
        </is>
      </c>
    </row>
    <row r="598">
      <c r="A598" t="inlineStr">
        <is>
          <t>过年了🧨买了整条三文鱼回家</t>
        </is>
      </c>
      <c r="B598" t="inlineStr">
        <is>
          <t>69466567000000001f00a3ce</t>
        </is>
      </c>
      <c r="C598" s="597" t="n">
        <f>HYPERLINK("https://www.xiaohongshu.com/explore/69466567000000001f00a3ce?xsec_token=TBHCyq_CQBT5wFdM6Ltqr7eyV_nAy0QE5ioCDsomteKuQ=&amp;xsec_source=pc_trdark","https://www.xiaohongshu.com/explore/69466567000000001f00a3ce?xsec_token=TBHCyq_CQBT5wFdM6Ltqr7eyV_nAy0QE5ioCDsomteKuQ=&amp;xsec_source=pc_trdark")</f>
        <v>0.0</v>
      </c>
      <c r="D598" t="inlineStr">
        <is>
          <t>鲜水湾</t>
        </is>
      </c>
      <c r="E598" t="inlineStr">
        <is>
          <t>49316638994</t>
        </is>
      </c>
      <c r="F598" t="inlineStr">
        <is>
          <t>2025-12-20 16:59:19</t>
        </is>
      </c>
      <c r="G598" t="inlineStr">
        <is>
          <t>图文</t>
        </is>
      </c>
      <c r="H598" t="inlineStr">
        <is>
          <t>智利三文鱼切块·整条三文鱼·深海鱼一人食健康饮食</t>
        </is>
      </c>
      <c r="I598" t="inlineStr">
        <is>
          <t>691ac562a524ee0001b51d7b</t>
        </is>
      </c>
      <c r="J598" t="inlineStr">
        <is>
          <t/>
        </is>
      </c>
      <c r="K598" t="n">
        <v>0.0</v>
      </c>
      <c r="L598" t="n">
        <v>0.0</v>
      </c>
      <c r="M598" t="n">
        <v>0.0</v>
      </c>
      <c r="N598" t="inlineStr">
        <is>
          <t/>
        </is>
      </c>
      <c r="O598" t="n">
        <v>0.0</v>
      </c>
      <c r="P598" t="n">
        <v>0.0</v>
      </c>
      <c r="Q598" t="inlineStr">
        <is>
          <t/>
        </is>
      </c>
      <c r="R598" t="inlineStr">
        <is>
          <t/>
        </is>
      </c>
      <c r="S598" t="n">
        <v>0.0</v>
      </c>
      <c r="T598" t="n">
        <v>0.0</v>
      </c>
      <c r="U598" t="n">
        <v>0.0</v>
      </c>
      <c r="V598" t="n">
        <v>0.0</v>
      </c>
      <c r="W598" t="inlineStr">
        <is>
          <t/>
        </is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inlineStr">
        <is>
          <t/>
        </is>
      </c>
      <c r="AL598" t="inlineStr">
        <is>
          <t/>
        </is>
      </c>
    </row>
    <row r="599">
      <c r="A599" t="inlineStr">
        <is>
          <t>爱你老己！一个人也可以吃的健康又便宜</t>
        </is>
      </c>
      <c r="B599" t="inlineStr">
        <is>
          <t>69460b52000000001e024646</t>
        </is>
      </c>
      <c r="C599" s="598" t="n">
        <f>HYPERLINK("https://www.xiaohongshu.com/explore/69460b52000000001e024646?xsec_token=TBHCyq_CQBT5wFdM6Ltqr7e5ZjFiBCKgQNwcC3IL2wgUQ=&amp;xsec_source=pc_trdark","https://www.xiaohongshu.com/explore/69460b52000000001e024646?xsec_token=TBHCyq_CQBT5wFdM6Ltqr7e5ZjFiBCKgQNwcC3IL2wgUQ=&amp;xsec_source=pc_trdark")</f>
        <v>0.0</v>
      </c>
      <c r="D599" t="inlineStr">
        <is>
          <t>鲜水湾</t>
        </is>
      </c>
      <c r="E599" t="inlineStr">
        <is>
          <t>49316638994</t>
        </is>
      </c>
      <c r="F599" t="inlineStr">
        <is>
          <t>2025-12-20 10:34:58</t>
        </is>
      </c>
      <c r="G599" t="inlineStr">
        <is>
          <t>图文</t>
        </is>
      </c>
      <c r="H599" t="inlineStr">
        <is>
          <t>大虾基围虾王牌大虾厄瓜多尔白虾盐冻虾仁海洋大虾送礼顺丰包邮</t>
        </is>
      </c>
      <c r="I599" t="inlineStr">
        <is>
          <t>690aeb7be379430001e686ac</t>
        </is>
      </c>
      <c r="J599" t="inlineStr">
        <is>
          <t/>
        </is>
      </c>
      <c r="K599" t="n">
        <v>0.0</v>
      </c>
      <c r="L599" t="n">
        <v>0.0</v>
      </c>
      <c r="M599" t="n">
        <v>0.0</v>
      </c>
      <c r="N599" t="inlineStr">
        <is>
          <t/>
        </is>
      </c>
      <c r="O599" t="n">
        <v>0.0</v>
      </c>
      <c r="P599" t="n">
        <v>0.0</v>
      </c>
      <c r="Q599" t="inlineStr">
        <is>
          <t/>
        </is>
      </c>
      <c r="R599" t="inlineStr">
        <is>
          <t/>
        </is>
      </c>
      <c r="S599" t="n">
        <v>0.0</v>
      </c>
      <c r="T599" t="n">
        <v>0.0</v>
      </c>
      <c r="U599" t="n">
        <v>0.0</v>
      </c>
      <c r="V599" t="n">
        <v>0.0</v>
      </c>
      <c r="W599" t="inlineStr">
        <is>
          <t/>
        </is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inlineStr">
        <is>
          <t/>
        </is>
      </c>
      <c r="AL599" t="inlineStr">
        <is>
          <t/>
        </is>
      </c>
    </row>
    <row r="600">
      <c r="A600" t="inlineStr">
        <is>
          <t>天才想出来的……减脂搭子！！</t>
        </is>
      </c>
      <c r="B600" t="inlineStr">
        <is>
          <t>694561ea000000001e0286e5</t>
        </is>
      </c>
      <c r="C600" s="599" t="n">
        <f>HYPERLINK("https://www.xiaohongshu.com/explore/694561ea000000001e0286e5?xsec_token=TB7p1vWXvB33zoX2lon7HfpVy6Gao4nSLHXYECbHz2y-0=&amp;xsec_source=pc_trdark","https://www.xiaohongshu.com/explore/694561ea000000001e0286e5?xsec_token=TB7p1vWXvB33zoX2lon7HfpVy6Gao4nSLHXYECbHz2y-0=&amp;xsec_source=pc_trdark")</f>
        <v>0.0</v>
      </c>
      <c r="D600" t="inlineStr">
        <is>
          <t>鲜水湾</t>
        </is>
      </c>
      <c r="E600" t="inlineStr">
        <is>
          <t>49316638994</t>
        </is>
      </c>
      <c r="F600" t="inlineStr">
        <is>
          <t>2025-12-19 22:32:10</t>
        </is>
      </c>
      <c r="G600" t="inlineStr">
        <is>
          <t>图文</t>
        </is>
      </c>
      <c r="H600" t="inlineStr">
        <is>
          <t>大虾基围虾王牌大虾厄瓜多尔白虾盐冻虾仁海洋大虾送礼顺丰包邮</t>
        </is>
      </c>
      <c r="I600" t="inlineStr">
        <is>
          <t>690aeb7be379430001e686ac</t>
        </is>
      </c>
      <c r="J600" t="inlineStr">
        <is>
          <t/>
        </is>
      </c>
      <c r="K600" t="n">
        <v>0.0</v>
      </c>
      <c r="L600" t="n">
        <v>0.0</v>
      </c>
      <c r="M600" t="n">
        <v>0.0</v>
      </c>
      <c r="N600" t="inlineStr">
        <is>
          <t/>
        </is>
      </c>
      <c r="O600" t="n">
        <v>0.0</v>
      </c>
      <c r="P600" t="n">
        <v>0.0</v>
      </c>
      <c r="Q600" t="inlineStr">
        <is>
          <t/>
        </is>
      </c>
      <c r="R600" t="inlineStr">
        <is>
          <t/>
        </is>
      </c>
      <c r="S600" t="n">
        <v>0.0</v>
      </c>
      <c r="T600" t="n">
        <v>0.0</v>
      </c>
      <c r="U600" t="n">
        <v>0.0</v>
      </c>
      <c r="V600" t="n">
        <v>0.0</v>
      </c>
      <c r="W600" t="inlineStr">
        <is>
          <t/>
        </is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inlineStr">
        <is>
          <t/>
        </is>
      </c>
      <c r="AL600" t="inlineStr">
        <is>
          <t/>
        </is>
      </c>
    </row>
    <row r="601">
      <c r="A601" t="inlineStr">
        <is>
          <t>上班搭子推荐的！掉秤期真有用</t>
        </is>
      </c>
      <c r="B601" t="inlineStr">
        <is>
          <t>69440341000000001e0324e8</t>
        </is>
      </c>
      <c r="C601" s="600" t="n">
        <f>HYPERLINK("https://www.xiaohongshu.com/explore/69440341000000001e0324e8?xsec_token=TBEei_gEGYdPM_jdeWI2PhOR0OUQ3yvFxTVYNdTddaBeA=&amp;xsec_source=pc_trdark","https://www.xiaohongshu.com/explore/69440341000000001e0324e8?xsec_token=TBEei_gEGYdPM_jdeWI2PhOR0OUQ3yvFxTVYNdTddaBeA=&amp;xsec_source=pc_trdark")</f>
        <v>0.0</v>
      </c>
      <c r="D601" t="inlineStr">
        <is>
          <t>鲜水湾</t>
        </is>
      </c>
      <c r="E601" t="inlineStr">
        <is>
          <t>49316638994</t>
        </is>
      </c>
      <c r="F601" t="inlineStr">
        <is>
          <t>2025-12-18 21:36:01</t>
        </is>
      </c>
      <c r="G601" t="inlineStr">
        <is>
          <t>图文</t>
        </is>
      </c>
      <c r="H601" t="inlineStr">
        <is>
          <t>大虾基围虾王牌大虾厄瓜多尔白虾盐冻虾仁海洋大虾送礼顺丰包邮</t>
        </is>
      </c>
      <c r="I601" t="inlineStr">
        <is>
          <t>690aeb7be379430001e686ac</t>
        </is>
      </c>
      <c r="J601" t="inlineStr">
        <is>
          <t/>
        </is>
      </c>
      <c r="K601" t="n">
        <v>0.0</v>
      </c>
      <c r="L601" t="n">
        <v>0.0</v>
      </c>
      <c r="M601" t="n">
        <v>0.0</v>
      </c>
      <c r="N601" t="inlineStr">
        <is>
          <t/>
        </is>
      </c>
      <c r="O601" t="n">
        <v>0.0</v>
      </c>
      <c r="P601" t="n">
        <v>0.0</v>
      </c>
      <c r="Q601" t="inlineStr">
        <is>
          <t/>
        </is>
      </c>
      <c r="R601" t="inlineStr">
        <is>
          <t/>
        </is>
      </c>
      <c r="S601" t="n">
        <v>0.0</v>
      </c>
      <c r="T601" t="n">
        <v>0.0</v>
      </c>
      <c r="U601" t="n">
        <v>0.0</v>
      </c>
      <c r="V601" t="n">
        <v>0.0</v>
      </c>
      <c r="W601" t="inlineStr">
        <is>
          <t/>
        </is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inlineStr">
        <is>
          <t/>
        </is>
      </c>
      <c r="AL601" t="inlineStr">
        <is>
          <t/>
        </is>
      </c>
    </row>
    <row r="602">
      <c r="A602" t="inlineStr">
        <is>
          <t>跟爸妈商量后，决定推出整条三文鱼100单免邮</t>
        </is>
      </c>
      <c r="B602" t="inlineStr">
        <is>
          <t>6942ae0f000000001e03583f</t>
        </is>
      </c>
      <c r="C602" s="601" t="n">
        <f>HYPERLINK("https://www.xiaohongshu.com/explore/6942ae0f000000001e03583f?xsec_token=TB0tDM60Z2n8tclFaINyevIS3N7QYleAKe-QjjTaQbIp0=&amp;xsec_source=pc_trdark","https://www.xiaohongshu.com/explore/6942ae0f000000001e03583f?xsec_token=TB0tDM60Z2n8tclFaINyevIS3N7QYleAKe-QjjTaQbIp0=&amp;xsec_source=pc_trdark")</f>
        <v>0.0</v>
      </c>
      <c r="D602" t="inlineStr">
        <is>
          <t>鲜水湾</t>
        </is>
      </c>
      <c r="E602" t="inlineStr">
        <is>
          <t>49316638994</t>
        </is>
      </c>
      <c r="F602" t="inlineStr">
        <is>
          <t>2025-12-17 21:20:15</t>
        </is>
      </c>
      <c r="G602" t="inlineStr">
        <is>
          <t>图文</t>
        </is>
      </c>
      <c r="H602" t="inlineStr">
        <is>
          <t>智利三文鱼切块·整条三文鱼·深海鱼一人食健康饮食</t>
        </is>
      </c>
      <c r="I602" t="inlineStr">
        <is>
          <t>691ac562a524ee0001b51d7b</t>
        </is>
      </c>
      <c r="J602" t="inlineStr">
        <is>
          <t/>
        </is>
      </c>
      <c r="K602" t="n">
        <v>0.0</v>
      </c>
      <c r="L602" t="n">
        <v>0.0</v>
      </c>
      <c r="M602" t="n">
        <v>0.0</v>
      </c>
      <c r="N602" t="inlineStr">
        <is>
          <t/>
        </is>
      </c>
      <c r="O602" t="n">
        <v>0.0</v>
      </c>
      <c r="P602" t="n">
        <v>0.0</v>
      </c>
      <c r="Q602" t="inlineStr">
        <is>
          <t/>
        </is>
      </c>
      <c r="R602" t="inlineStr">
        <is>
          <t/>
        </is>
      </c>
      <c r="S602" t="n">
        <v>0.0</v>
      </c>
      <c r="T602" t="n">
        <v>0.0</v>
      </c>
      <c r="U602" t="n">
        <v>0.0</v>
      </c>
      <c r="V602" t="n">
        <v>0.0</v>
      </c>
      <c r="W602" t="inlineStr">
        <is>
          <t/>
        </is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inlineStr">
        <is>
          <t/>
        </is>
      </c>
      <c r="AL602" t="inlineStr">
        <is>
          <t/>
        </is>
      </c>
    </row>
    <row r="603">
      <c r="A603" t="inlineStr">
        <is>
          <t>低估了200多的购买力了</t>
        </is>
      </c>
      <c r="B603" t="inlineStr">
        <is>
          <t>694002d6000000001f00dda4</t>
        </is>
      </c>
      <c r="C603" s="602" t="n">
        <f>HYPERLINK("https://www.xiaohongshu.com/explore/694002d6000000001f00dda4?xsec_token=TBzm36tUj4jhogPihZGtakWQrr_kym20zAn6MsvZ2T6aU=&amp;xsec_source=pc_trdark","https://www.xiaohongshu.com/explore/694002d6000000001f00dda4?xsec_token=TBzm36tUj4jhogPihZGtakWQrr_kym20zAn6MsvZ2T6aU=&amp;xsec_source=pc_trdark")</f>
        <v>0.0</v>
      </c>
      <c r="D603" t="inlineStr">
        <is>
          <t>鲜水湾</t>
        </is>
      </c>
      <c r="E603" t="inlineStr">
        <is>
          <t>49316638994</t>
        </is>
      </c>
      <c r="F603" t="inlineStr">
        <is>
          <t>2025-12-15 20:45:10</t>
        </is>
      </c>
      <c r="G603" t="inlineStr">
        <is>
          <t>图文</t>
        </is>
      </c>
      <c r="H603" t="inlineStr">
        <is>
          <t>智利三文鱼切块·整条三文鱼·深海鱼一人食健康饮食</t>
        </is>
      </c>
      <c r="I603" t="inlineStr">
        <is>
          <t>691ac562a524ee0001b51d7b</t>
        </is>
      </c>
      <c r="J603" t="inlineStr">
        <is>
          <t/>
        </is>
      </c>
      <c r="K603" t="n">
        <v>0.0</v>
      </c>
      <c r="L603" t="n">
        <v>0.0</v>
      </c>
      <c r="M603" t="n">
        <v>0.0</v>
      </c>
      <c r="N603" t="inlineStr">
        <is>
          <t/>
        </is>
      </c>
      <c r="O603" t="n">
        <v>0.0</v>
      </c>
      <c r="P603" t="n">
        <v>0.0</v>
      </c>
      <c r="Q603" t="inlineStr">
        <is>
          <t/>
        </is>
      </c>
      <c r="R603" t="inlineStr">
        <is>
          <t/>
        </is>
      </c>
      <c r="S603" t="n">
        <v>0.0</v>
      </c>
      <c r="T603" t="n">
        <v>0.0</v>
      </c>
      <c r="U603" t="n">
        <v>0.0</v>
      </c>
      <c r="V603" t="n">
        <v>0.0</v>
      </c>
      <c r="W603" t="inlineStr">
        <is>
          <t/>
        </is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inlineStr">
        <is>
          <t/>
        </is>
      </c>
      <c r="AL603" t="inlineStr">
        <is>
          <t/>
        </is>
      </c>
    </row>
    <row r="604">
      <c r="A604" t="inlineStr">
        <is>
          <t>和老爸商量了，69.9💰3斤先给大家尝尝</t>
        </is>
      </c>
      <c r="B604" t="inlineStr">
        <is>
          <t>693fce0e000000001f00760a</t>
        </is>
      </c>
      <c r="C604" s="603" t="n">
        <f>HYPERLINK("https://www.xiaohongshu.com/explore/693fce0e000000001f00760a?xsec_token=TB1R2yju8ccr97WVPo1goJUJE7_lQREmxIfGi-p-xFS4Q=&amp;xsec_source=pc_trdark","https://www.xiaohongshu.com/explore/693fce0e000000001f00760a?xsec_token=TB1R2yju8ccr97WVPo1goJUJE7_lQREmxIfGi-p-xFS4Q=&amp;xsec_source=pc_trdark")</f>
        <v>0.0</v>
      </c>
      <c r="D604" t="inlineStr">
        <is>
          <t>鲜水湾</t>
        </is>
      </c>
      <c r="E604" t="inlineStr">
        <is>
          <t>49316638994</t>
        </is>
      </c>
      <c r="F604" t="inlineStr">
        <is>
          <t>2025-12-15 16:59:58</t>
        </is>
      </c>
      <c r="G604" t="inlineStr">
        <is>
          <t>图文</t>
        </is>
      </c>
      <c r="H604" t="inlineStr">
        <is>
          <t>大虾基围虾王牌大虾厄瓜多尔白虾盐冻虾仁海洋大虾送礼顺丰包邮</t>
        </is>
      </c>
      <c r="I604" t="inlineStr">
        <is>
          <t>690aeb7be379430001e686ac</t>
        </is>
      </c>
      <c r="J604" t="inlineStr">
        <is>
          <t/>
        </is>
      </c>
      <c r="K604" t="n">
        <v>0.0</v>
      </c>
      <c r="L604" t="n">
        <v>0.0</v>
      </c>
      <c r="M604" t="n">
        <v>0.0</v>
      </c>
      <c r="N604" t="inlineStr">
        <is>
          <t/>
        </is>
      </c>
      <c r="O604" t="n">
        <v>0.0</v>
      </c>
      <c r="P604" t="n">
        <v>0.0</v>
      </c>
      <c r="Q604" t="inlineStr">
        <is>
          <t/>
        </is>
      </c>
      <c r="R604" t="inlineStr">
        <is>
          <t/>
        </is>
      </c>
      <c r="S604" t="n">
        <v>0.0</v>
      </c>
      <c r="T604" t="n">
        <v>0.0</v>
      </c>
      <c r="U604" t="n">
        <v>0.0</v>
      </c>
      <c r="V604" t="n">
        <v>0.0</v>
      </c>
      <c r="W604" t="inlineStr">
        <is>
          <t/>
        </is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inlineStr">
        <is>
          <t/>
        </is>
      </c>
      <c r="AL604" t="inlineStr">
        <is>
          <t/>
        </is>
      </c>
    </row>
    <row r="605">
      <c r="A605" t="inlineStr">
        <is>
          <t>减脂期姐妹推荐的，真有用</t>
        </is>
      </c>
      <c r="B605" t="inlineStr">
        <is>
          <t>693fa285000000001e03035c</t>
        </is>
      </c>
      <c r="C605" s="604" t="n">
        <f>HYPERLINK("https://www.xiaohongshu.com/explore/693fa285000000001e03035c?xsec_token=TB1R2yju8ccr97WVPo1goJUO0tcN41VvN9nzPL-EJyyMs=&amp;xsec_source=pc_trdark","https://www.xiaohongshu.com/explore/693fa285000000001e03035c?xsec_token=TB1R2yju8ccr97WVPo1goJUO0tcN41VvN9nzPL-EJyyMs=&amp;xsec_source=pc_trdark")</f>
        <v>0.0</v>
      </c>
      <c r="D605" t="inlineStr">
        <is>
          <t>鲜水湾</t>
        </is>
      </c>
      <c r="E605" t="inlineStr">
        <is>
          <t>49316638994</t>
        </is>
      </c>
      <c r="F605" t="inlineStr">
        <is>
          <t>2025-12-15 13:54:13</t>
        </is>
      </c>
      <c r="G605" t="inlineStr">
        <is>
          <t>图文</t>
        </is>
      </c>
      <c r="H605" t="inlineStr">
        <is>
          <t>大虾基围虾王牌大虾厄瓜多尔白虾盐冻虾仁海洋大虾送礼顺丰包邮</t>
        </is>
      </c>
      <c r="I605" t="inlineStr">
        <is>
          <t>690aeb7be379430001e686ac</t>
        </is>
      </c>
      <c r="J605" t="inlineStr">
        <is>
          <t/>
        </is>
      </c>
      <c r="K605" t="n">
        <v>0.0</v>
      </c>
      <c r="L605" t="n">
        <v>0.0</v>
      </c>
      <c r="M605" t="n">
        <v>0.0</v>
      </c>
      <c r="N605" t="inlineStr">
        <is>
          <t/>
        </is>
      </c>
      <c r="O605" t="n">
        <v>0.0</v>
      </c>
      <c r="P605" t="n">
        <v>0.0</v>
      </c>
      <c r="Q605" t="inlineStr">
        <is>
          <t/>
        </is>
      </c>
      <c r="R605" t="inlineStr">
        <is>
          <t/>
        </is>
      </c>
      <c r="S605" t="n">
        <v>0.0</v>
      </c>
      <c r="T605" t="n">
        <v>0.0</v>
      </c>
      <c r="U605" t="n">
        <v>0.0</v>
      </c>
      <c r="V605" t="n">
        <v>0.0</v>
      </c>
      <c r="W605" t="inlineStr">
        <is>
          <t/>
        </is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inlineStr">
        <is>
          <t/>
        </is>
      </c>
      <c r="AL605" t="inlineStr">
        <is>
          <t/>
        </is>
      </c>
    </row>
    <row r="606">
      <c r="A606" t="inlineStr">
        <is>
          <t>别傻了，大虾才是掉秤神器</t>
        </is>
      </c>
      <c r="B606" t="inlineStr">
        <is>
          <t>693e80da000000001f00cfc3</t>
        </is>
      </c>
      <c r="C606" s="605" t="n">
        <f>HYPERLINK("https://www.xiaohongshu.com/explore/693e80da000000001f00cfc3?xsec_token=TBoM4IjxTW7h2pIceDY6ppQLcrjiC_rUCvbP4KogwHdQw=&amp;xsec_source=pc_trdark","https://www.xiaohongshu.com/explore/693e80da000000001f00cfc3?xsec_token=TBoM4IjxTW7h2pIceDY6ppQLcrjiC_rUCvbP4KogwHdQw=&amp;xsec_source=pc_trdark")</f>
        <v>0.0</v>
      </c>
      <c r="D606" t="inlineStr">
        <is>
          <t>鲜水湾</t>
        </is>
      </c>
      <c r="E606" t="inlineStr">
        <is>
          <t>49316638994</t>
        </is>
      </c>
      <c r="F606" t="inlineStr">
        <is>
          <t>2025-12-14 17:18:18</t>
        </is>
      </c>
      <c r="G606" t="inlineStr">
        <is>
          <t>图文</t>
        </is>
      </c>
      <c r="H606" t="inlineStr">
        <is>
          <t>大虾基围虾王牌大虾厄瓜多尔白虾盐冻虾仁海洋大虾送礼顺丰包邮</t>
        </is>
      </c>
      <c r="I606" t="inlineStr">
        <is>
          <t>690aeb7be379430001e686ac</t>
        </is>
      </c>
      <c r="J606" t="inlineStr">
        <is>
          <t/>
        </is>
      </c>
      <c r="K606" t="n">
        <v>0.0</v>
      </c>
      <c r="L606" t="n">
        <v>0.0</v>
      </c>
      <c r="M606" t="n">
        <v>0.0</v>
      </c>
      <c r="N606" t="inlineStr">
        <is>
          <t/>
        </is>
      </c>
      <c r="O606" t="n">
        <v>0.0</v>
      </c>
      <c r="P606" t="n">
        <v>0.0</v>
      </c>
      <c r="Q606" t="inlineStr">
        <is>
          <t/>
        </is>
      </c>
      <c r="R606" t="inlineStr">
        <is>
          <t/>
        </is>
      </c>
      <c r="S606" t="n">
        <v>0.0</v>
      </c>
      <c r="T606" t="n">
        <v>0.0</v>
      </c>
      <c r="U606" t="n">
        <v>0.0</v>
      </c>
      <c r="V606" t="n">
        <v>0.0</v>
      </c>
      <c r="W606" t="inlineStr">
        <is>
          <t/>
        </is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inlineStr">
        <is>
          <t/>
        </is>
      </c>
      <c r="AL606" t="inlineStr">
        <is>
          <t/>
        </is>
      </c>
    </row>
    <row r="607">
      <c r="A607" t="inlineStr">
        <is>
          <t>已瘦30斤｜吃的简单真的会掉秤🫢</t>
        </is>
      </c>
      <c r="B607" t="inlineStr">
        <is>
          <t>693e0ff8000000001f008447</t>
        </is>
      </c>
      <c r="C607" s="606" t="n">
        <f>HYPERLINK("https://www.xiaohongshu.com/explore/693e0ff8000000001f008447?xsec_token=TBoM4IjxTW7h2pIceDY6ppQN8E9_r3iSLz0clFCwov7IM=&amp;xsec_source=pc_trdark","https://www.xiaohongshu.com/explore/693e0ff8000000001f008447?xsec_token=TBoM4IjxTW7h2pIceDY6ppQN8E9_r3iSLz0clFCwov7IM=&amp;xsec_source=pc_trdark")</f>
        <v>0.0</v>
      </c>
      <c r="D607" t="inlineStr">
        <is>
          <t>鲜水湾</t>
        </is>
      </c>
      <c r="E607" t="inlineStr">
        <is>
          <t>49316638994</t>
        </is>
      </c>
      <c r="F607" t="inlineStr">
        <is>
          <t>2025-12-14 09:16:40</t>
        </is>
      </c>
      <c r="G607" t="inlineStr">
        <is>
          <t>图文</t>
        </is>
      </c>
      <c r="H607" t="inlineStr">
        <is>
          <t>大虾基围虾王牌大虾厄瓜多尔白虾盐冻虾仁海洋大虾送礼顺丰包邮</t>
        </is>
      </c>
      <c r="I607" t="inlineStr">
        <is>
          <t>690aeb7be379430001e686ac</t>
        </is>
      </c>
      <c r="J607" t="inlineStr">
        <is>
          <t/>
        </is>
      </c>
      <c r="K607" t="n">
        <v>0.0</v>
      </c>
      <c r="L607" t="n">
        <v>0.0</v>
      </c>
      <c r="M607" t="n">
        <v>0.0</v>
      </c>
      <c r="N607" t="inlineStr">
        <is>
          <t/>
        </is>
      </c>
      <c r="O607" t="n">
        <v>0.0</v>
      </c>
      <c r="P607" t="n">
        <v>0.0</v>
      </c>
      <c r="Q607" t="inlineStr">
        <is>
          <t/>
        </is>
      </c>
      <c r="R607" t="inlineStr">
        <is>
          <t/>
        </is>
      </c>
      <c r="S607" t="n">
        <v>0.0</v>
      </c>
      <c r="T607" t="n">
        <v>0.0</v>
      </c>
      <c r="U607" t="n">
        <v>0.0</v>
      </c>
      <c r="V607" t="n">
        <v>0.0</v>
      </c>
      <c r="W607" t="inlineStr">
        <is>
          <t/>
        </is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inlineStr">
        <is>
          <t/>
        </is>
      </c>
      <c r="AL607" t="inlineStr">
        <is>
          <t/>
        </is>
      </c>
    </row>
    <row r="608">
      <c r="A608" t="inlineStr">
        <is>
          <t>我q。。。😳小红书给的券也太大了吧</t>
        </is>
      </c>
      <c r="B608" t="inlineStr">
        <is>
          <t>693cfb90000000001f00793f</t>
        </is>
      </c>
      <c r="C608" s="607" t="n">
        <f>HYPERLINK("https://www.xiaohongshu.com/explore/693cfb90000000001f00793f?xsec_token=TBby_8TUlAJfj-jHsmZvLUDZtW2_h8p59gEWad8lYQS54=&amp;xsec_source=pc_trdark","https://www.xiaohongshu.com/explore/693cfb90000000001f00793f?xsec_token=TBby_8TUlAJfj-jHsmZvLUDZtW2_h8p59gEWad8lYQS54=&amp;xsec_source=pc_trdark")</f>
        <v>0.0</v>
      </c>
      <c r="D608" t="inlineStr">
        <is>
          <t>鲜水湾</t>
        </is>
      </c>
      <c r="E608" t="inlineStr">
        <is>
          <t>49316638994</t>
        </is>
      </c>
      <c r="F608" t="inlineStr">
        <is>
          <t>2025-12-13 13:37:20</t>
        </is>
      </c>
      <c r="G608" t="inlineStr">
        <is>
          <t>图文</t>
        </is>
      </c>
      <c r="H608" t="inlineStr">
        <is>
          <t>智利三文鱼切块·整条三文鱼·深海鱼一人食健康饮食</t>
        </is>
      </c>
      <c r="I608" t="inlineStr">
        <is>
          <t>691ac562a524ee0001b51d7b</t>
        </is>
      </c>
      <c r="J608" t="inlineStr">
        <is>
          <t/>
        </is>
      </c>
      <c r="K608" t="n">
        <v>0.0</v>
      </c>
      <c r="L608" t="n">
        <v>0.0</v>
      </c>
      <c r="M608" t="n">
        <v>0.0</v>
      </c>
      <c r="N608" t="inlineStr">
        <is>
          <t/>
        </is>
      </c>
      <c r="O608" t="n">
        <v>0.0</v>
      </c>
      <c r="P608" t="n">
        <v>0.0</v>
      </c>
      <c r="Q608" t="inlineStr">
        <is>
          <t/>
        </is>
      </c>
      <c r="R608" t="inlineStr">
        <is>
          <t/>
        </is>
      </c>
      <c r="S608" t="n">
        <v>0.0</v>
      </c>
      <c r="T608" t="n">
        <v>0.0</v>
      </c>
      <c r="U608" t="n">
        <v>0.0</v>
      </c>
      <c r="V608" t="n">
        <v>0.0</v>
      </c>
      <c r="W608" t="inlineStr">
        <is>
          <t/>
        </is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inlineStr">
        <is>
          <t/>
        </is>
      </c>
      <c r="AL608" t="inlineStr">
        <is>
          <t/>
        </is>
      </c>
    </row>
    <row r="609">
      <c r="A609" t="inlineStr">
        <is>
          <t>5分钟搞定减脂餐 这大虾我能吃一辈子</t>
        </is>
      </c>
      <c r="B609" t="inlineStr">
        <is>
          <t>693cd4d3000000001e0326b5</t>
        </is>
      </c>
      <c r="C609" s="608" t="n">
        <f>HYPERLINK("https://www.xiaohongshu.com/explore/693cd4d3000000001e0326b5?xsec_token=TBby_8TUlAJfj-jHsmZvLUDVGN2j296rWGPtLCBOEDqd0=&amp;xsec_source=pc_trdark","https://www.xiaohongshu.com/explore/693cd4d3000000001e0326b5?xsec_token=TBby_8TUlAJfj-jHsmZvLUDVGN2j296rWGPtLCBOEDqd0=&amp;xsec_source=pc_trdark")</f>
        <v>0.0</v>
      </c>
      <c r="D609" t="inlineStr">
        <is>
          <t>鲜水湾</t>
        </is>
      </c>
      <c r="E609" t="inlineStr">
        <is>
          <t>49316638994</t>
        </is>
      </c>
      <c r="F609" t="inlineStr">
        <is>
          <t>2025-12-13 10:52:03</t>
        </is>
      </c>
      <c r="G609" t="inlineStr">
        <is>
          <t>图文</t>
        </is>
      </c>
      <c r="H609" t="inlineStr">
        <is>
          <t>大虾基围虾王牌大虾厄瓜多尔白虾盐冻虾仁海洋大虾送礼顺丰包邮</t>
        </is>
      </c>
      <c r="I609" t="inlineStr">
        <is>
          <t>690aeb7be379430001e686ac</t>
        </is>
      </c>
      <c r="J609" t="inlineStr">
        <is>
          <t/>
        </is>
      </c>
      <c r="K609" t="n">
        <v>0.0</v>
      </c>
      <c r="L609" t="n">
        <v>0.0</v>
      </c>
      <c r="M609" t="n">
        <v>0.0</v>
      </c>
      <c r="N609" t="inlineStr">
        <is>
          <t/>
        </is>
      </c>
      <c r="O609" t="n">
        <v>0.0</v>
      </c>
      <c r="P609" t="n">
        <v>0.0</v>
      </c>
      <c r="Q609" t="inlineStr">
        <is>
          <t/>
        </is>
      </c>
      <c r="R609" t="inlineStr">
        <is>
          <t/>
        </is>
      </c>
      <c r="S609" t="n">
        <v>0.0</v>
      </c>
      <c r="T609" t="n">
        <v>0.0</v>
      </c>
      <c r="U609" t="n">
        <v>0.0</v>
      </c>
      <c r="V609" t="n">
        <v>0.0</v>
      </c>
      <c r="W609" t="inlineStr">
        <is>
          <t/>
        </is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inlineStr">
        <is>
          <t/>
        </is>
      </c>
      <c r="AL609" t="inlineStr">
        <is>
          <t/>
        </is>
      </c>
    </row>
    <row r="610">
      <c r="A610" t="inlineStr">
        <is>
          <t>瘦都是我应得的</t>
        </is>
      </c>
      <c r="B610" t="inlineStr">
        <is>
          <t>693be0e4000000001e0245e6</t>
        </is>
      </c>
      <c r="C610" s="609" t="n">
        <f>HYPERLINK("https://www.xiaohongshu.com/explore/693be0e4000000001e0245e6?xsec_token=TBehUwc4QxLaaQbLqKc-ieHp1Lou3gSbUdzlo5u-TNukQ=&amp;xsec_source=pc_trdark","https://www.xiaohongshu.com/explore/693be0e4000000001e0245e6?xsec_token=TBehUwc4QxLaaQbLqKc-ieHp1Lou3gSbUdzlo5u-TNukQ=&amp;xsec_source=pc_trdark")</f>
        <v>0.0</v>
      </c>
      <c r="D610" t="inlineStr">
        <is>
          <t>鲜水湾</t>
        </is>
      </c>
      <c r="E610" t="inlineStr">
        <is>
          <t>49316638994</t>
        </is>
      </c>
      <c r="F610" t="inlineStr">
        <is>
          <t>2025-12-12 17:31:16</t>
        </is>
      </c>
      <c r="G610" t="inlineStr">
        <is>
          <t>图文</t>
        </is>
      </c>
      <c r="H610" t="inlineStr">
        <is>
          <t>大虾基围虾王牌大虾厄瓜多尔白虾盐冻虾仁海洋大虾送礼顺丰包邮</t>
        </is>
      </c>
      <c r="I610" t="inlineStr">
        <is>
          <t>690aeb7be379430001e686ac</t>
        </is>
      </c>
      <c r="J610" t="inlineStr">
        <is>
          <t/>
        </is>
      </c>
      <c r="K610" t="n">
        <v>0.0</v>
      </c>
      <c r="L610" t="n">
        <v>0.0</v>
      </c>
      <c r="M610" t="n">
        <v>0.0</v>
      </c>
      <c r="N610" t="inlineStr">
        <is>
          <t/>
        </is>
      </c>
      <c r="O610" t="n">
        <v>0.0</v>
      </c>
      <c r="P610" t="n">
        <v>0.0</v>
      </c>
      <c r="Q610" t="inlineStr">
        <is>
          <t/>
        </is>
      </c>
      <c r="R610" t="inlineStr">
        <is>
          <t/>
        </is>
      </c>
      <c r="S610" t="n">
        <v>0.0</v>
      </c>
      <c r="T610" t="n">
        <v>0.0</v>
      </c>
      <c r="U610" t="n">
        <v>0.0</v>
      </c>
      <c r="V610" t="n">
        <v>0.0</v>
      </c>
      <c r="W610" t="inlineStr">
        <is>
          <t/>
        </is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inlineStr">
        <is>
          <t/>
        </is>
      </c>
      <c r="AL610" t="inlineStr">
        <is>
          <t/>
        </is>
      </c>
    </row>
    <row r="611">
      <c r="A611" t="inlineStr">
        <is>
          <t>我妈：你就23一斤卖总会出单的</t>
        </is>
      </c>
      <c r="B611" t="inlineStr">
        <is>
          <t>693bd331000000001e022bdc</t>
        </is>
      </c>
      <c r="C611" s="610" t="n">
        <f>HYPERLINK("https://www.xiaohongshu.com/explore/693bd331000000001e022bdc?xsec_token=TBehUwc4QxLaaQbLqKc-ieHh7DcpQrXqUtPXPYaGddM4s=&amp;xsec_source=pc_trdark","https://www.xiaohongshu.com/explore/693bd331000000001e022bdc?xsec_token=TBehUwc4QxLaaQbLqKc-ieHh7DcpQrXqUtPXPYaGddM4s=&amp;xsec_source=pc_trdark")</f>
        <v>0.0</v>
      </c>
      <c r="D611" t="inlineStr">
        <is>
          <t>鲜水湾</t>
        </is>
      </c>
      <c r="E611" t="inlineStr">
        <is>
          <t>49316638994</t>
        </is>
      </c>
      <c r="F611" t="inlineStr">
        <is>
          <t>2025-12-12 16:32:49</t>
        </is>
      </c>
      <c r="G611" t="inlineStr">
        <is>
          <t>图文</t>
        </is>
      </c>
      <c r="H611" t="inlineStr">
        <is>
          <t>大虾基围虾王牌大虾厄瓜多尔白虾盐冻虾仁海洋大虾送礼顺丰包邮</t>
        </is>
      </c>
      <c r="I611" t="inlineStr">
        <is>
          <t>690aeb7be379430001e686ac</t>
        </is>
      </c>
      <c r="J611" t="inlineStr">
        <is>
          <t/>
        </is>
      </c>
      <c r="K611" t="n">
        <v>0.0</v>
      </c>
      <c r="L611" t="n">
        <v>0.0</v>
      </c>
      <c r="M611" t="n">
        <v>0.0</v>
      </c>
      <c r="N611" t="inlineStr">
        <is>
          <t/>
        </is>
      </c>
      <c r="O611" t="n">
        <v>0.0</v>
      </c>
      <c r="P611" t="n">
        <v>0.0</v>
      </c>
      <c r="Q611" t="inlineStr">
        <is>
          <t/>
        </is>
      </c>
      <c r="R611" t="inlineStr">
        <is>
          <t/>
        </is>
      </c>
      <c r="S611" t="n">
        <v>0.0</v>
      </c>
      <c r="T611" t="n">
        <v>0.0</v>
      </c>
      <c r="U611" t="n">
        <v>0.0</v>
      </c>
      <c r="V611" t="n">
        <v>0.0</v>
      </c>
      <c r="W611" t="inlineStr">
        <is>
          <t/>
        </is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inlineStr">
        <is>
          <t/>
        </is>
      </c>
      <c r="AL611" t="inlineStr">
        <is>
          <t/>
        </is>
      </c>
    </row>
    <row r="612">
      <c r="A612" t="inlineStr">
        <is>
          <t>我妈让我抓紧宣传下，40来块一斤还包邮</t>
        </is>
      </c>
      <c r="B612" t="inlineStr">
        <is>
          <t>693bc2f0000000001e03b9ab</t>
        </is>
      </c>
      <c r="C612" s="611" t="n">
        <f>HYPERLINK("https://www.xiaohongshu.com/explore/693bc2f0000000001e03b9ab?xsec_token=TBehUwc4QxLaaQbLqKc-ieHr6izQXYwFqEiKFOzdPmOkI=&amp;xsec_source=pc_trdark","https://www.xiaohongshu.com/explore/693bc2f0000000001e03b9ab?xsec_token=TBehUwc4QxLaaQbLqKc-ieHr6izQXYwFqEiKFOzdPmOkI=&amp;xsec_source=pc_trdark")</f>
        <v>0.0</v>
      </c>
      <c r="D612" t="inlineStr">
        <is>
          <t>鲜水湾</t>
        </is>
      </c>
      <c r="E612" t="inlineStr">
        <is>
          <t>49316638994</t>
        </is>
      </c>
      <c r="F612" t="inlineStr">
        <is>
          <t>2025-12-12 15:23:28</t>
        </is>
      </c>
      <c r="G612" t="inlineStr">
        <is>
          <t>图文</t>
        </is>
      </c>
      <c r="H612" t="inlineStr">
        <is>
          <t>智利三文鱼切块·整条三文鱼·深海鱼一人食健康饮食</t>
        </is>
      </c>
      <c r="I612" t="inlineStr">
        <is>
          <t>691ac562a524ee0001b51d7b</t>
        </is>
      </c>
      <c r="J612" t="inlineStr">
        <is>
          <t/>
        </is>
      </c>
      <c r="K612" t="n">
        <v>0.0</v>
      </c>
      <c r="L612" t="n">
        <v>0.0</v>
      </c>
      <c r="M612" t="n">
        <v>0.0</v>
      </c>
      <c r="N612" t="inlineStr">
        <is>
          <t/>
        </is>
      </c>
      <c r="O612" t="n">
        <v>0.0</v>
      </c>
      <c r="P612" t="n">
        <v>0.0</v>
      </c>
      <c r="Q612" t="inlineStr">
        <is>
          <t/>
        </is>
      </c>
      <c r="R612" t="inlineStr">
        <is>
          <t/>
        </is>
      </c>
      <c r="S612" t="n">
        <v>0.0</v>
      </c>
      <c r="T612" t="n">
        <v>0.0</v>
      </c>
      <c r="U612" t="n">
        <v>0.0</v>
      </c>
      <c r="V612" t="n">
        <v>0.0</v>
      </c>
      <c r="W612" t="inlineStr">
        <is>
          <t/>
        </is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inlineStr">
        <is>
          <t/>
        </is>
      </c>
      <c r="AL612" t="inlineStr">
        <is>
          <t/>
        </is>
      </c>
    </row>
    <row r="613">
      <c r="A613" t="inlineStr">
        <is>
          <t>跟爸妈商量后，一整条只需360💰</t>
        </is>
      </c>
      <c r="B613" t="inlineStr">
        <is>
          <t>69382453000000001e023427</t>
        </is>
      </c>
      <c r="C613" s="612" t="n">
        <f>HYPERLINK("https://www.xiaohongshu.com/explore/69382453000000001e023427?xsec_token=TB0A09PqRCzsPFC3N13yAkHBSc4FjeHxA6IJUCtKGi4Z8=&amp;xsec_source=pc_trdark","https://www.xiaohongshu.com/explore/69382453000000001e023427?xsec_token=TB0A09PqRCzsPFC3N13yAkHBSc4FjeHxA6IJUCtKGi4Z8=&amp;xsec_source=pc_trdark")</f>
        <v>0.0</v>
      </c>
      <c r="D613" t="inlineStr">
        <is>
          <t>鲜水湾</t>
        </is>
      </c>
      <c r="E613" t="inlineStr">
        <is>
          <t>49316638994</t>
        </is>
      </c>
      <c r="F613" t="inlineStr">
        <is>
          <t>2025-12-09 21:29:55</t>
        </is>
      </c>
      <c r="G613" t="inlineStr">
        <is>
          <t>图文</t>
        </is>
      </c>
      <c r="H613" t="inlineStr">
        <is>
          <t>智利三文鱼切块·整条三文鱼·深海鱼一人食健康饮食</t>
        </is>
      </c>
      <c r="I613" t="inlineStr">
        <is>
          <t>691ac562a524ee0001b51d7b</t>
        </is>
      </c>
      <c r="J613" t="inlineStr">
        <is>
          <t/>
        </is>
      </c>
      <c r="K613" t="n">
        <v>0.0</v>
      </c>
      <c r="L613" t="n">
        <v>0.0</v>
      </c>
      <c r="M613" t="n">
        <v>0.0</v>
      </c>
      <c r="N613" t="inlineStr">
        <is>
          <t/>
        </is>
      </c>
      <c r="O613" t="n">
        <v>0.0</v>
      </c>
      <c r="P613" t="n">
        <v>0.0</v>
      </c>
      <c r="Q613" t="inlineStr">
        <is>
          <t/>
        </is>
      </c>
      <c r="R613" t="inlineStr">
        <is>
          <t/>
        </is>
      </c>
      <c r="S613" t="n">
        <v>0.0</v>
      </c>
      <c r="T613" t="n">
        <v>0.0</v>
      </c>
      <c r="U613" t="n">
        <v>0.0</v>
      </c>
      <c r="V613" t="n">
        <v>0.0</v>
      </c>
      <c r="W613" t="inlineStr">
        <is>
          <t/>
        </is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inlineStr">
        <is>
          <t/>
        </is>
      </c>
      <c r="AL613" t="inlineStr">
        <is>
          <t/>
        </is>
      </c>
    </row>
    <row r="614">
      <c r="A614" t="inlineStr">
        <is>
          <t>越吃越瘦的快乐，是整条三文鱼给的</t>
        </is>
      </c>
      <c r="B614" t="inlineStr">
        <is>
          <t>6937e457000000001e038158</t>
        </is>
      </c>
      <c r="C614" s="613" t="n">
        <f>HYPERLINK("https://www.xiaohongshu.com/explore/6937e457000000001e038158?xsec_token=TBm581DxyfKxLtHTMgt_7Xf1z8c1RGdlZUOUUVoH73L7c=&amp;xsec_source=pc_trdark","https://www.xiaohongshu.com/explore/6937e457000000001e038158?xsec_token=TBm581DxyfKxLtHTMgt_7Xf1z8c1RGdlZUOUUVoH73L7c=&amp;xsec_source=pc_trdark")</f>
        <v>0.0</v>
      </c>
      <c r="D614" t="inlineStr">
        <is>
          <t>鲜水湾</t>
        </is>
      </c>
      <c r="E614" t="inlineStr">
        <is>
          <t>49316638994</t>
        </is>
      </c>
      <c r="F614" t="inlineStr">
        <is>
          <t>2025-12-09 16:56:55</t>
        </is>
      </c>
      <c r="G614" t="inlineStr">
        <is>
          <t>图文</t>
        </is>
      </c>
      <c r="H614" t="inlineStr">
        <is>
          <t>智利三文鱼切块·整条三文鱼·深海鱼一人食健康饮食</t>
        </is>
      </c>
      <c r="I614" t="inlineStr">
        <is>
          <t>691ac562a524ee0001b51d7b</t>
        </is>
      </c>
      <c r="J614" t="inlineStr">
        <is>
          <t/>
        </is>
      </c>
      <c r="K614" t="n">
        <v>0.0</v>
      </c>
      <c r="L614" t="n">
        <v>0.0</v>
      </c>
      <c r="M614" t="n">
        <v>0.0</v>
      </c>
      <c r="N614" t="inlineStr">
        <is>
          <t/>
        </is>
      </c>
      <c r="O614" t="n">
        <v>0.0</v>
      </c>
      <c r="P614" t="n">
        <v>0.0</v>
      </c>
      <c r="Q614" t="inlineStr">
        <is>
          <t/>
        </is>
      </c>
      <c r="R614" t="inlineStr">
        <is>
          <t/>
        </is>
      </c>
      <c r="S614" t="n">
        <v>0.0</v>
      </c>
      <c r="T614" t="n">
        <v>0.0</v>
      </c>
      <c r="U614" t="n">
        <v>0.0</v>
      </c>
      <c r="V614" t="n">
        <v>0.0</v>
      </c>
      <c r="W614" t="inlineStr">
        <is>
          <t/>
        </is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inlineStr">
        <is>
          <t/>
        </is>
      </c>
      <c r="AL614" t="inlineStr">
        <is>
          <t/>
        </is>
      </c>
    </row>
    <row r="615">
      <c r="A615" t="inlineStr">
        <is>
          <t>长期主义三文鱼。。。没有平替！</t>
        </is>
      </c>
      <c r="B615" t="inlineStr">
        <is>
          <t>693793e4000000001e0260d6</t>
        </is>
      </c>
      <c r="C615" s="614" t="n">
        <f>HYPERLINK("https://www.xiaohongshu.com/explore/693793e4000000001e0260d6?xsec_token=TBm581DxyfKxLtHTMgt_7Xf-DdfiRvQ6XLxeBBUf-udi0=&amp;xsec_source=pc_trdark","https://www.xiaohongshu.com/explore/693793e4000000001e0260d6?xsec_token=TBm581DxyfKxLtHTMgt_7Xf-DdfiRvQ6XLxeBBUf-udi0=&amp;xsec_source=pc_trdark")</f>
        <v>0.0</v>
      </c>
      <c r="D615" t="inlineStr">
        <is>
          <t>鲜水湾</t>
        </is>
      </c>
      <c r="E615" t="inlineStr">
        <is>
          <t>49316638994</t>
        </is>
      </c>
      <c r="F615" t="inlineStr">
        <is>
          <t>2025-12-09 11:13:40</t>
        </is>
      </c>
      <c r="G615" t="inlineStr">
        <is>
          <t>图文</t>
        </is>
      </c>
      <c r="H615" t="inlineStr">
        <is>
          <t>智利三文鱼切块·整条三文鱼·深海鱼一人食健康饮食</t>
        </is>
      </c>
      <c r="I615" t="inlineStr">
        <is>
          <t>691ac562a524ee0001b51d7b</t>
        </is>
      </c>
      <c r="J615" t="inlineStr">
        <is>
          <t/>
        </is>
      </c>
      <c r="K615" t="n">
        <v>0.0</v>
      </c>
      <c r="L615" t="n">
        <v>0.0</v>
      </c>
      <c r="M615" t="n">
        <v>0.0</v>
      </c>
      <c r="N615" t="inlineStr">
        <is>
          <t/>
        </is>
      </c>
      <c r="O615" t="n">
        <v>0.0</v>
      </c>
      <c r="P615" t="n">
        <v>0.0</v>
      </c>
      <c r="Q615" t="inlineStr">
        <is>
          <t/>
        </is>
      </c>
      <c r="R615" t="inlineStr">
        <is>
          <t/>
        </is>
      </c>
      <c r="S615" t="n">
        <v>0.0</v>
      </c>
      <c r="T615" t="n">
        <v>0.0</v>
      </c>
      <c r="U615" t="n">
        <v>0.0</v>
      </c>
      <c r="V615" t="n">
        <v>0.0</v>
      </c>
      <c r="W615" t="inlineStr">
        <is>
          <t/>
        </is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inlineStr">
        <is>
          <t/>
        </is>
      </c>
      <c r="AL615" t="inlineStr">
        <is>
          <t/>
        </is>
      </c>
    </row>
    <row r="616">
      <c r="A616" t="inlineStr">
        <is>
          <t>一个很变态，但可以瘦的方法</t>
        </is>
      </c>
      <c r="B616" t="inlineStr">
        <is>
          <t>6936e236000000001e033d69</t>
        </is>
      </c>
      <c r="C616" s="615" t="n">
        <f>HYPERLINK("https://www.xiaohongshu.com/explore/6936e236000000001e033d69?xsec_token=TBlR01uRP0dY963Q_AxX8vHG9NopxmE4c_Kx3ofNqu-5I=&amp;xsec_source=pc_trdark","https://www.xiaohongshu.com/explore/6936e236000000001e033d69?xsec_token=TBlR01uRP0dY963Q_AxX8vHG9NopxmE4c_Kx3ofNqu-5I=&amp;xsec_source=pc_trdark")</f>
        <v>0.0</v>
      </c>
      <c r="D616" t="inlineStr">
        <is>
          <t>鲜水湾</t>
        </is>
      </c>
      <c r="E616" t="inlineStr">
        <is>
          <t>49316638994</t>
        </is>
      </c>
      <c r="F616" t="inlineStr">
        <is>
          <t>2025-12-08 22:35:34</t>
        </is>
      </c>
      <c r="G616" t="inlineStr">
        <is>
          <t>视频</t>
        </is>
      </c>
      <c r="H616" t="inlineStr">
        <is>
          <t>大虾基围虾王牌大虾厄瓜多尔白虾盐冻虾仁海洋大虾送礼顺丰包邮</t>
        </is>
      </c>
      <c r="I616" t="inlineStr">
        <is>
          <t>690aeb7be379430001e686ac</t>
        </is>
      </c>
      <c r="J616" t="n">
        <v>14.0</v>
      </c>
      <c r="K616" t="n">
        <v>0.0</v>
      </c>
      <c r="L616" t="n">
        <v>0.0</v>
      </c>
      <c r="M616" t="n">
        <v>0.0</v>
      </c>
      <c r="N616" t="inlineStr">
        <is>
          <t/>
        </is>
      </c>
      <c r="O616" t="n">
        <v>0.0</v>
      </c>
      <c r="P616" t="n">
        <v>0.0</v>
      </c>
      <c r="Q616" t="inlineStr">
        <is>
          <t/>
        </is>
      </c>
      <c r="R616" t="inlineStr">
        <is>
          <t/>
        </is>
      </c>
      <c r="S616" t="n">
        <v>0.0</v>
      </c>
      <c r="T616" t="n">
        <v>0.0</v>
      </c>
      <c r="U616" t="n">
        <v>0.0</v>
      </c>
      <c r="V616" t="n">
        <v>0.0</v>
      </c>
      <c r="W616" t="inlineStr">
        <is>
          <t/>
        </is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inlineStr">
        <is>
          <t/>
        </is>
      </c>
      <c r="AL616" t="inlineStr">
        <is>
          <t/>
        </is>
      </c>
    </row>
    <row r="617">
      <c r="A617" t="inlineStr">
        <is>
          <t>69💰看着不起眼 实际够我吃一个周</t>
        </is>
      </c>
      <c r="B617" t="inlineStr">
        <is>
          <t>6935948e000000001f004a65</t>
        </is>
      </c>
      <c r="C617" s="616" t="n">
        <f>HYPERLINK("https://www.xiaohongshu.com/explore/6935948e000000001f004a65?xsec_token=TBVD2oNyykPWo5AeaDpfHB-spXXPzORjROCJhBE0vFZuE=&amp;xsec_source=pc_trdark","https://www.xiaohongshu.com/explore/6935948e000000001f004a65?xsec_token=TBVD2oNyykPWo5AeaDpfHB-spXXPzORjROCJhBE0vFZuE=&amp;xsec_source=pc_trdark")</f>
        <v>0.0</v>
      </c>
      <c r="D617" t="inlineStr">
        <is>
          <t>鲜水湾</t>
        </is>
      </c>
      <c r="E617" t="inlineStr">
        <is>
          <t>49316638994</t>
        </is>
      </c>
      <c r="F617" t="inlineStr">
        <is>
          <t>2025-12-07 22:51:58</t>
        </is>
      </c>
      <c r="G617" t="inlineStr">
        <is>
          <t>图文</t>
        </is>
      </c>
      <c r="H617" t="inlineStr">
        <is>
          <t>大虾基围虾王牌大虾厄瓜多尔白虾盐冻虾仁海洋大虾送礼顺丰包邮</t>
        </is>
      </c>
      <c r="I617" t="inlineStr">
        <is>
          <t>690aeb7be379430001e686ac</t>
        </is>
      </c>
      <c r="J617" t="inlineStr">
        <is>
          <t/>
        </is>
      </c>
      <c r="K617" t="n">
        <v>0.0</v>
      </c>
      <c r="L617" t="n">
        <v>0.0</v>
      </c>
      <c r="M617" t="n">
        <v>0.0</v>
      </c>
      <c r="N617" t="inlineStr">
        <is>
          <t/>
        </is>
      </c>
      <c r="O617" t="n">
        <v>0.0</v>
      </c>
      <c r="P617" t="n">
        <v>0.0</v>
      </c>
      <c r="Q617" t="inlineStr">
        <is>
          <t/>
        </is>
      </c>
      <c r="R617" t="inlineStr">
        <is>
          <t/>
        </is>
      </c>
      <c r="S617" t="n">
        <v>0.0</v>
      </c>
      <c r="T617" t="n">
        <v>0.0</v>
      </c>
      <c r="U617" t="n">
        <v>0.0</v>
      </c>
      <c r="V617" t="n">
        <v>0.0</v>
      </c>
      <c r="W617" t="inlineStr">
        <is>
          <t/>
        </is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inlineStr">
        <is>
          <t/>
        </is>
      </c>
      <c r="AL617" t="inlineStr">
        <is>
          <t/>
        </is>
      </c>
    </row>
    <row r="618">
      <c r="A618" t="inlineStr">
        <is>
          <t>双12抢购，整条三文鱼只要300多✅</t>
        </is>
      </c>
      <c r="B618" t="inlineStr">
        <is>
          <t>6935507a000000001f004707</t>
        </is>
      </c>
      <c r="C618" s="617" t="n">
        <f>HYPERLINK("https://www.xiaohongshu.com/explore/6935507a000000001f004707?xsec_token=TBVD2oNyykPWo5AeaDpfHB-tVcIaj27hx_n7cUIRuKx3c=&amp;xsec_source=pc_trdark","https://www.xiaohongshu.com/explore/6935507a000000001f004707?xsec_token=TBVD2oNyykPWo5AeaDpfHB-tVcIaj27hx_n7cUIRuKx3c=&amp;xsec_source=pc_trdark")</f>
        <v>0.0</v>
      </c>
      <c r="D618" t="inlineStr">
        <is>
          <t>鲜水湾</t>
        </is>
      </c>
      <c r="E618" t="inlineStr">
        <is>
          <t>49316638994</t>
        </is>
      </c>
      <c r="F618" t="inlineStr">
        <is>
          <t>2025-12-07 18:01:30</t>
        </is>
      </c>
      <c r="G618" t="inlineStr">
        <is>
          <t>图文</t>
        </is>
      </c>
      <c r="H618" t="inlineStr">
        <is>
          <t>智利三文鱼切块·整条三文鱼·深海鱼一人食健康饮食</t>
        </is>
      </c>
      <c r="I618" t="inlineStr">
        <is>
          <t>691ac562a524ee0001b51d7b</t>
        </is>
      </c>
      <c r="J618" t="inlineStr">
        <is>
          <t/>
        </is>
      </c>
      <c r="K618" t="n">
        <v>0.0</v>
      </c>
      <c r="L618" t="n">
        <v>0.0</v>
      </c>
      <c r="M618" t="n">
        <v>0.0</v>
      </c>
      <c r="N618" t="inlineStr">
        <is>
          <t/>
        </is>
      </c>
      <c r="O618" t="n">
        <v>0.0</v>
      </c>
      <c r="P618" t="n">
        <v>0.0</v>
      </c>
      <c r="Q618" t="inlineStr">
        <is>
          <t/>
        </is>
      </c>
      <c r="R618" t="inlineStr">
        <is>
          <t/>
        </is>
      </c>
      <c r="S618" t="n">
        <v>0.0</v>
      </c>
      <c r="T618" t="n">
        <v>0.0</v>
      </c>
      <c r="U618" t="n">
        <v>0.0</v>
      </c>
      <c r="V618" t="n">
        <v>0.0</v>
      </c>
      <c r="W618" t="inlineStr">
        <is>
          <t/>
        </is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inlineStr">
        <is>
          <t/>
        </is>
      </c>
      <c r="AL618" t="inlineStr">
        <is>
          <t/>
        </is>
      </c>
    </row>
    <row r="619">
      <c r="A619" t="inlineStr">
        <is>
          <t>爸妈愁的睡不着觉，49.9r一箱五斤包邮了</t>
        </is>
      </c>
      <c r="B619" t="inlineStr">
        <is>
          <t>69327b24000000001b0327c8</t>
        </is>
      </c>
      <c r="C619" s="618" t="n">
        <f>HYPERLINK("https://www.xiaohongshu.com/explore/69327b24000000001b0327c8?xsec_token=TBpgGkEYDo_gVOMrYT9wIn9-DahFoYsOH1I4Xr9al5eZM=&amp;xsec_source=pc_trdark","https://www.xiaohongshu.com/explore/69327b24000000001b0327c8?xsec_token=TBpgGkEYDo_gVOMrYT9wIn9-DahFoYsOH1I4Xr9al5eZM=&amp;xsec_source=pc_trdark")</f>
        <v>0.0</v>
      </c>
      <c r="D619" t="inlineStr">
        <is>
          <t>婉婉上班吃什么</t>
        </is>
      </c>
      <c r="E619" t="inlineStr">
        <is>
          <t>11434449706</t>
        </is>
      </c>
      <c r="F619" t="inlineStr">
        <is>
          <t>2025-12-05 14:26:44</t>
        </is>
      </c>
      <c r="G619" t="inlineStr">
        <is>
          <t>视频</t>
        </is>
      </c>
      <c r="H619" t="inlineStr">
        <is>
          <t>生蚝乳山生蚝海蛎子顺丰包邮</t>
        </is>
      </c>
      <c r="I619" t="inlineStr">
        <is>
          <t>690c70971b787900010866cc</t>
        </is>
      </c>
      <c r="J619" t="n">
        <v>37.0</v>
      </c>
      <c r="K619" t="n">
        <v>0.0</v>
      </c>
      <c r="L619" t="n">
        <v>0.0</v>
      </c>
      <c r="M619" t="n">
        <v>0.0</v>
      </c>
      <c r="N619" t="inlineStr">
        <is>
          <t/>
        </is>
      </c>
      <c r="O619" t="n">
        <v>0.0</v>
      </c>
      <c r="P619" t="n">
        <v>0.0</v>
      </c>
      <c r="Q619" t="inlineStr">
        <is>
          <t/>
        </is>
      </c>
      <c r="R619" t="inlineStr">
        <is>
          <t/>
        </is>
      </c>
      <c r="S619" t="n">
        <v>0.0</v>
      </c>
      <c r="T619" t="n">
        <v>0.0</v>
      </c>
      <c r="U619" t="n">
        <v>0.0</v>
      </c>
      <c r="V619" t="n">
        <v>0.0</v>
      </c>
      <c r="W619" t="inlineStr">
        <is>
          <t/>
        </is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inlineStr">
        <is>
          <t/>
        </is>
      </c>
      <c r="AL619" t="inlineStr">
        <is>
          <t/>
        </is>
      </c>
    </row>
    <row r="620">
      <c r="A620" t="inlineStr">
        <is>
          <t>在鲜水湾囤了整条三文鱼</t>
        </is>
      </c>
      <c r="B620" t="inlineStr">
        <is>
          <t>6931794a000000001e0341c1</t>
        </is>
      </c>
      <c r="C620" s="619" t="n">
        <f>HYPERLINK("https://www.xiaohongshu.com/explore/6931794a000000001e0341c1?xsec_token=TBE4JBHwTJxKVcqB99kbkXON1IMczlroWgeidikGIS-VU=&amp;xsec_source=pc_trdark","https://www.xiaohongshu.com/explore/6931794a000000001e0341c1?xsec_token=TBE4JBHwTJxKVcqB99kbkXON1IMczlroWgeidikGIS-VU=&amp;xsec_source=pc_trdark")</f>
        <v>0.0</v>
      </c>
      <c r="D620" t="inlineStr">
        <is>
          <t>鲜水湾</t>
        </is>
      </c>
      <c r="E620" t="inlineStr">
        <is>
          <t>49316638994</t>
        </is>
      </c>
      <c r="F620" t="inlineStr">
        <is>
          <t>2025-12-04 20:06:34</t>
        </is>
      </c>
      <c r="G620" t="inlineStr">
        <is>
          <t>图文</t>
        </is>
      </c>
      <c r="H620" t="inlineStr">
        <is>
          <t>智利三文鱼切块·整条三文鱼·深海鱼一人食健康饮食</t>
        </is>
      </c>
      <c r="I620" t="inlineStr">
        <is>
          <t>691ac562a524ee0001b51d7b</t>
        </is>
      </c>
      <c r="J620" t="inlineStr">
        <is>
          <t/>
        </is>
      </c>
      <c r="K620" t="n">
        <v>0.0</v>
      </c>
      <c r="L620" t="n">
        <v>0.0</v>
      </c>
      <c r="M620" t="n">
        <v>0.0</v>
      </c>
      <c r="N620" t="inlineStr">
        <is>
          <t/>
        </is>
      </c>
      <c r="O620" t="n">
        <v>0.0</v>
      </c>
      <c r="P620" t="n">
        <v>0.0</v>
      </c>
      <c r="Q620" t="inlineStr">
        <is>
          <t/>
        </is>
      </c>
      <c r="R620" t="inlineStr">
        <is>
          <t/>
        </is>
      </c>
      <c r="S620" t="n">
        <v>0.0</v>
      </c>
      <c r="T620" t="n">
        <v>0.0</v>
      </c>
      <c r="U620" t="n">
        <v>0.0</v>
      </c>
      <c r="V620" t="n">
        <v>0.0</v>
      </c>
      <c r="W620" t="inlineStr">
        <is>
          <t/>
        </is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inlineStr">
        <is>
          <t/>
        </is>
      </c>
      <c r="AL620" t="inlineStr">
        <is>
          <t/>
        </is>
      </c>
    </row>
    <row r="621">
      <c r="A621" t="inlineStr">
        <is>
          <t>79块钱💰以为没多少，实际够我吃半个月</t>
        </is>
      </c>
      <c r="B621" t="inlineStr">
        <is>
          <t>69313a79000000001f008142</t>
        </is>
      </c>
      <c r="C621" s="620" t="n">
        <f>HYPERLINK("https://www.xiaohongshu.com/explore/69313a79000000001f008142?xsec_token=TBE4JBHwTJxKVcqB99kbkXOCfjHVAQel4Nyp_x1ucs2EQ=&amp;xsec_source=pc_trdark","https://www.xiaohongshu.com/explore/69313a79000000001f008142?xsec_token=TBE4JBHwTJxKVcqB99kbkXOCfjHVAQel4Nyp_x1ucs2EQ=&amp;xsec_source=pc_trdark")</f>
        <v>0.0</v>
      </c>
      <c r="D621" t="inlineStr">
        <is>
          <t>鲜水湾</t>
        </is>
      </c>
      <c r="E621" t="inlineStr">
        <is>
          <t>49316638994</t>
        </is>
      </c>
      <c r="F621" t="inlineStr">
        <is>
          <t>2025-12-04 15:38:33</t>
        </is>
      </c>
      <c r="G621" t="inlineStr">
        <is>
          <t>图文</t>
        </is>
      </c>
      <c r="H621" t="inlineStr">
        <is>
          <t>大虾基围虾王牌大虾厄瓜多尔白虾盐冻虾仁海洋大虾送礼顺丰包邮</t>
        </is>
      </c>
      <c r="I621" t="inlineStr">
        <is>
          <t>690aeb7be379430001e686ac</t>
        </is>
      </c>
      <c r="J621" t="inlineStr">
        <is>
          <t/>
        </is>
      </c>
      <c r="K621" t="n">
        <v>0.0</v>
      </c>
      <c r="L621" t="n">
        <v>0.0</v>
      </c>
      <c r="M621" t="n">
        <v>0.0</v>
      </c>
      <c r="N621" t="inlineStr">
        <is>
          <t/>
        </is>
      </c>
      <c r="O621" t="n">
        <v>0.0</v>
      </c>
      <c r="P621" t="n">
        <v>0.0</v>
      </c>
      <c r="Q621" t="inlineStr">
        <is>
          <t/>
        </is>
      </c>
      <c r="R621" t="inlineStr">
        <is>
          <t/>
        </is>
      </c>
      <c r="S621" t="n">
        <v>0.0</v>
      </c>
      <c r="T621" t="n">
        <v>0.0</v>
      </c>
      <c r="U621" t="n">
        <v>0.0</v>
      </c>
      <c r="V621" t="n">
        <v>0.0</v>
      </c>
      <c r="W621" t="inlineStr">
        <is>
          <t/>
        </is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inlineStr">
        <is>
          <t/>
        </is>
      </c>
      <c r="AL621" t="inlineStr">
        <is>
          <t/>
        </is>
      </c>
    </row>
    <row r="622">
      <c r="A622" t="inlineStr">
        <is>
          <t>女孩们！真别小瞧这70块💰的威力</t>
        </is>
      </c>
      <c r="B622" t="inlineStr">
        <is>
          <t>692beb46000000001e021366</t>
        </is>
      </c>
      <c r="C622" s="621" t="n">
        <f>HYPERLINK("https://www.xiaohongshu.com/explore/692beb46000000001e021366?xsec_token=TBUOFn-dFmGFNcsP81XucxO926N8Yk-ONCECYkkO9-u5c=&amp;xsec_source=pc_trdark","https://www.xiaohongshu.com/explore/692beb46000000001e021366?xsec_token=TBUOFn-dFmGFNcsP81XucxO926N8Yk-ONCECYkkO9-u5c=&amp;xsec_source=pc_trdark")</f>
        <v>0.0</v>
      </c>
      <c r="D622" t="inlineStr">
        <is>
          <t>鲜水湾</t>
        </is>
      </c>
      <c r="E622" t="inlineStr">
        <is>
          <t>49316638994</t>
        </is>
      </c>
      <c r="F622" t="inlineStr">
        <is>
          <t>2025-11-30 14:59:18</t>
        </is>
      </c>
      <c r="G622" t="inlineStr">
        <is>
          <t>图文</t>
        </is>
      </c>
      <c r="H622" t="inlineStr">
        <is>
          <t>大虾基围虾王牌大虾厄瓜多尔白虾盐冻虾仁海洋大虾送礼顺丰包邮</t>
        </is>
      </c>
      <c r="I622" t="inlineStr">
        <is>
          <t>690aeb7be379430001e686ac</t>
        </is>
      </c>
      <c r="J622" t="inlineStr">
        <is>
          <t/>
        </is>
      </c>
      <c r="K622" t="n">
        <v>0.0</v>
      </c>
      <c r="L622" t="n">
        <v>0.0</v>
      </c>
      <c r="M622" t="n">
        <v>0.0</v>
      </c>
      <c r="N622" t="inlineStr">
        <is>
          <t/>
        </is>
      </c>
      <c r="O622" t="n">
        <v>0.0</v>
      </c>
      <c r="P622" t="n">
        <v>0.0</v>
      </c>
      <c r="Q622" t="inlineStr">
        <is>
          <t/>
        </is>
      </c>
      <c r="R622" t="inlineStr">
        <is>
          <t/>
        </is>
      </c>
      <c r="S622" t="n">
        <v>0.0</v>
      </c>
      <c r="T622" t="n">
        <v>0.0</v>
      </c>
      <c r="U622" t="n">
        <v>0.0</v>
      </c>
      <c r="V622" t="n">
        <v>0.0</v>
      </c>
      <c r="W622" t="inlineStr">
        <is>
          <t/>
        </is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inlineStr">
        <is>
          <t/>
        </is>
      </c>
      <c r="AL622" t="inlineStr">
        <is>
          <t/>
        </is>
      </c>
    </row>
    <row r="623">
      <c r="A623" t="inlineStr">
        <is>
          <t>向全世界安利我减脂期经常回购的大虾</t>
        </is>
      </c>
      <c r="B623" t="inlineStr">
        <is>
          <t>6925c1a9000000001e03b8a8</t>
        </is>
      </c>
      <c r="C623" s="622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623" t="inlineStr">
        <is>
          <t>鲜水湾</t>
        </is>
      </c>
      <c r="E623" t="inlineStr">
        <is>
          <t>49316638994</t>
        </is>
      </c>
      <c r="F623" t="inlineStr">
        <is>
          <t>2025-11-25 22:48:09</t>
        </is>
      </c>
      <c r="G623" t="inlineStr">
        <is>
          <t>图文</t>
        </is>
      </c>
      <c r="H623" t="inlineStr">
        <is>
          <t>大虾基围虾王牌大虾厄瓜多尔白虾盐冻虾仁海洋大虾送礼顺丰包邮</t>
        </is>
      </c>
      <c r="I623" t="inlineStr">
        <is>
          <t>690aeb7be379430001e686ac</t>
        </is>
      </c>
      <c r="J623" t="inlineStr">
        <is>
          <t/>
        </is>
      </c>
      <c r="K623" t="n">
        <v>0.0</v>
      </c>
      <c r="L623" t="n">
        <v>0.0</v>
      </c>
      <c r="M623" t="n">
        <v>0.0</v>
      </c>
      <c r="N623" t="inlineStr">
        <is>
          <t/>
        </is>
      </c>
      <c r="O623" t="n">
        <v>0.0</v>
      </c>
      <c r="P623" t="n">
        <v>0.0</v>
      </c>
      <c r="Q623" t="inlineStr">
        <is>
          <t/>
        </is>
      </c>
      <c r="R623" t="inlineStr">
        <is>
          <t/>
        </is>
      </c>
      <c r="S623" t="n">
        <v>0.0</v>
      </c>
      <c r="T623" t="n">
        <v>0.0</v>
      </c>
      <c r="U623" t="n">
        <v>0.0</v>
      </c>
      <c r="V623" t="n">
        <v>0.0</v>
      </c>
      <c r="W623" t="inlineStr">
        <is>
          <t/>
        </is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inlineStr">
        <is>
          <t/>
        </is>
      </c>
      <c r="AL623" t="inlineStr">
        <is>
          <t/>
        </is>
      </c>
    </row>
    <row r="624">
      <c r="A624" t="inlineStr">
        <is>
          <t>太香了！60几块就能解决一周减脂餐</t>
        </is>
      </c>
      <c r="B624" t="inlineStr">
        <is>
          <t>6921cbae000000001e030d05</t>
        </is>
      </c>
      <c r="C624" s="623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624" t="inlineStr">
        <is>
          <t>鲜水湾</t>
        </is>
      </c>
      <c r="E624" t="inlineStr">
        <is>
          <t>49316638994</t>
        </is>
      </c>
      <c r="F624" t="inlineStr">
        <is>
          <t>2025-11-22 22:41:50</t>
        </is>
      </c>
      <c r="G624" t="inlineStr">
        <is>
          <t>图文</t>
        </is>
      </c>
      <c r="H624" t="inlineStr">
        <is>
          <t>大虾基围虾王牌大虾厄瓜多尔白虾盐冻虾仁海洋大虾送礼顺丰包邮</t>
        </is>
      </c>
      <c r="I624" t="inlineStr">
        <is>
          <t>690aeb7be379430001e686ac</t>
        </is>
      </c>
      <c r="J624" t="inlineStr">
        <is>
          <t/>
        </is>
      </c>
      <c r="K624" t="n">
        <v>0.0</v>
      </c>
      <c r="L624" t="n">
        <v>0.0</v>
      </c>
      <c r="M624" t="n">
        <v>0.0</v>
      </c>
      <c r="N624" t="inlineStr">
        <is>
          <t/>
        </is>
      </c>
      <c r="O624" t="n">
        <v>0.0</v>
      </c>
      <c r="P624" t="n">
        <v>0.0</v>
      </c>
      <c r="Q624" t="inlineStr">
        <is>
          <t/>
        </is>
      </c>
      <c r="R624" t="inlineStr">
        <is>
          <t/>
        </is>
      </c>
      <c r="S624" t="n">
        <v>0.0</v>
      </c>
      <c r="T624" t="n">
        <v>0.0</v>
      </c>
      <c r="U624" t="n">
        <v>0.0</v>
      </c>
      <c r="V624" t="n">
        <v>0.0</v>
      </c>
      <c r="W624" t="inlineStr">
        <is>
          <t/>
        </is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inlineStr">
        <is>
          <t/>
        </is>
      </c>
      <c r="AL624" t="inlineStr">
        <is>
          <t/>
        </is>
      </c>
    </row>
    <row r="625">
      <c r="A625" t="inlineStr">
        <is>
          <t>吃完一箱接着一箱！边吃边叟的快乐谁懂！</t>
        </is>
      </c>
      <c r="B625" t="inlineStr">
        <is>
          <t>691d8a01000000001f00e76d</t>
        </is>
      </c>
      <c r="C625" s="624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625" t="inlineStr">
        <is>
          <t>鲜水湾</t>
        </is>
      </c>
      <c r="E625" t="inlineStr">
        <is>
          <t>49316638994</t>
        </is>
      </c>
      <c r="F625" t="inlineStr">
        <is>
          <t>2025-11-19 17:12:33</t>
        </is>
      </c>
      <c r="G625" t="inlineStr">
        <is>
          <t>图文</t>
        </is>
      </c>
      <c r="H625" t="inlineStr">
        <is>
          <t>大虾基围虾王牌大虾厄瓜多尔白虾盐冻虾仁海洋大虾送礼顺丰包邮</t>
        </is>
      </c>
      <c r="I625" t="inlineStr">
        <is>
          <t>690aeb7be379430001e686ac</t>
        </is>
      </c>
      <c r="J625" t="inlineStr">
        <is>
          <t/>
        </is>
      </c>
      <c r="K625" t="n">
        <v>0.0</v>
      </c>
      <c r="L625" t="n">
        <v>0.0</v>
      </c>
      <c r="M625" t="n">
        <v>0.0</v>
      </c>
      <c r="N625" t="inlineStr">
        <is>
          <t/>
        </is>
      </c>
      <c r="O625" t="n">
        <v>0.0</v>
      </c>
      <c r="P625" t="n">
        <v>0.0</v>
      </c>
      <c r="Q625" t="inlineStr">
        <is>
          <t/>
        </is>
      </c>
      <c r="R625" t="inlineStr">
        <is>
          <t/>
        </is>
      </c>
      <c r="S625" t="n">
        <v>0.0</v>
      </c>
      <c r="T625" t="n">
        <v>0.0</v>
      </c>
      <c r="U625" t="n">
        <v>0.0</v>
      </c>
      <c r="V625" t="n">
        <v>0.0</v>
      </c>
      <c r="W625" t="inlineStr">
        <is>
          <t/>
        </is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inlineStr">
        <is>
          <t/>
        </is>
      </c>
      <c r="AL625" t="inlineStr">
        <is>
          <t/>
        </is>
      </c>
    </row>
    <row r="626">
      <c r="A626" t="inlineStr">
        <is>
          <t>剥壳停不下来！Q弹鲜甜的大虾太绝了</t>
        </is>
      </c>
      <c r="B626" t="inlineStr">
        <is>
          <t>691d5e13000000001e032699</t>
        </is>
      </c>
      <c r="C626" s="625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626" t="inlineStr">
        <is>
          <t>鲜水湾</t>
        </is>
      </c>
      <c r="E626" t="inlineStr">
        <is>
          <t>49316638994</t>
        </is>
      </c>
      <c r="F626" t="inlineStr">
        <is>
          <t>2025-11-19 14:05:07</t>
        </is>
      </c>
      <c r="G626" t="inlineStr">
        <is>
          <t>图文</t>
        </is>
      </c>
      <c r="H626" t="inlineStr">
        <is>
          <t>大虾基围虾王牌大虾厄瓜多尔白虾盐冻虾仁海洋大虾送礼顺丰包邮</t>
        </is>
      </c>
      <c r="I626" t="inlineStr">
        <is>
          <t>690aeb7be379430001e686ac</t>
        </is>
      </c>
      <c r="J626" t="inlineStr">
        <is>
          <t/>
        </is>
      </c>
      <c r="K626" t="n">
        <v>0.0</v>
      </c>
      <c r="L626" t="n">
        <v>0.0</v>
      </c>
      <c r="M626" t="n">
        <v>0.0</v>
      </c>
      <c r="N626" t="inlineStr">
        <is>
          <t/>
        </is>
      </c>
      <c r="O626" t="n">
        <v>0.0</v>
      </c>
      <c r="P626" t="n">
        <v>0.0</v>
      </c>
      <c r="Q626" t="inlineStr">
        <is>
          <t/>
        </is>
      </c>
      <c r="R626" t="inlineStr">
        <is>
          <t/>
        </is>
      </c>
      <c r="S626" t="n">
        <v>0.0</v>
      </c>
      <c r="T626" t="n">
        <v>0.0</v>
      </c>
      <c r="U626" t="n">
        <v>0.0</v>
      </c>
      <c r="V626" t="n">
        <v>0.0</v>
      </c>
      <c r="W626" t="inlineStr">
        <is>
          <t/>
        </is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inlineStr">
        <is>
          <t/>
        </is>
      </c>
      <c r="AL626" t="inlineStr">
        <is>
          <t/>
        </is>
      </c>
    </row>
    <row r="627">
      <c r="A627" t="inlineStr">
        <is>
          <t>我承认它是冷冻虾，但口感依旧吊打活虾</t>
        </is>
      </c>
      <c r="B627" t="inlineStr">
        <is>
          <t>691d3244000000001e022987</t>
        </is>
      </c>
      <c r="C627" s="626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627" t="inlineStr">
        <is>
          <t>鲜水湾</t>
        </is>
      </c>
      <c r="E627" t="inlineStr">
        <is>
          <t>49316638994</t>
        </is>
      </c>
      <c r="F627" t="inlineStr">
        <is>
          <t>2025-11-19 10:58:12</t>
        </is>
      </c>
      <c r="G627" t="inlineStr">
        <is>
          <t>图文</t>
        </is>
      </c>
      <c r="H627" t="inlineStr">
        <is>
          <t>大虾基围虾王牌大虾厄瓜多尔白虾盐冻虾仁海洋大虾送礼顺丰包邮</t>
        </is>
      </c>
      <c r="I627" t="inlineStr">
        <is>
          <t>690aeb7be379430001e686ac</t>
        </is>
      </c>
      <c r="J627" t="inlineStr">
        <is>
          <t/>
        </is>
      </c>
      <c r="K627" t="n">
        <v>0.0</v>
      </c>
      <c r="L627" t="n">
        <v>0.0</v>
      </c>
      <c r="M627" t="n">
        <v>0.0</v>
      </c>
      <c r="N627" t="inlineStr">
        <is>
          <t/>
        </is>
      </c>
      <c r="O627" t="n">
        <v>0.0</v>
      </c>
      <c r="P627" t="n">
        <v>0.0</v>
      </c>
      <c r="Q627" t="inlineStr">
        <is>
          <t/>
        </is>
      </c>
      <c r="R627" t="inlineStr">
        <is>
          <t/>
        </is>
      </c>
      <c r="S627" t="n">
        <v>0.0</v>
      </c>
      <c r="T627" t="n">
        <v>0.0</v>
      </c>
      <c r="U627" t="n">
        <v>0.0</v>
      </c>
      <c r="V627" t="n">
        <v>0.0</v>
      </c>
      <c r="W627" t="inlineStr">
        <is>
          <t/>
        </is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inlineStr">
        <is>
          <t/>
        </is>
      </c>
      <c r="AL627" t="inlineStr">
        <is>
          <t/>
        </is>
      </c>
    </row>
    <row r="628">
      <c r="A628" t="inlineStr">
        <is>
          <t>一周回购2/3次，老公让我多囤点</t>
        </is>
      </c>
      <c r="B628" t="inlineStr">
        <is>
          <t>691c87a3000000001e02bcd0</t>
        </is>
      </c>
      <c r="C628" s="627" t="n">
        <f>HYPERLINK("https://www.xiaohongshu.com/explore/691c87a3000000001e02bcd0?xsec_token=TBIS8v-01Optb7rxCGgHk_CX8MEj4lfHt9FklCXsLSsoA=&amp;xsec_source=pc_trdark","https://www.xiaohongshu.com/explore/691c87a3000000001e02bcd0?xsec_token=TBIS8v-01Optb7rxCGgHk_CX8MEj4lfHt9FklCXsLSsoA=&amp;xsec_source=pc_trdark")</f>
        <v>0.0</v>
      </c>
      <c r="D628" t="inlineStr">
        <is>
          <t>鲜水湾</t>
        </is>
      </c>
      <c r="E628" t="inlineStr">
        <is>
          <t>49316638994</t>
        </is>
      </c>
      <c r="F628" t="inlineStr">
        <is>
          <t>2025-11-18 22:50:11</t>
        </is>
      </c>
      <c r="G628" t="inlineStr">
        <is>
          <t>图文</t>
        </is>
      </c>
      <c r="H628" t="inlineStr">
        <is>
          <t>虾仁冷冻虾仁去虾线新鲜速冻海鲜顺丰包邮</t>
        </is>
      </c>
      <c r="I628" t="inlineStr">
        <is>
          <t>691147a442726100013c7289</t>
        </is>
      </c>
      <c r="J628" t="inlineStr">
        <is>
          <t/>
        </is>
      </c>
      <c r="K628" t="n">
        <v>0.0</v>
      </c>
      <c r="L628" t="n">
        <v>0.0</v>
      </c>
      <c r="M628" t="n">
        <v>0.0</v>
      </c>
      <c r="N628" t="inlineStr">
        <is>
          <t/>
        </is>
      </c>
      <c r="O628" t="n">
        <v>0.0</v>
      </c>
      <c r="P628" t="n">
        <v>0.0</v>
      </c>
      <c r="Q628" t="inlineStr">
        <is>
          <t/>
        </is>
      </c>
      <c r="R628" t="inlineStr">
        <is>
          <t/>
        </is>
      </c>
      <c r="S628" t="n">
        <v>0.0</v>
      </c>
      <c r="T628" t="n">
        <v>0.0</v>
      </c>
      <c r="U628" t="n">
        <v>0.0</v>
      </c>
      <c r="V628" t="n">
        <v>0.0</v>
      </c>
      <c r="W628" t="inlineStr">
        <is>
          <t/>
        </is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inlineStr">
        <is>
          <t/>
        </is>
      </c>
      <c r="AL628" t="inlineStr">
        <is>
          <t/>
        </is>
      </c>
    </row>
    <row r="629">
      <c r="A629" t="inlineStr">
        <is>
          <t>不愧是10w网友认证过的减重餐？？太绝了‼️</t>
        </is>
      </c>
      <c r="B629" t="inlineStr">
        <is>
          <t>691a8ff8000000000402b2b6</t>
        </is>
      </c>
      <c r="C629" s="628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629" t="inlineStr">
        <is>
          <t>鲜水湾</t>
        </is>
      </c>
      <c r="E629" t="inlineStr">
        <is>
          <t>49316638994</t>
        </is>
      </c>
      <c r="F629" t="inlineStr">
        <is>
          <t>2025-11-17 11:01:12</t>
        </is>
      </c>
      <c r="G629" t="inlineStr">
        <is>
          <t>图文</t>
        </is>
      </c>
      <c r="H629" t="inlineStr">
        <is>
          <t>大虾基围虾王牌大虾厄瓜多尔白虾盐冻虾仁海洋大虾送礼顺丰包邮</t>
        </is>
      </c>
      <c r="I629" t="inlineStr">
        <is>
          <t>690aeb7be379430001e686ac</t>
        </is>
      </c>
      <c r="J629" t="inlineStr">
        <is>
          <t/>
        </is>
      </c>
      <c r="K629" t="n">
        <v>0.0</v>
      </c>
      <c r="L629" t="n">
        <v>0.0</v>
      </c>
      <c r="M629" t="n">
        <v>0.0</v>
      </c>
      <c r="N629" t="inlineStr">
        <is>
          <t/>
        </is>
      </c>
      <c r="O629" t="n">
        <v>0.0</v>
      </c>
      <c r="P629" t="n">
        <v>0.0</v>
      </c>
      <c r="Q629" t="inlineStr">
        <is>
          <t/>
        </is>
      </c>
      <c r="R629" t="inlineStr">
        <is>
          <t/>
        </is>
      </c>
      <c r="S629" t="n">
        <v>0.0</v>
      </c>
      <c r="T629" t="n">
        <v>0.0</v>
      </c>
      <c r="U629" t="n">
        <v>0.0</v>
      </c>
      <c r="V629" t="n">
        <v>0.0</v>
      </c>
      <c r="W629" t="inlineStr">
        <is>
          <t/>
        </is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inlineStr">
        <is>
          <t/>
        </is>
      </c>
      <c r="AL629" t="inlineStr">
        <is>
          <t/>
        </is>
      </c>
    </row>
    <row r="630">
      <c r="A630" t="inlineStr">
        <is>
          <t>对60几块钱的概念越来越模糊了</t>
        </is>
      </c>
      <c r="B630" t="inlineStr">
        <is>
          <t>69183e3c0000000004006b70</t>
        </is>
      </c>
      <c r="C630" s="629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630" t="inlineStr">
        <is>
          <t>鲜水湾</t>
        </is>
      </c>
      <c r="E630" t="inlineStr">
        <is>
          <t>49316638994</t>
        </is>
      </c>
      <c r="F630" t="inlineStr">
        <is>
          <t>2025-11-15 16:47:56</t>
        </is>
      </c>
      <c r="G630" t="inlineStr">
        <is>
          <t>图文</t>
        </is>
      </c>
      <c r="H630" t="inlineStr">
        <is>
          <t>大虾基围虾王牌大虾厄瓜多尔白虾盐冻虾仁海洋大虾送礼顺丰包邮</t>
        </is>
      </c>
      <c r="I630" t="inlineStr">
        <is>
          <t>690aeb7be379430001e686ac</t>
        </is>
      </c>
      <c r="J630" t="inlineStr">
        <is>
          <t/>
        </is>
      </c>
      <c r="K630" t="n">
        <v>0.0</v>
      </c>
      <c r="L630" t="n">
        <v>0.0</v>
      </c>
      <c r="M630" t="n">
        <v>0.0</v>
      </c>
      <c r="N630" t="inlineStr">
        <is>
          <t/>
        </is>
      </c>
      <c r="O630" t="n">
        <v>0.0</v>
      </c>
      <c r="P630" t="n">
        <v>0.0</v>
      </c>
      <c r="Q630" t="inlineStr">
        <is>
          <t/>
        </is>
      </c>
      <c r="R630" t="inlineStr">
        <is>
          <t/>
        </is>
      </c>
      <c r="S630" t="n">
        <v>0.0</v>
      </c>
      <c r="T630" t="n">
        <v>0.0</v>
      </c>
      <c r="U630" t="n">
        <v>0.0</v>
      </c>
      <c r="V630" t="n">
        <v>0.0</v>
      </c>
      <c r="W630" t="inlineStr">
        <is>
          <t/>
        </is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inlineStr">
        <is>
          <t/>
        </is>
      </c>
      <c r="AL630" t="inlineStr">
        <is>
          <t/>
        </is>
      </c>
    </row>
    <row r="631">
      <c r="A631" t="inlineStr">
        <is>
          <t>连不爱网购的老妈都催我囤大虾！</t>
        </is>
      </c>
      <c r="B631" t="inlineStr">
        <is>
          <t>691837c30000000004017464</t>
        </is>
      </c>
      <c r="C631" s="630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631" t="inlineStr">
        <is>
          <t>鲜水湾</t>
        </is>
      </c>
      <c r="E631" t="inlineStr">
        <is>
          <t>49316638994</t>
        </is>
      </c>
      <c r="F631" t="inlineStr">
        <is>
          <t>2025-11-15 16:20:19</t>
        </is>
      </c>
      <c r="G631" t="inlineStr">
        <is>
          <t>图文</t>
        </is>
      </c>
      <c r="H631" t="inlineStr">
        <is>
          <t>大虾基围虾王牌大虾厄瓜多尔白虾盐冻虾仁海洋大虾送礼顺丰包邮</t>
        </is>
      </c>
      <c r="I631" t="inlineStr">
        <is>
          <t>690aeb7be379430001e686ac</t>
        </is>
      </c>
      <c r="J631" t="inlineStr">
        <is>
          <t/>
        </is>
      </c>
      <c r="K631" t="n">
        <v>0.0</v>
      </c>
      <c r="L631" t="n">
        <v>0.0</v>
      </c>
      <c r="M631" t="n">
        <v>0.0</v>
      </c>
      <c r="N631" t="inlineStr">
        <is>
          <t/>
        </is>
      </c>
      <c r="O631" t="n">
        <v>0.0</v>
      </c>
      <c r="P631" t="n">
        <v>0.0</v>
      </c>
      <c r="Q631" t="inlineStr">
        <is>
          <t/>
        </is>
      </c>
      <c r="R631" t="inlineStr">
        <is>
          <t/>
        </is>
      </c>
      <c r="S631" t="n">
        <v>0.0</v>
      </c>
      <c r="T631" t="n">
        <v>0.0</v>
      </c>
      <c r="U631" t="n">
        <v>0.0</v>
      </c>
      <c r="V631" t="n">
        <v>0.0</v>
      </c>
      <c r="W631" t="inlineStr">
        <is>
          <t/>
        </is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inlineStr">
        <is>
          <t/>
        </is>
      </c>
      <c r="AL631" t="inlineStr">
        <is>
          <t/>
        </is>
      </c>
    </row>
    <row r="632">
      <c r="A632" t="inlineStr">
        <is>
          <t>误以为很贵，实际60多三大斤真的过瘾！</t>
        </is>
      </c>
      <c r="B632" t="inlineStr">
        <is>
          <t>691746070000000005032d43</t>
        </is>
      </c>
      <c r="C632" s="631" t="n">
        <f>HYPERLINK("https://www.xiaohongshu.com/explore/691746070000000005032d43?xsec_token=TBLSBfqZexCmmruTMJXuhniyb3522Q1EebKfRQ6O65R4I=&amp;xsec_source=pc_trdark","https://www.xiaohongshu.com/explore/691746070000000005032d43?xsec_token=TBLSBfqZexCmmruTMJXuhniyb3522Q1EebKfRQ6O65R4I=&amp;xsec_source=pc_trdark")</f>
        <v>0.0</v>
      </c>
      <c r="D632" t="inlineStr">
        <is>
          <t>鲜水湾</t>
        </is>
      </c>
      <c r="E632" t="inlineStr">
        <is>
          <t>49316638994</t>
        </is>
      </c>
      <c r="F632" t="inlineStr">
        <is>
          <t>2025-11-14 23:08:55</t>
        </is>
      </c>
      <c r="G632" t="inlineStr">
        <is>
          <t>图文</t>
        </is>
      </c>
      <c r="H632" t="inlineStr">
        <is>
          <t>大虾基围虾王牌大虾厄瓜多尔白虾盐冻虾仁海洋大虾送礼顺丰包邮</t>
        </is>
      </c>
      <c r="I632" t="inlineStr">
        <is>
          <t>690aeb7be379430001e686ac</t>
        </is>
      </c>
      <c r="J632" t="inlineStr">
        <is>
          <t/>
        </is>
      </c>
      <c r="K632" t="n">
        <v>0.0</v>
      </c>
      <c r="L632" t="n">
        <v>0.0</v>
      </c>
      <c r="M632" t="n">
        <v>0.0</v>
      </c>
      <c r="N632" t="inlineStr">
        <is>
          <t/>
        </is>
      </c>
      <c r="O632" t="n">
        <v>0.0</v>
      </c>
      <c r="P632" t="n">
        <v>0.0</v>
      </c>
      <c r="Q632" t="inlineStr">
        <is>
          <t/>
        </is>
      </c>
      <c r="R632" t="inlineStr">
        <is>
          <t/>
        </is>
      </c>
      <c r="S632" t="n">
        <v>0.0</v>
      </c>
      <c r="T632" t="n">
        <v>0.0</v>
      </c>
      <c r="U632" t="n">
        <v>0.0</v>
      </c>
      <c r="V632" t="n">
        <v>0.0</v>
      </c>
      <c r="W632" t="inlineStr">
        <is>
          <t/>
        </is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inlineStr">
        <is>
          <t/>
        </is>
      </c>
      <c r="AL632" t="inlineStr">
        <is>
          <t/>
        </is>
      </c>
    </row>
    <row r="633">
      <c r="A633" t="inlineStr">
        <is>
          <t>看着平平无奇，大虾减酯吃属实高调</t>
        </is>
      </c>
      <c r="B633" t="inlineStr">
        <is>
          <t>6915f2e80000000004011f79</t>
        </is>
      </c>
      <c r="C633" s="632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633" t="inlineStr">
        <is>
          <t>鲜水湾</t>
        </is>
      </c>
      <c r="E633" t="inlineStr">
        <is>
          <t>49316638994</t>
        </is>
      </c>
      <c r="F633" t="inlineStr">
        <is>
          <t>2025-11-13 23:02:00</t>
        </is>
      </c>
      <c r="G633" t="inlineStr">
        <is>
          <t>图文</t>
        </is>
      </c>
      <c r="H633" t="inlineStr">
        <is>
          <t>大虾基围虾王牌大虾厄瓜多尔白虾盐冻虾仁海洋大虾送礼顺丰包邮</t>
        </is>
      </c>
      <c r="I633" t="inlineStr">
        <is>
          <t>690aeb7be379430001e686ac</t>
        </is>
      </c>
      <c r="J633" t="inlineStr">
        <is>
          <t/>
        </is>
      </c>
      <c r="K633" t="n">
        <v>0.0</v>
      </c>
      <c r="L633" t="n">
        <v>0.0</v>
      </c>
      <c r="M633" t="n">
        <v>0.0</v>
      </c>
      <c r="N633" t="inlineStr">
        <is>
          <t/>
        </is>
      </c>
      <c r="O633" t="n">
        <v>0.0</v>
      </c>
      <c r="P633" t="n">
        <v>0.0</v>
      </c>
      <c r="Q633" t="inlineStr">
        <is>
          <t/>
        </is>
      </c>
      <c r="R633" t="inlineStr">
        <is>
          <t/>
        </is>
      </c>
      <c r="S633" t="n">
        <v>0.0</v>
      </c>
      <c r="T633" t="n">
        <v>0.0</v>
      </c>
      <c r="U633" t="n">
        <v>0.0</v>
      </c>
      <c r="V633" t="n">
        <v>0.0</v>
      </c>
      <c r="W633" t="inlineStr">
        <is>
          <t/>
        </is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inlineStr">
        <is>
          <t/>
        </is>
      </c>
      <c r="AL633" t="inlineStr">
        <is>
          <t/>
        </is>
      </c>
    </row>
    <row r="634">
      <c r="A634" t="inlineStr">
        <is>
          <t>不要低估60+💰的购买力，敞开吃吧…</t>
        </is>
      </c>
      <c r="B634" t="inlineStr">
        <is>
          <t>6915a71900000000050315c1</t>
        </is>
      </c>
      <c r="C634" s="633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634" t="inlineStr">
        <is>
          <t>鲜水湾</t>
        </is>
      </c>
      <c r="E634" t="inlineStr">
        <is>
          <t>49316638994</t>
        </is>
      </c>
      <c r="F634" t="inlineStr">
        <is>
          <t>2025-11-13 17:38:33</t>
        </is>
      </c>
      <c r="G634" t="inlineStr">
        <is>
          <t>图文</t>
        </is>
      </c>
      <c r="H634" t="inlineStr">
        <is>
          <t>大虾基围虾王牌大虾厄瓜多尔白虾盐冻虾仁海洋大虾送礼顺丰包邮</t>
        </is>
      </c>
      <c r="I634" t="inlineStr">
        <is>
          <t>690aeb7be379430001e686ac</t>
        </is>
      </c>
      <c r="J634" t="inlineStr">
        <is>
          <t/>
        </is>
      </c>
      <c r="K634" t="n">
        <v>0.0</v>
      </c>
      <c r="L634" t="n">
        <v>0.0</v>
      </c>
      <c r="M634" t="n">
        <v>0.0</v>
      </c>
      <c r="N634" t="inlineStr">
        <is>
          <t/>
        </is>
      </c>
      <c r="O634" t="n">
        <v>0.0</v>
      </c>
      <c r="P634" t="n">
        <v>0.0</v>
      </c>
      <c r="Q634" t="inlineStr">
        <is>
          <t/>
        </is>
      </c>
      <c r="R634" t="inlineStr">
        <is>
          <t/>
        </is>
      </c>
      <c r="S634" t="n">
        <v>0.0</v>
      </c>
      <c r="T634" t="n">
        <v>0.0</v>
      </c>
      <c r="U634" t="n">
        <v>0.0</v>
      </c>
      <c r="V634" t="n">
        <v>0.0</v>
      </c>
      <c r="W634" t="inlineStr">
        <is>
          <t/>
        </is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inlineStr">
        <is>
          <t/>
        </is>
      </c>
      <c r="AL634" t="inlineStr">
        <is>
          <t/>
        </is>
      </c>
    </row>
    <row r="635">
      <c r="A635" t="inlineStr">
        <is>
          <t>在办公室吃虾，结果整个公司都被种草了🥺</t>
        </is>
      </c>
      <c r="B635" t="inlineStr">
        <is>
          <t>69154f1a0000000004011889</t>
        </is>
      </c>
      <c r="C635" s="634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635" t="inlineStr">
        <is>
          <t>鲜水湾</t>
        </is>
      </c>
      <c r="E635" t="inlineStr">
        <is>
          <t>49316638994</t>
        </is>
      </c>
      <c r="F635" t="inlineStr">
        <is>
          <t>2025-11-13 11:23:06</t>
        </is>
      </c>
      <c r="G635" t="inlineStr">
        <is>
          <t>图文</t>
        </is>
      </c>
      <c r="H635" t="inlineStr">
        <is>
          <t>大虾基围虾王牌大虾厄瓜多尔白虾盐冻虾仁海洋大虾送礼顺丰包邮</t>
        </is>
      </c>
      <c r="I635" t="inlineStr">
        <is>
          <t>690aeb7be379430001e686ac</t>
        </is>
      </c>
      <c r="J635" t="inlineStr">
        <is>
          <t/>
        </is>
      </c>
      <c r="K635" t="n">
        <v>0.0</v>
      </c>
      <c r="L635" t="n">
        <v>0.0</v>
      </c>
      <c r="M635" t="n">
        <v>0.0</v>
      </c>
      <c r="N635" t="inlineStr">
        <is>
          <t/>
        </is>
      </c>
      <c r="O635" t="n">
        <v>0.0</v>
      </c>
      <c r="P635" t="n">
        <v>0.0</v>
      </c>
      <c r="Q635" t="inlineStr">
        <is>
          <t/>
        </is>
      </c>
      <c r="R635" t="inlineStr">
        <is>
          <t/>
        </is>
      </c>
      <c r="S635" t="n">
        <v>0.0</v>
      </c>
      <c r="T635" t="n">
        <v>0.0</v>
      </c>
      <c r="U635" t="n">
        <v>0.0</v>
      </c>
      <c r="V635" t="n">
        <v>0.0</v>
      </c>
      <c r="W635" t="inlineStr">
        <is>
          <t/>
        </is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inlineStr">
        <is>
          <t/>
        </is>
      </c>
      <c r="AL635" t="inlineStr">
        <is>
          <t/>
        </is>
      </c>
    </row>
    <row r="636">
      <c r="A636" t="inlineStr">
        <is>
          <t>一个撑死人，但热量很低的东西</t>
        </is>
      </c>
      <c r="B636" t="inlineStr">
        <is>
          <t>691536610000000005038349</t>
        </is>
      </c>
      <c r="C636" s="635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636" t="inlineStr">
        <is>
          <t>鲜水湾</t>
        </is>
      </c>
      <c r="E636" t="inlineStr">
        <is>
          <t>49316638994</t>
        </is>
      </c>
      <c r="F636" t="inlineStr">
        <is>
          <t>2025-11-13 09:37:37</t>
        </is>
      </c>
      <c r="G636" t="inlineStr">
        <is>
          <t>图文</t>
        </is>
      </c>
      <c r="H636" t="inlineStr">
        <is>
          <t>大虾基围虾王牌大虾厄瓜多尔白虾盐冻虾仁海洋大虾送礼顺丰包邮</t>
        </is>
      </c>
      <c r="I636" t="inlineStr">
        <is>
          <t>690aeb7be379430001e686ac</t>
        </is>
      </c>
      <c r="J636" t="inlineStr">
        <is>
          <t/>
        </is>
      </c>
      <c r="K636" t="n">
        <v>0.0</v>
      </c>
      <c r="L636" t="n">
        <v>0.0</v>
      </c>
      <c r="M636" t="n">
        <v>0.0</v>
      </c>
      <c r="N636" t="inlineStr">
        <is>
          <t/>
        </is>
      </c>
      <c r="O636" t="n">
        <v>0.0</v>
      </c>
      <c r="P636" t="n">
        <v>0.0</v>
      </c>
      <c r="Q636" t="inlineStr">
        <is>
          <t/>
        </is>
      </c>
      <c r="R636" t="inlineStr">
        <is>
          <t/>
        </is>
      </c>
      <c r="S636" t="n">
        <v>0.0</v>
      </c>
      <c r="T636" t="n">
        <v>0.0</v>
      </c>
      <c r="U636" t="n">
        <v>0.0</v>
      </c>
      <c r="V636" t="n">
        <v>0.0</v>
      </c>
      <c r="W636" t="inlineStr">
        <is>
          <t/>
        </is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inlineStr">
        <is>
          <t/>
        </is>
      </c>
      <c r="AL636" t="inlineStr">
        <is>
          <t/>
        </is>
      </c>
    </row>
    <row r="637">
      <c r="A637" t="inlineStr">
        <is>
          <t>太香了！60几块就能买满满一箱大虾！</t>
        </is>
      </c>
      <c r="B637" t="inlineStr">
        <is>
          <t>69149d800000000004029271</t>
        </is>
      </c>
      <c r="C637" s="636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637" t="inlineStr">
        <is>
          <t>鲜水湾</t>
        </is>
      </c>
      <c r="E637" t="inlineStr">
        <is>
          <t>49316638994</t>
        </is>
      </c>
      <c r="F637" t="inlineStr">
        <is>
          <t>2025-11-12 22:45:20</t>
        </is>
      </c>
      <c r="G637" t="inlineStr">
        <is>
          <t>图文</t>
        </is>
      </c>
      <c r="H637" t="inlineStr">
        <is>
          <t>大虾基围虾王牌大虾厄瓜多尔白虾盐冻虾仁海洋大虾送礼顺丰包邮</t>
        </is>
      </c>
      <c r="I637" t="inlineStr">
        <is>
          <t>690aeb7be379430001e686ac</t>
        </is>
      </c>
      <c r="J637" t="inlineStr">
        <is>
          <t/>
        </is>
      </c>
      <c r="K637" t="n">
        <v>0.0</v>
      </c>
      <c r="L637" t="n">
        <v>0.0</v>
      </c>
      <c r="M637" t="n">
        <v>0.0</v>
      </c>
      <c r="N637" t="inlineStr">
        <is>
          <t/>
        </is>
      </c>
      <c r="O637" t="n">
        <v>0.0</v>
      </c>
      <c r="P637" t="n">
        <v>0.0</v>
      </c>
      <c r="Q637" t="inlineStr">
        <is>
          <t/>
        </is>
      </c>
      <c r="R637" t="inlineStr">
        <is>
          <t/>
        </is>
      </c>
      <c r="S637" t="n">
        <v>0.0</v>
      </c>
      <c r="T637" t="n">
        <v>0.0</v>
      </c>
      <c r="U637" t="n">
        <v>0.0</v>
      </c>
      <c r="V637" t="n">
        <v>0.0</v>
      </c>
      <c r="W637" t="inlineStr">
        <is>
          <t/>
        </is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inlineStr">
        <is>
          <t/>
        </is>
      </c>
      <c r="AL637" t="inlineStr">
        <is>
          <t/>
        </is>
      </c>
    </row>
    <row r="638">
      <c r="A638" t="inlineStr">
        <is>
          <t>对不起，减酯人的白月光，真的不踩雷</t>
        </is>
      </c>
      <c r="B638" t="inlineStr">
        <is>
          <t>6914588500000000040292dc</t>
        </is>
      </c>
      <c r="C638" s="637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638" t="inlineStr">
        <is>
          <t>鲜水湾</t>
        </is>
      </c>
      <c r="E638" t="inlineStr">
        <is>
          <t>49316638994</t>
        </is>
      </c>
      <c r="F638" t="inlineStr">
        <is>
          <t>2025-11-12 17:51:01</t>
        </is>
      </c>
      <c r="G638" t="inlineStr">
        <is>
          <t>图文</t>
        </is>
      </c>
      <c r="H638" t="inlineStr">
        <is>
          <t>大虾基围虾王牌大虾厄瓜多尔白虾盐冻虾仁海洋大虾送礼顺丰包邮</t>
        </is>
      </c>
      <c r="I638" t="inlineStr">
        <is>
          <t>690aeb7be379430001e686ac</t>
        </is>
      </c>
      <c r="J638" t="inlineStr">
        <is>
          <t/>
        </is>
      </c>
      <c r="K638" t="n">
        <v>0.0</v>
      </c>
      <c r="L638" t="n">
        <v>0.0</v>
      </c>
      <c r="M638" t="n">
        <v>0.0</v>
      </c>
      <c r="N638" t="inlineStr">
        <is>
          <t/>
        </is>
      </c>
      <c r="O638" t="n">
        <v>0.0</v>
      </c>
      <c r="P638" t="n">
        <v>0.0</v>
      </c>
      <c r="Q638" t="inlineStr">
        <is>
          <t/>
        </is>
      </c>
      <c r="R638" t="inlineStr">
        <is>
          <t/>
        </is>
      </c>
      <c r="S638" t="n">
        <v>0.0</v>
      </c>
      <c r="T638" t="n">
        <v>0.0</v>
      </c>
      <c r="U638" t="n">
        <v>0.0</v>
      </c>
      <c r="V638" t="n">
        <v>0.0</v>
      </c>
      <c r="W638" t="inlineStr">
        <is>
          <t/>
        </is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inlineStr">
        <is>
          <t/>
        </is>
      </c>
      <c r="AL638" t="inlineStr">
        <is>
          <t/>
        </is>
      </c>
    </row>
    <row r="639">
      <c r="A639" t="inlineStr">
        <is>
          <t>凭一己之力带动办公室回购了10箱</t>
        </is>
      </c>
      <c r="B639" t="inlineStr">
        <is>
          <t>69142b920000000004001b6b</t>
        </is>
      </c>
      <c r="C639" s="638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639" t="inlineStr">
        <is>
          <t>鲜水湾</t>
        </is>
      </c>
      <c r="E639" t="inlineStr">
        <is>
          <t>49316638994</t>
        </is>
      </c>
      <c r="F639" t="inlineStr">
        <is>
          <t>2025-11-12 14:39:14</t>
        </is>
      </c>
      <c r="G639" t="inlineStr">
        <is>
          <t>图文</t>
        </is>
      </c>
      <c r="H639" t="inlineStr">
        <is>
          <t>大虾基围虾王牌大虾厄瓜多尔白虾盐冻虾仁海洋大虾送礼顺丰包邮</t>
        </is>
      </c>
      <c r="I639" t="inlineStr">
        <is>
          <t>690aeb7be379430001e686ac</t>
        </is>
      </c>
      <c r="J639" t="inlineStr">
        <is>
          <t/>
        </is>
      </c>
      <c r="K639" t="n">
        <v>0.0</v>
      </c>
      <c r="L639" t="n">
        <v>0.0</v>
      </c>
      <c r="M639" t="n">
        <v>0.0</v>
      </c>
      <c r="N639" t="inlineStr">
        <is>
          <t/>
        </is>
      </c>
      <c r="O639" t="n">
        <v>0.0</v>
      </c>
      <c r="P639" t="n">
        <v>0.0</v>
      </c>
      <c r="Q639" t="inlineStr">
        <is>
          <t/>
        </is>
      </c>
      <c r="R639" t="inlineStr">
        <is>
          <t/>
        </is>
      </c>
      <c r="S639" t="n">
        <v>0.0</v>
      </c>
      <c r="T639" t="n">
        <v>0.0</v>
      </c>
      <c r="U639" t="n">
        <v>0.0</v>
      </c>
      <c r="V639" t="n">
        <v>0.0</v>
      </c>
      <c r="W639" t="inlineStr">
        <is>
          <t/>
        </is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inlineStr">
        <is>
          <t/>
        </is>
      </c>
      <c r="AL639" t="inlineStr">
        <is>
          <t/>
        </is>
      </c>
    </row>
    <row r="640">
      <c r="A640" t="inlineStr">
        <is>
          <t>女孩们，千万别小瞧60块的购买力</t>
        </is>
      </c>
      <c r="B640" t="inlineStr">
        <is>
          <t>691426fb0000000007039a15</t>
        </is>
      </c>
      <c r="C640" s="639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640" t="inlineStr">
        <is>
          <t>鲜水湾甄选</t>
        </is>
      </c>
      <c r="E640" t="inlineStr">
        <is>
          <t>27401929161</t>
        </is>
      </c>
      <c r="F640" t="inlineStr">
        <is>
          <t>2025-11-12 14:19:39</t>
        </is>
      </c>
      <c r="G640" t="inlineStr">
        <is>
          <t>图文</t>
        </is>
      </c>
      <c r="H640" t="inlineStr">
        <is>
          <t>大虾基围虾王牌大虾厄瓜多尔白虾盐冻虾仁海洋大虾送礼顺丰包邮</t>
        </is>
      </c>
      <c r="I640" t="inlineStr">
        <is>
          <t>690aeb7be379430001e686ac</t>
        </is>
      </c>
      <c r="J640" t="inlineStr">
        <is>
          <t/>
        </is>
      </c>
      <c r="K640" t="n">
        <v>0.0</v>
      </c>
      <c r="L640" t="n">
        <v>0.0</v>
      </c>
      <c r="M640" t="n">
        <v>0.0</v>
      </c>
      <c r="N640" t="inlineStr">
        <is>
          <t/>
        </is>
      </c>
      <c r="O640" t="n">
        <v>0.0</v>
      </c>
      <c r="P640" t="n">
        <v>0.0</v>
      </c>
      <c r="Q640" t="inlineStr">
        <is>
          <t/>
        </is>
      </c>
      <c r="R640" t="inlineStr">
        <is>
          <t/>
        </is>
      </c>
      <c r="S640" t="n">
        <v>0.0</v>
      </c>
      <c r="T640" t="n">
        <v>0.0</v>
      </c>
      <c r="U640" t="n">
        <v>0.0</v>
      </c>
      <c r="V640" t="n">
        <v>0.0</v>
      </c>
      <c r="W640" t="inlineStr">
        <is>
          <t/>
        </is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inlineStr">
        <is>
          <t/>
        </is>
      </c>
      <c r="AL640" t="inlineStr">
        <is>
          <t/>
        </is>
      </c>
    </row>
    <row r="641">
      <c r="A641" t="inlineStr">
        <is>
          <t>好吃我已经说累了，没看到就随缘吧</t>
        </is>
      </c>
      <c r="B641" t="inlineStr">
        <is>
          <t>69141ff30000000004004dac</t>
        </is>
      </c>
      <c r="C641" s="640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641" t="inlineStr">
        <is>
          <t>婉婉上班吃什么</t>
        </is>
      </c>
      <c r="E641" t="inlineStr">
        <is>
          <t>11434449706</t>
        </is>
      </c>
      <c r="F641" t="inlineStr">
        <is>
          <t>2025-11-12 13:49:39</t>
        </is>
      </c>
      <c r="G641" t="inlineStr">
        <is>
          <t>视频</t>
        </is>
      </c>
      <c r="H641" t="inlineStr">
        <is>
          <t>生蚝乳山生蚝海蛎子顺丰包邮</t>
        </is>
      </c>
      <c r="I641" t="inlineStr">
        <is>
          <t>690c70971b787900010866cc</t>
        </is>
      </c>
      <c r="J641" t="n">
        <v>17.0</v>
      </c>
      <c r="K641" t="n">
        <v>0.0</v>
      </c>
      <c r="L641" t="n">
        <v>0.0</v>
      </c>
      <c r="M641" t="n">
        <v>0.0</v>
      </c>
      <c r="N641" t="inlineStr">
        <is>
          <t/>
        </is>
      </c>
      <c r="O641" t="n">
        <v>0.0</v>
      </c>
      <c r="P641" t="n">
        <v>0.0</v>
      </c>
      <c r="Q641" t="inlineStr">
        <is>
          <t/>
        </is>
      </c>
      <c r="R641" t="inlineStr">
        <is>
          <t/>
        </is>
      </c>
      <c r="S641" t="n">
        <v>0.0</v>
      </c>
      <c r="T641" t="n">
        <v>0.0</v>
      </c>
      <c r="U641" t="n">
        <v>0.0</v>
      </c>
      <c r="V641" t="n">
        <v>0.0</v>
      </c>
      <c r="W641" t="inlineStr">
        <is>
          <t/>
        </is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inlineStr">
        <is>
          <t/>
        </is>
      </c>
      <c r="AL641" t="inlineStr">
        <is>
          <t/>
        </is>
      </c>
    </row>
    <row r="642">
      <c r="A642" t="inlineStr">
        <is>
          <t>健身党的优质蛋白！60多的大虾超划算</t>
        </is>
      </c>
      <c r="B642" t="inlineStr">
        <is>
          <t>6913e42a00000000050133fc</t>
        </is>
      </c>
      <c r="C642" s="641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642" t="inlineStr">
        <is>
          <t>鲜水湾</t>
        </is>
      </c>
      <c r="E642" t="inlineStr">
        <is>
          <t>49316638994</t>
        </is>
      </c>
      <c r="F642" t="inlineStr">
        <is>
          <t>2025-11-12 09:34:34</t>
        </is>
      </c>
      <c r="G642" t="inlineStr">
        <is>
          <t>图文</t>
        </is>
      </c>
      <c r="H642" t="inlineStr">
        <is>
          <t>大虾基围虾王牌大虾厄瓜多尔白虾盐冻虾仁海洋大虾送礼顺丰包邮</t>
        </is>
      </c>
      <c r="I642" t="inlineStr">
        <is>
          <t>690aeb7be379430001e686ac</t>
        </is>
      </c>
      <c r="J642" t="inlineStr">
        <is>
          <t/>
        </is>
      </c>
      <c r="K642" t="n">
        <v>0.0</v>
      </c>
      <c r="L642" t="n">
        <v>0.0</v>
      </c>
      <c r="M642" t="n">
        <v>0.0</v>
      </c>
      <c r="N642" t="inlineStr">
        <is>
          <t/>
        </is>
      </c>
      <c r="O642" t="n">
        <v>0.0</v>
      </c>
      <c r="P642" t="n">
        <v>0.0</v>
      </c>
      <c r="Q642" t="inlineStr">
        <is>
          <t/>
        </is>
      </c>
      <c r="R642" t="inlineStr">
        <is>
          <t/>
        </is>
      </c>
      <c r="S642" t="n">
        <v>0.0</v>
      </c>
      <c r="T642" t="n">
        <v>0.0</v>
      </c>
      <c r="U642" t="n">
        <v>0.0</v>
      </c>
      <c r="V642" t="n">
        <v>0.0</v>
      </c>
      <c r="W642" t="inlineStr">
        <is>
          <t/>
        </is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inlineStr">
        <is>
          <t/>
        </is>
      </c>
      <c r="AL642" t="inlineStr">
        <is>
          <t/>
        </is>
      </c>
    </row>
    <row r="643">
      <c r="A643" t="inlineStr">
        <is>
          <t>60多块的购买力解决上班族十天的优质蛋白</t>
        </is>
      </c>
      <c r="B643" t="inlineStr">
        <is>
          <t>6913498d0000000004003e56</t>
        </is>
      </c>
      <c r="C643" s="642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643" t="inlineStr">
        <is>
          <t>鲜水湾</t>
        </is>
      </c>
      <c r="E643" t="inlineStr">
        <is>
          <t>49316638994</t>
        </is>
      </c>
      <c r="F643" t="inlineStr">
        <is>
          <t>2025-11-11 22:34:53</t>
        </is>
      </c>
      <c r="G643" t="inlineStr">
        <is>
          <t>图文</t>
        </is>
      </c>
      <c r="H643" t="inlineStr">
        <is>
          <t>大虾基围虾王牌大虾厄瓜多尔白虾盐冻虾仁海洋大虾送礼顺丰包邮</t>
        </is>
      </c>
      <c r="I643" t="inlineStr">
        <is>
          <t>690aeb7be379430001e686ac</t>
        </is>
      </c>
      <c r="J643" t="inlineStr">
        <is>
          <t/>
        </is>
      </c>
      <c r="K643" t="n">
        <v>0.0</v>
      </c>
      <c r="L643" t="n">
        <v>0.0</v>
      </c>
      <c r="M643" t="n">
        <v>0.0</v>
      </c>
      <c r="N643" t="inlineStr">
        <is>
          <t/>
        </is>
      </c>
      <c r="O643" t="n">
        <v>0.0</v>
      </c>
      <c r="P643" t="n">
        <v>0.0</v>
      </c>
      <c r="Q643" t="inlineStr">
        <is>
          <t/>
        </is>
      </c>
      <c r="R643" t="inlineStr">
        <is>
          <t/>
        </is>
      </c>
      <c r="S643" t="n">
        <v>0.0</v>
      </c>
      <c r="T643" t="n">
        <v>0.0</v>
      </c>
      <c r="U643" t="n">
        <v>0.0</v>
      </c>
      <c r="V643" t="n">
        <v>0.0</v>
      </c>
      <c r="W643" t="inlineStr">
        <is>
          <t/>
        </is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inlineStr">
        <is>
          <t/>
        </is>
      </c>
      <c r="AL643" t="inlineStr">
        <is>
          <t/>
        </is>
      </c>
    </row>
    <row r="644">
      <c r="A644" t="inlineStr">
        <is>
          <t>对60几块钱的概念越来越模糊了</t>
        </is>
      </c>
      <c r="B644" t="inlineStr">
        <is>
          <t>6911df3c00000000040159fe</t>
        </is>
      </c>
      <c r="C644" s="643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644" t="inlineStr">
        <is>
          <t>鲜水湾</t>
        </is>
      </c>
      <c r="E644" t="inlineStr">
        <is>
          <t>49316638994</t>
        </is>
      </c>
      <c r="F644" t="inlineStr">
        <is>
          <t>2025-11-10 20:49:00</t>
        </is>
      </c>
      <c r="G644" t="inlineStr">
        <is>
          <t>图文</t>
        </is>
      </c>
      <c r="H644" t="inlineStr">
        <is>
          <t>大虾基围虾王牌大虾厄瓜多尔白虾盐冻虾仁海洋大虾送礼顺丰包邮</t>
        </is>
      </c>
      <c r="I644" t="inlineStr">
        <is>
          <t>690aeb7be379430001e686ac</t>
        </is>
      </c>
      <c r="J644" t="inlineStr">
        <is>
          <t/>
        </is>
      </c>
      <c r="K644" t="n">
        <v>0.0</v>
      </c>
      <c r="L644" t="n">
        <v>0.0</v>
      </c>
      <c r="M644" t="n">
        <v>0.0</v>
      </c>
      <c r="N644" t="inlineStr">
        <is>
          <t/>
        </is>
      </c>
      <c r="O644" t="n">
        <v>0.0</v>
      </c>
      <c r="P644" t="n">
        <v>0.0</v>
      </c>
      <c r="Q644" t="inlineStr">
        <is>
          <t/>
        </is>
      </c>
      <c r="R644" t="inlineStr">
        <is>
          <t/>
        </is>
      </c>
      <c r="S644" t="n">
        <v>0.0</v>
      </c>
      <c r="T644" t="n">
        <v>0.0</v>
      </c>
      <c r="U644" t="n">
        <v>0.0</v>
      </c>
      <c r="V644" t="n">
        <v>0.0</v>
      </c>
      <c r="W644" t="inlineStr">
        <is>
          <t/>
        </is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inlineStr">
        <is>
          <t/>
        </is>
      </c>
      <c r="AL644" t="inlineStr">
        <is>
          <t/>
        </is>
      </c>
    </row>
    <row r="645">
      <c r="A645" t="inlineStr">
        <is>
          <t>终于知道年轻人爱大虾的理由了……</t>
        </is>
      </c>
      <c r="B645" t="inlineStr">
        <is>
          <t>691185f4000000000703b57a</t>
        </is>
      </c>
      <c r="C645" s="644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645" t="inlineStr">
        <is>
          <t>鲜水湾甄选</t>
        </is>
      </c>
      <c r="E645" t="inlineStr">
        <is>
          <t>27401929161</t>
        </is>
      </c>
      <c r="F645" t="inlineStr">
        <is>
          <t>2025-11-10 14:28:04</t>
        </is>
      </c>
      <c r="G645" t="inlineStr">
        <is>
          <t>图文</t>
        </is>
      </c>
      <c r="H645" t="inlineStr">
        <is>
          <t>大虾基围虾王牌大虾厄瓜多尔白虾盐冻虾仁海洋大虾送礼顺丰包邮</t>
        </is>
      </c>
      <c r="I645" t="inlineStr">
        <is>
          <t>690aeb7be379430001e686ac</t>
        </is>
      </c>
      <c r="J645" t="inlineStr">
        <is>
          <t/>
        </is>
      </c>
      <c r="K645" t="n">
        <v>0.0</v>
      </c>
      <c r="L645" t="n">
        <v>0.0</v>
      </c>
      <c r="M645" t="n">
        <v>0.0</v>
      </c>
      <c r="N645" t="inlineStr">
        <is>
          <t/>
        </is>
      </c>
      <c r="O645" t="n">
        <v>0.0</v>
      </c>
      <c r="P645" t="n">
        <v>0.0</v>
      </c>
      <c r="Q645" t="inlineStr">
        <is>
          <t/>
        </is>
      </c>
      <c r="R645" t="inlineStr">
        <is>
          <t/>
        </is>
      </c>
      <c r="S645" t="n">
        <v>0.0</v>
      </c>
      <c r="T645" t="n">
        <v>0.0</v>
      </c>
      <c r="U645" t="n">
        <v>0.0</v>
      </c>
      <c r="V645" t="n">
        <v>0.0</v>
      </c>
      <c r="W645" t="inlineStr">
        <is>
          <t/>
        </is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inlineStr">
        <is>
          <t/>
        </is>
      </c>
      <c r="AL645" t="inlineStr">
        <is>
          <t/>
        </is>
      </c>
    </row>
    <row r="646">
      <c r="A646" t="inlineStr">
        <is>
          <t>60几块钱吃一周！减脂党狂喜😋</t>
        </is>
      </c>
      <c r="B646" t="inlineStr">
        <is>
          <t>690eea290000000005010648</t>
        </is>
      </c>
      <c r="C646" s="645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646" t="inlineStr">
        <is>
          <t>鲜水湾</t>
        </is>
      </c>
      <c r="E646" t="inlineStr">
        <is>
          <t>49316638994</t>
        </is>
      </c>
      <c r="F646" t="inlineStr">
        <is>
          <t>2025-11-08 14:58:49</t>
        </is>
      </c>
      <c r="G646" t="inlineStr">
        <is>
          <t>图文</t>
        </is>
      </c>
      <c r="H646" t="inlineStr">
        <is>
          <t>大虾基围虾王牌大虾厄瓜多尔白虾盐冻虾仁海洋大虾送礼顺丰包邮</t>
        </is>
      </c>
      <c r="I646" t="inlineStr">
        <is>
          <t>690aeb7be379430001e686ac</t>
        </is>
      </c>
      <c r="J646" t="inlineStr">
        <is>
          <t/>
        </is>
      </c>
      <c r="K646" t="n">
        <v>0.0</v>
      </c>
      <c r="L646" t="n">
        <v>0.0</v>
      </c>
      <c r="M646" t="n">
        <v>0.0</v>
      </c>
      <c r="N646" t="inlineStr">
        <is>
          <t/>
        </is>
      </c>
      <c r="O646" t="n">
        <v>0.0</v>
      </c>
      <c r="P646" t="n">
        <v>0.0</v>
      </c>
      <c r="Q646" t="inlineStr">
        <is>
          <t/>
        </is>
      </c>
      <c r="R646" t="inlineStr">
        <is>
          <t/>
        </is>
      </c>
      <c r="S646" t="n">
        <v>0.0</v>
      </c>
      <c r="T646" t="n">
        <v>0.0</v>
      </c>
      <c r="U646" t="n">
        <v>0.0</v>
      </c>
      <c r="V646" t="n">
        <v>0.0</v>
      </c>
      <c r="W646" t="inlineStr">
        <is>
          <t/>
        </is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inlineStr">
        <is>
          <t/>
        </is>
      </c>
      <c r="AL646" t="inlineStr">
        <is>
          <t/>
        </is>
      </c>
    </row>
    <row r="647">
      <c r="A647" t="inlineStr">
        <is>
          <t>自从碱脂买了这个大虾，一个月省好几百！</t>
        </is>
      </c>
      <c r="B647" t="inlineStr">
        <is>
          <t>690eb4c9000000000400296d</t>
        </is>
      </c>
      <c r="C647" s="646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647" t="inlineStr">
        <is>
          <t>鲜水湾</t>
        </is>
      </c>
      <c r="E647" t="inlineStr">
        <is>
          <t>49316638994</t>
        </is>
      </c>
      <c r="F647" t="inlineStr">
        <is>
          <t>2025-11-08 11:11:05</t>
        </is>
      </c>
      <c r="G647" t="inlineStr">
        <is>
          <t>图文</t>
        </is>
      </c>
      <c r="H647" t="inlineStr">
        <is>
          <t>大虾基围虾王牌大虾厄瓜多尔白虾盐冻虾仁海洋大虾送礼顺丰包邮</t>
        </is>
      </c>
      <c r="I647" t="inlineStr">
        <is>
          <t>690aeb7be379430001e686ac</t>
        </is>
      </c>
      <c r="J647" t="inlineStr">
        <is>
          <t/>
        </is>
      </c>
      <c r="K647" t="n">
        <v>0.0</v>
      </c>
      <c r="L647" t="n">
        <v>0.0</v>
      </c>
      <c r="M647" t="n">
        <v>0.0</v>
      </c>
      <c r="N647" t="inlineStr">
        <is>
          <t/>
        </is>
      </c>
      <c r="O647" t="n">
        <v>0.0</v>
      </c>
      <c r="P647" t="n">
        <v>0.0</v>
      </c>
      <c r="Q647" t="inlineStr">
        <is>
          <t/>
        </is>
      </c>
      <c r="R647" t="inlineStr">
        <is>
          <t/>
        </is>
      </c>
      <c r="S647" t="n">
        <v>0.0</v>
      </c>
      <c r="T647" t="n">
        <v>0.0</v>
      </c>
      <c r="U647" t="n">
        <v>0.0</v>
      </c>
      <c r="V647" t="n">
        <v>0.0</v>
      </c>
      <c r="W647" t="inlineStr">
        <is>
          <t/>
        </is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inlineStr">
        <is>
          <t/>
        </is>
      </c>
      <c r="AL647" t="inlineStr">
        <is>
          <t/>
        </is>
      </c>
    </row>
    <row r="648">
      <c r="A648" t="inlineStr">
        <is>
          <t>真的会谢🥲对60多块的购买力有了新概念</t>
        </is>
      </c>
      <c r="B648" t="inlineStr">
        <is>
          <t>690e0de20000000007017008</t>
        </is>
      </c>
      <c r="C648" s="647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648" t="inlineStr">
        <is>
          <t>鲜水湾甄选</t>
        </is>
      </c>
      <c r="E648" t="inlineStr">
        <is>
          <t>27401929161</t>
        </is>
      </c>
      <c r="F648" t="inlineStr">
        <is>
          <t>2025-11-07 23:18:58</t>
        </is>
      </c>
      <c r="G648" t="inlineStr">
        <is>
          <t>图文</t>
        </is>
      </c>
      <c r="H648" t="inlineStr">
        <is>
          <t>大虾基围虾王牌大虾厄瓜多尔白虾盐冻虾仁海洋大虾送礼顺丰包邮</t>
        </is>
      </c>
      <c r="I648" t="inlineStr">
        <is>
          <t>690aeb7be379430001e686ac</t>
        </is>
      </c>
      <c r="J648" t="inlineStr">
        <is>
          <t/>
        </is>
      </c>
      <c r="K648" t="n">
        <v>0.0</v>
      </c>
      <c r="L648" t="n">
        <v>0.0</v>
      </c>
      <c r="M648" t="n">
        <v>0.0</v>
      </c>
      <c r="N648" t="inlineStr">
        <is>
          <t/>
        </is>
      </c>
      <c r="O648" t="n">
        <v>0.0</v>
      </c>
      <c r="P648" t="n">
        <v>0.0</v>
      </c>
      <c r="Q648" t="inlineStr">
        <is>
          <t/>
        </is>
      </c>
      <c r="R648" t="inlineStr">
        <is>
          <t/>
        </is>
      </c>
      <c r="S648" t="n">
        <v>0.0</v>
      </c>
      <c r="T648" t="n">
        <v>0.0</v>
      </c>
      <c r="U648" t="n">
        <v>0.0</v>
      </c>
      <c r="V648" t="n">
        <v>0.0</v>
      </c>
      <c r="W648" t="inlineStr">
        <is>
          <t/>
        </is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inlineStr">
        <is>
          <t/>
        </is>
      </c>
      <c r="AL648" t="inlineStr">
        <is>
          <t/>
        </is>
      </c>
    </row>
    <row r="649">
      <c r="A649" t="inlineStr">
        <is>
          <t>70块💰承包半月夜宵，这虾比泡面还值！</t>
        </is>
      </c>
      <c r="B649" t="inlineStr">
        <is>
          <t>690e0ba400000000040036d1</t>
        </is>
      </c>
      <c r="C649" s="648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649" t="inlineStr">
        <is>
          <t>鲜水湾</t>
        </is>
      </c>
      <c r="E649" t="inlineStr">
        <is>
          <t>49316638994</t>
        </is>
      </c>
      <c r="F649" t="inlineStr">
        <is>
          <t>2025-11-07 23:09:24</t>
        </is>
      </c>
      <c r="G649" t="inlineStr">
        <is>
          <t>图文</t>
        </is>
      </c>
      <c r="H649" t="inlineStr">
        <is>
          <t>大虾基围虾王牌大虾厄瓜多尔白虾盐冻虾仁海洋大虾送礼顺丰包邮</t>
        </is>
      </c>
      <c r="I649" t="inlineStr">
        <is>
          <t>690aeb7be379430001e686ac</t>
        </is>
      </c>
      <c r="J649" t="inlineStr">
        <is>
          <t/>
        </is>
      </c>
      <c r="K649" t="n">
        <v>0.0</v>
      </c>
      <c r="L649" t="n">
        <v>0.0</v>
      </c>
      <c r="M649" t="n">
        <v>0.0</v>
      </c>
      <c r="N649" t="inlineStr">
        <is>
          <t/>
        </is>
      </c>
      <c r="O649" t="n">
        <v>0.0</v>
      </c>
      <c r="P649" t="n">
        <v>0.0</v>
      </c>
      <c r="Q649" t="inlineStr">
        <is>
          <t/>
        </is>
      </c>
      <c r="R649" t="inlineStr">
        <is>
          <t/>
        </is>
      </c>
      <c r="S649" t="n">
        <v>0.0</v>
      </c>
      <c r="T649" t="n">
        <v>0.0</v>
      </c>
      <c r="U649" t="n">
        <v>0.0</v>
      </c>
      <c r="V649" t="n">
        <v>0.0</v>
      </c>
      <c r="W649" t="inlineStr">
        <is>
          <t/>
        </is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inlineStr">
        <is>
          <t/>
        </is>
      </c>
      <c r="AL649" t="inlineStr">
        <is>
          <t/>
        </is>
      </c>
    </row>
    <row r="650">
      <c r="A650" t="inlineStr">
        <is>
          <t>以为60💰很贵，结果够我一周减脂餐了！</t>
        </is>
      </c>
      <c r="B650" t="inlineStr">
        <is>
          <t>690d7e7d000000000700a650</t>
        </is>
      </c>
      <c r="C650" s="649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650" t="inlineStr">
        <is>
          <t>鲜水湾甄选</t>
        </is>
      </c>
      <c r="E650" t="inlineStr">
        <is>
          <t>27401929161</t>
        </is>
      </c>
      <c r="F650" t="inlineStr">
        <is>
          <t>2025-11-07 13:07:09</t>
        </is>
      </c>
      <c r="G650" t="inlineStr">
        <is>
          <t>图文</t>
        </is>
      </c>
      <c r="H650" t="inlineStr">
        <is>
          <t>大虾基围虾王牌大虾厄瓜多尔白虾盐冻虾仁海洋大虾送礼顺丰包邮</t>
        </is>
      </c>
      <c r="I650" t="inlineStr">
        <is>
          <t>690aeb7be379430001e686ac</t>
        </is>
      </c>
      <c r="J650" t="inlineStr">
        <is>
          <t/>
        </is>
      </c>
      <c r="K650" t="n">
        <v>0.0</v>
      </c>
      <c r="L650" t="n">
        <v>0.0</v>
      </c>
      <c r="M650" t="n">
        <v>0.0</v>
      </c>
      <c r="N650" t="inlineStr">
        <is>
          <t/>
        </is>
      </c>
      <c r="O650" t="n">
        <v>0.0</v>
      </c>
      <c r="P650" t="n">
        <v>0.0</v>
      </c>
      <c r="Q650" t="inlineStr">
        <is>
          <t/>
        </is>
      </c>
      <c r="R650" t="inlineStr">
        <is>
          <t/>
        </is>
      </c>
      <c r="S650" t="n">
        <v>0.0</v>
      </c>
      <c r="T650" t="n">
        <v>0.0</v>
      </c>
      <c r="U650" t="n">
        <v>0.0</v>
      </c>
      <c r="V650" t="n">
        <v>0.0</v>
      </c>
      <c r="W650" t="inlineStr">
        <is>
          <t/>
        </is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inlineStr">
        <is>
          <t/>
        </is>
      </c>
      <c r="AL65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2026-08-22T09:39:57Z</dcterms:created>
  <dc:creator>Apache POI</dc:creator>
</cp:coreProperties>
</file>