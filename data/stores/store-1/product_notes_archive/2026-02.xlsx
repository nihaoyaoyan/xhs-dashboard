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笔记数据-(2026年02月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4">
    <font>
      <sz val="11.0"/>
      <color indexed="8"/>
      <name val="Calibri"/>
      <family val="2"/>
      <scheme val="minor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</cols>
  <sheetData>
    <row r="1">
      <c r="A1" t="inlineStr">
        <is>
          <t>笔记标题</t>
        </is>
      </c>
      <c r="B1" t="inlineStr">
        <is>
          <t>笔记ID</t>
        </is>
      </c>
      <c r="C1" t="inlineStr">
        <is>
          <t>笔记链接</t>
        </is>
      </c>
      <c r="D1" t="inlineStr">
        <is>
          <t>作者昵称</t>
        </is>
      </c>
      <c r="E1" t="inlineStr">
        <is>
          <t>作者xhs_ID</t>
        </is>
      </c>
      <c r="F1" t="inlineStr">
        <is>
          <t>笔记创建时间</t>
        </is>
      </c>
      <c r="G1" t="inlineStr">
        <is>
          <t>笔记类型</t>
        </is>
      </c>
      <c r="H1" t="inlineStr">
        <is>
          <t>关联商品名称</t>
        </is>
      </c>
      <c r="I1" t="inlineStr">
        <is>
          <t>关联商品ID</t>
        </is>
      </c>
      <c r="J1" t="inlineStr">
        <is>
          <t>视频时长（秒）</t>
        </is>
      </c>
      <c r="K1" t="inlineStr">
        <is>
          <t>笔记支付金额</t>
        </is>
      </c>
      <c r="L1" t="inlineStr">
        <is>
          <t>笔记支付订单数</t>
        </is>
      </c>
      <c r="M1" t="inlineStr">
        <is>
          <t>笔记商品点击次数</t>
        </is>
      </c>
      <c r="N1" t="inlineStr">
        <is>
          <t>笔记商品点击率（PV）</t>
        </is>
      </c>
      <c r="O1" t="inlineStr">
        <is>
          <t>笔记商品点击人数</t>
        </is>
      </c>
      <c r="P1" t="inlineStr">
        <is>
          <t>笔记支付人数</t>
        </is>
      </c>
      <c r="Q1" t="inlineStr">
        <is>
          <t>笔记支付转化率（PV）</t>
        </is>
      </c>
      <c r="R1" t="inlineStr">
        <is>
          <t>笔记支付转化率（UV）</t>
        </is>
      </c>
      <c r="S1" t="inlineStr">
        <is>
          <t>笔记退款金额（退款时间）</t>
        </is>
      </c>
      <c r="T1" t="inlineStr">
        <is>
          <t>笔记退款订单数（退款时间）</t>
        </is>
      </c>
      <c r="U1" t="inlineStr">
        <is>
          <t>笔记退款人数（退款时间）</t>
        </is>
      </c>
      <c r="V1" t="inlineStr">
        <is>
          <t>笔记退款金额（支付时间）</t>
        </is>
      </c>
      <c r="W1" t="inlineStr">
        <is>
          <t>笔记退款率（支付时间）</t>
        </is>
      </c>
      <c r="X1" t="inlineStr">
        <is>
          <t>笔记退款订单数（支付时间）</t>
        </is>
      </c>
      <c r="Y1" t="inlineStr">
        <is>
          <t>笔记加购件数</t>
        </is>
      </c>
      <c r="Z1" t="inlineStr">
        <is>
          <t>引流店铺主页次数</t>
        </is>
      </c>
      <c r="AA1" t="inlineStr">
        <is>
          <t>引流店铺主页支付金额</t>
        </is>
      </c>
      <c r="AB1" t="inlineStr">
        <is>
          <t>引流直播间次数</t>
        </is>
      </c>
      <c r="AC1" t="inlineStr">
        <is>
          <t>引流直播间支付金额</t>
        </is>
      </c>
      <c r="AD1" t="inlineStr">
        <is>
          <t>笔记阅读数</t>
        </is>
      </c>
      <c r="AE1" t="inlineStr">
        <is>
          <t>点赞次数</t>
        </is>
      </c>
      <c r="AF1" t="inlineStr">
        <is>
          <t>收藏次数</t>
        </is>
      </c>
      <c r="AG1" t="inlineStr">
        <is>
          <t>评论次数</t>
        </is>
      </c>
      <c r="AH1" t="inlineStr">
        <is>
          <t>分享次数</t>
        </is>
      </c>
      <c r="AI1" t="inlineStr">
        <is>
          <t>笔记点击关注次数</t>
        </is>
      </c>
      <c r="AJ1" t="inlineStr">
        <is>
          <t>弹幕次数</t>
        </is>
      </c>
      <c r="AK1" t="inlineStr">
        <is>
          <t>平均阅读时长（观播时长）</t>
        </is>
      </c>
      <c r="AL1" t="inlineStr">
        <is>
          <t>完播率（PV）</t>
        </is>
      </c>
    </row>
    <row r="2">
      <c r="A2" t="inlineStr">
        <is>
          <t>99%的南方人都没吃过的北极甜虾你吃过吗</t>
        </is>
      </c>
      <c r="B2" t="inlineStr">
        <is>
          <t>6969f715000000000b00baef</t>
        </is>
      </c>
      <c r="C2" s="1" t="n">
        <f>HYPERLINK("https://www.xiaohongshu.com/explore/6969f715000000000b00baef?xsec_token=TBrfrRU4wM2w5bDKUviah5T-W9Hq5cH3-Hs-_19CceRQA=&amp;xsec_source=pc_trdark","https://www.xiaohongshu.com/explore/6969f715000000000b00baef?xsec_token=TBrfrRU4wM2w5bDKUviah5T-W9Hq5cH3-Hs-_19CceRQA=&amp;xsec_source=pc_trdark")</f>
        <v>0.0</v>
      </c>
      <c r="D2" t="inlineStr">
        <is>
          <t>鲜水湾甄选</t>
        </is>
      </c>
      <c r="E2" t="inlineStr">
        <is>
          <t>27401929161</t>
        </is>
      </c>
      <c r="F2" t="inlineStr">
        <is>
          <t>2026-01-16 16:30:13</t>
        </is>
      </c>
      <c r="G2" t="inlineStr">
        <is>
          <t>视频</t>
        </is>
      </c>
      <c r="H2" t="inlineStr">
        <is>
          <t>北极甜虾头籽甜虾元宝虾北极熊冰虾孕妈妈宝宝辅食顺丰</t>
        </is>
      </c>
      <c r="I2" t="inlineStr">
        <is>
          <t>6953717eb8f0bb000115158d</t>
        </is>
      </c>
      <c r="J2" t="n">
        <v>46.0</v>
      </c>
      <c r="K2" t="n">
        <v>336.0</v>
      </c>
      <c r="L2" t="n">
        <v>2.0</v>
      </c>
      <c r="M2" t="n">
        <v>76.0</v>
      </c>
      <c r="N2" t="inlineStr">
        <is>
          <t>0.029208301306687164</t>
        </is>
      </c>
      <c r="O2" t="n">
        <v>66.0</v>
      </c>
      <c r="P2" t="n">
        <v>2.0</v>
      </c>
      <c r="Q2" t="inlineStr">
        <is>
          <t>0.02631578947368421</t>
        </is>
      </c>
      <c r="R2" t="inlineStr">
        <is>
          <t>0.030303030303030304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12.0</v>
      </c>
      <c r="Z2" t="n">
        <v>11.0</v>
      </c>
      <c r="AA2" t="n">
        <v>0.0</v>
      </c>
      <c r="AB2" t="n">
        <v>0.0</v>
      </c>
      <c r="AC2" t="n">
        <v>0.0</v>
      </c>
      <c r="AD2" t="n">
        <v>2602.0</v>
      </c>
      <c r="AE2" t="n">
        <v>12.0</v>
      </c>
      <c r="AF2" t="n">
        <v>4.0</v>
      </c>
      <c r="AG2" t="n">
        <v>0.0</v>
      </c>
      <c r="AH2" t="n">
        <v>4.0</v>
      </c>
      <c r="AI2" t="n">
        <v>3.0</v>
      </c>
      <c r="AJ2" t="n">
        <v>0.0</v>
      </c>
      <c r="AK2" t="n">
        <v>16.991544965411222</v>
      </c>
      <c r="AL2" t="n">
        <v>0.1245493280891511</v>
      </c>
    </row>
    <row r="3">
      <c r="A3" t="inlineStr">
        <is>
          <t>买回来的生蚝你就这样做，巨好吃😋</t>
        </is>
      </c>
      <c r="B3" t="inlineStr">
        <is>
          <t>6953c1ef000000001f00d45c</t>
        </is>
      </c>
      <c r="C3" s="2" t="n">
        <f>HYPERLINK("https://www.xiaohongshu.com/explore/6953c1ef000000001f00d45c?xsec_token=TBmzMOJ_zly84G2ZjeUVNrpfWnor3sDEbGcCZUVnr-0yY=&amp;xsec_source=pc_trdark","https://www.xiaohongshu.com/explore/6953c1ef000000001f00d45c?xsec_token=TBmzMOJ_zly84G2ZjeUVNrpfWnor3sDEbGcCZUVnr-0yY=&amp;xsec_source=pc_trdark")</f>
        <v>0.0</v>
      </c>
      <c r="D3" t="inlineStr">
        <is>
          <t>婉婉上班吃什么</t>
        </is>
      </c>
      <c r="E3" t="inlineStr">
        <is>
          <t>11434449706</t>
        </is>
      </c>
      <c r="F3" t="inlineStr">
        <is>
          <t>2025-12-30 20:13:36</t>
        </is>
      </c>
      <c r="G3" t="inlineStr">
        <is>
          <t>视频</t>
        </is>
      </c>
      <c r="H3" t="inlineStr">
        <is>
          <t>生蚝乳山生蚝海蛎子顺丰包邮</t>
        </is>
      </c>
      <c r="I3" t="inlineStr">
        <is>
          <t>690c70971b787900010866cc</t>
        </is>
      </c>
      <c r="J3" t="n">
        <v>55.0</v>
      </c>
      <c r="K3" t="n">
        <v>0.0</v>
      </c>
      <c r="L3" t="n">
        <v>0.0</v>
      </c>
      <c r="M3" t="n">
        <v>23.0</v>
      </c>
      <c r="N3" t="inlineStr">
        <is>
          <t>0.009387755102040816</t>
        </is>
      </c>
      <c r="O3" t="n">
        <v>20.0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inlineStr">
        <is>
          <t/>
        </is>
      </c>
      <c r="X3" t="n">
        <v>0.0</v>
      </c>
      <c r="Y3" t="n">
        <v>1.0</v>
      </c>
      <c r="Z3" t="n">
        <v>14.0</v>
      </c>
      <c r="AA3" t="n">
        <v>0.0</v>
      </c>
      <c r="AB3" t="n">
        <v>0.0</v>
      </c>
      <c r="AC3" t="n">
        <v>0.0</v>
      </c>
      <c r="AD3" t="n">
        <v>2450.0</v>
      </c>
      <c r="AE3" t="n">
        <v>10.0</v>
      </c>
      <c r="AF3" t="n">
        <v>13.0</v>
      </c>
      <c r="AG3" t="n">
        <v>1.0</v>
      </c>
      <c r="AH3" t="n">
        <v>11.0</v>
      </c>
      <c r="AI3" t="n">
        <v>2.0</v>
      </c>
      <c r="AJ3" t="n">
        <v>0.0</v>
      </c>
      <c r="AK3" t="n">
        <v>27.690204081632654</v>
      </c>
      <c r="AL3" t="inlineStr">
        <is>
          <t>0.17414836039477874</t>
        </is>
      </c>
    </row>
    <row r="4">
      <c r="A4" t="inlineStr">
        <is>
          <t>又到吃生蚝的季节了！🔥</t>
        </is>
      </c>
      <c r="B4" t="inlineStr">
        <is>
          <t>691090c7000000000503163c</t>
        </is>
      </c>
      <c r="C4" s="3" t="n">
        <f>HYPERLINK("https://www.xiaohongshu.com/explore/691090c7000000000503163c?xsec_token=TBUjpd2w0LBMv9oJsd0xbTvJFCxAqWbZPRJB7jhMDNDKk=&amp;xsec_source=pc_trdark","https://www.xiaohongshu.com/explore/691090c7000000000503163c?xsec_token=TBUjpd2w0LBMv9oJsd0xbTvJFCxAqWbZPRJB7jhMDNDKk=&amp;xsec_source=pc_trdark")</f>
        <v>0.0</v>
      </c>
      <c r="D4" t="inlineStr">
        <is>
          <t>婉婉上班吃什么</t>
        </is>
      </c>
      <c r="E4" t="inlineStr">
        <is>
          <t>11434449706</t>
        </is>
      </c>
      <c r="F4" t="inlineStr">
        <is>
          <t>2025-11-09 21:01:59</t>
        </is>
      </c>
      <c r="G4" t="inlineStr">
        <is>
          <t>视频</t>
        </is>
      </c>
      <c r="H4" t="inlineStr">
        <is>
          <t>生蚝乳山生蚝海蛎子顺丰包邮</t>
        </is>
      </c>
      <c r="I4" t="inlineStr">
        <is>
          <t>690c70971b787900010866cc</t>
        </is>
      </c>
      <c r="J4" t="n">
        <v>95.0</v>
      </c>
      <c r="K4" t="n">
        <v>0.0</v>
      </c>
      <c r="L4" t="n">
        <v>0.0</v>
      </c>
      <c r="M4" t="n">
        <v>32.0</v>
      </c>
      <c r="N4" t="inlineStr">
        <is>
          <t>0.022519352568613652</t>
        </is>
      </c>
      <c r="O4" t="n">
        <v>29.0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inlineStr">
        <is>
          <t/>
        </is>
      </c>
      <c r="X4" t="n">
        <v>0.0</v>
      </c>
      <c r="Y4" t="n">
        <v>2.0</v>
      </c>
      <c r="Z4" t="n">
        <v>12.0</v>
      </c>
      <c r="AA4" t="n">
        <v>0.0</v>
      </c>
      <c r="AB4" t="n">
        <v>0.0</v>
      </c>
      <c r="AC4" t="n">
        <v>0.0</v>
      </c>
      <c r="AD4" t="n">
        <v>1421.0</v>
      </c>
      <c r="AE4" t="n">
        <v>8.0</v>
      </c>
      <c r="AF4" t="n">
        <v>2.0</v>
      </c>
      <c r="AG4" t="n">
        <v>0.0</v>
      </c>
      <c r="AH4" t="n">
        <v>0.0</v>
      </c>
      <c r="AI4" t="n">
        <v>2.0</v>
      </c>
      <c r="AJ4" t="n">
        <v>0.0</v>
      </c>
      <c r="AK4" t="n">
        <v>16.390570021111895</v>
      </c>
      <c r="AL4" t="n">
        <v>0.042</v>
      </c>
    </row>
    <row r="5">
      <c r="A5" t="inlineStr">
        <is>
          <t>小月龄宝宝也可以放心吃的甜虾</t>
        </is>
      </c>
      <c r="B5" t="inlineStr">
        <is>
          <t>696d934e000000000c03739d</t>
        </is>
      </c>
      <c r="C5" s="4" t="n">
        <f>HYPERLINK("https://www.xiaohongshu.com/explore/696d934e000000000c03739d?xsec_token=TBhBdCGGh1NnVPomuS6-J4HwnPfzoQjjmMIF8f8-czTKA=&amp;xsec_source=pc_trdark","https://www.xiaohongshu.com/explore/696d934e000000000c03739d?xsec_token=TBhBdCGGh1NnVPomuS6-J4HwnPfzoQjjmMIF8f8-czTKA=&amp;xsec_source=pc_trdark")</f>
        <v>0.0</v>
      </c>
      <c r="D5" t="inlineStr">
        <is>
          <t>鲜水湾甄选</t>
        </is>
      </c>
      <c r="E5" t="inlineStr">
        <is>
          <t>27401929161</t>
        </is>
      </c>
      <c r="F5" t="inlineStr">
        <is>
          <t>2026-01-19 15:23:00</t>
        </is>
      </c>
      <c r="G5" t="inlineStr">
        <is>
          <t>视频</t>
        </is>
      </c>
      <c r="H5" t="inlineStr">
        <is>
          <t>北极甜虾头籽甜虾元宝虾北极熊冰虾孕妈妈宝宝辅食顺丰</t>
        </is>
      </c>
      <c r="I5" t="inlineStr">
        <is>
          <t>6953717eb8f0bb000115158d</t>
        </is>
      </c>
      <c r="J5" t="n">
        <v>35.0</v>
      </c>
      <c r="K5" t="n">
        <v>277.9</v>
      </c>
      <c r="L5" t="n">
        <v>2.0</v>
      </c>
      <c r="M5" t="n">
        <v>36.0</v>
      </c>
      <c r="N5" t="inlineStr">
        <is>
          <t>0.03837953091684435</t>
        </is>
      </c>
      <c r="O5" t="n">
        <v>33.0</v>
      </c>
      <c r="P5" t="n">
        <v>2.0</v>
      </c>
      <c r="Q5" t="inlineStr">
        <is>
          <t>0.05555555555555555</t>
        </is>
      </c>
      <c r="R5" t="inlineStr">
        <is>
          <t>0.06060606060606061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5.0</v>
      </c>
      <c r="Z5" t="n">
        <v>1.0</v>
      </c>
      <c r="AA5" t="n">
        <v>0.0</v>
      </c>
      <c r="AB5" t="n">
        <v>0.0</v>
      </c>
      <c r="AC5" t="n">
        <v>0.0</v>
      </c>
      <c r="AD5" t="n">
        <v>938.0</v>
      </c>
      <c r="AE5" t="n">
        <v>4.0</v>
      </c>
      <c r="AF5" t="n">
        <v>2.0</v>
      </c>
      <c r="AG5" t="n">
        <v>0.0</v>
      </c>
      <c r="AH5" t="n">
        <v>2.0</v>
      </c>
      <c r="AI5" t="n">
        <v>1.0</v>
      </c>
      <c r="AJ5" t="n">
        <v>0.0</v>
      </c>
      <c r="AK5" t="n">
        <v>16.591684434968016</v>
      </c>
      <c r="AL5" t="n">
        <v>0.1930567315834039</v>
      </c>
    </row>
    <row r="6">
      <c r="A6" t="inlineStr">
        <is>
          <t>我妈：你就卖点好的，贵点没关系</t>
        </is>
      </c>
      <c r="B6" t="inlineStr">
        <is>
          <t>69733ba5000000000b012ea6</t>
        </is>
      </c>
      <c r="C6" s="5" t="n">
        <f>HYPERLINK("https://www.xiaohongshu.com/explore/69733ba5000000000b012ea6?xsec_token=TBK07qywxRjCZuuyJUweFeXzWpMfGOIYuVR7tfyDWyPPY=&amp;xsec_source=pc_trdark","https://www.xiaohongshu.com/explore/69733ba5000000000b012ea6?xsec_token=TBK07qywxRjCZuuyJUweFeXzWpMfGOIYuVR7tfyDWyPPY=&amp;xsec_source=pc_trdark")</f>
        <v>0.0</v>
      </c>
      <c r="D6" t="inlineStr">
        <is>
          <t>鲜水湾甄选</t>
        </is>
      </c>
      <c r="E6" t="inlineStr">
        <is>
          <t>27401929161</t>
        </is>
      </c>
      <c r="F6" t="inlineStr">
        <is>
          <t>2026-01-23 17:13:09</t>
        </is>
      </c>
      <c r="G6" t="inlineStr">
        <is>
          <t>图文</t>
        </is>
      </c>
      <c r="H6" t="inlineStr">
        <is>
          <t>北极甜虾头籽甜虾元宝虾北极熊冰虾孕妈妈宝宝辅食顺丰</t>
        </is>
      </c>
      <c r="I6" t="inlineStr">
        <is>
          <t>6953717eb8f0bb000115158d</t>
        </is>
      </c>
      <c r="J6" t="inlineStr">
        <is>
          <t/>
        </is>
      </c>
      <c r="K6" t="n">
        <v>158.0</v>
      </c>
      <c r="L6" t="n">
        <v>1.0</v>
      </c>
      <c r="M6" t="n">
        <v>131.0</v>
      </c>
      <c r="N6" t="n">
        <v>0.1723684210526316</v>
      </c>
      <c r="O6" t="n">
        <v>116.0</v>
      </c>
      <c r="P6" t="n">
        <v>1.0</v>
      </c>
      <c r="Q6" t="inlineStr">
        <is>
          <t>0.007633587786259542</t>
        </is>
      </c>
      <c r="R6" t="inlineStr">
        <is>
          <t>0.008620689655172414</t>
        </is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10.0</v>
      </c>
      <c r="Z6" t="n">
        <v>20.0</v>
      </c>
      <c r="AA6" t="n">
        <v>0.0</v>
      </c>
      <c r="AB6" t="n">
        <v>0.0</v>
      </c>
      <c r="AC6" t="n">
        <v>0.0</v>
      </c>
      <c r="AD6" t="n">
        <v>760.0</v>
      </c>
      <c r="AE6" t="n">
        <v>4.0</v>
      </c>
      <c r="AF6" t="n">
        <v>0.0</v>
      </c>
      <c r="AG6" t="n">
        <v>0.0</v>
      </c>
      <c r="AH6" t="n">
        <v>4.0</v>
      </c>
      <c r="AI6" t="n">
        <v>0.0</v>
      </c>
      <c r="AJ6" t="n">
        <v>0.0</v>
      </c>
      <c r="AK6" t="n">
        <v>9.363157894736842</v>
      </c>
      <c r="AL6" t="inlineStr">
        <is>
          <t/>
        </is>
      </c>
    </row>
    <row r="7">
      <c r="A7" t="inlineStr">
        <is>
          <t>建议男人过了40多吃生蚝，40+一箱的生蚝真肥</t>
        </is>
      </c>
      <c r="B7" t="inlineStr">
        <is>
          <t>69509b7b000000001e0242ce</t>
        </is>
      </c>
      <c r="C7" s="6" t="n">
        <f>HYPERLINK("https://www.xiaohongshu.com/explore/69509b7b000000001e0242ce?xsec_token=TBZlsVk_u522I8N-JhGtRMDt_31dwPsls_8oOedinU-fs=&amp;xsec_source=pc_trdark","https://www.xiaohongshu.com/explore/69509b7b000000001e0242ce?xsec_token=TBZlsVk_u522I8N-JhGtRMDt_31dwPsls_8oOedinU-fs=&amp;xsec_source=pc_trdark")</f>
        <v>0.0</v>
      </c>
      <c r="D7" t="inlineStr">
        <is>
          <t>婉婉上班吃什么</t>
        </is>
      </c>
      <c r="E7" t="inlineStr">
        <is>
          <t>11434449706</t>
        </is>
      </c>
      <c r="F7" t="inlineStr">
        <is>
          <t>2025-12-28 10:52:43</t>
        </is>
      </c>
      <c r="G7" t="inlineStr">
        <is>
          <t>图文</t>
        </is>
      </c>
      <c r="H7" t="inlineStr">
        <is>
          <t>生蚝乳山生蚝海蛎子顺丰包邮</t>
        </is>
      </c>
      <c r="I7" t="inlineStr">
        <is>
          <t>690c70971b787900010866cc</t>
        </is>
      </c>
      <c r="J7" t="inlineStr">
        <is>
          <t/>
        </is>
      </c>
      <c r="K7" t="n">
        <v>0.0</v>
      </c>
      <c r="L7" t="n">
        <v>0.0</v>
      </c>
      <c r="M7" t="n">
        <v>69.0</v>
      </c>
      <c r="N7" t="n">
        <v>0.0994236311239193</v>
      </c>
      <c r="O7" t="n">
        <v>61.0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inlineStr">
        <is>
          <t/>
        </is>
      </c>
      <c r="X7" t="n">
        <v>0.0</v>
      </c>
      <c r="Y7" t="n">
        <v>8.0</v>
      </c>
      <c r="Z7" t="n">
        <v>26.0</v>
      </c>
      <c r="AA7" t="n">
        <v>0.0</v>
      </c>
      <c r="AB7" t="n">
        <v>0.0</v>
      </c>
      <c r="AC7" t="n">
        <v>0.0</v>
      </c>
      <c r="AD7" t="n">
        <v>694.0</v>
      </c>
      <c r="AE7" t="n">
        <v>6.0</v>
      </c>
      <c r="AF7" t="n">
        <v>1.0</v>
      </c>
      <c r="AG7" t="n">
        <v>0.0</v>
      </c>
      <c r="AH7" t="n">
        <v>0.0</v>
      </c>
      <c r="AI7" t="n">
        <v>0.0</v>
      </c>
      <c r="AJ7" t="n">
        <v>0.0</v>
      </c>
      <c r="AK7" t="n">
        <v>12.187319884726225</v>
      </c>
      <c r="AL7" t="inlineStr">
        <is>
          <t/>
        </is>
      </c>
    </row>
    <row r="8">
      <c r="A8" t="inlineStr">
        <is>
          <t>爆浆的生蚝能吃吗？</t>
        </is>
      </c>
      <c r="B8" t="inlineStr">
        <is>
          <t>691ed184000000001f008fde</t>
        </is>
      </c>
      <c r="C8" s="7" t="n">
        <f>HYPERLINK("https://www.xiaohongshu.com/explore/691ed184000000001f008fde?xsec_token=TBP5gqTrG7DCZJhae0kWWz8FB-IXxbZH93VjaVQAM6cMc=&amp;xsec_source=pc_trdark","https://www.xiaohongshu.com/explore/691ed184000000001f008fde?xsec_token=TBP5gqTrG7DCZJhae0kWWz8FB-IXxbZH93VjaVQAM6cMc=&amp;xsec_source=pc_trdark")</f>
        <v>0.0</v>
      </c>
      <c r="D8" t="inlineStr">
        <is>
          <t>婉婉上班吃什么</t>
        </is>
      </c>
      <c r="E8" t="inlineStr">
        <is>
          <t>11434449706</t>
        </is>
      </c>
      <c r="F8" t="inlineStr">
        <is>
          <t>2025-11-20 17:29:55</t>
        </is>
      </c>
      <c r="G8" t="inlineStr">
        <is>
          <t>视频</t>
        </is>
      </c>
      <c r="H8" t="inlineStr">
        <is>
          <t>生蚝乳山生蚝海蛎子顺丰包邮</t>
        </is>
      </c>
      <c r="I8" t="inlineStr">
        <is>
          <t>690c70971b787900010866cc</t>
        </is>
      </c>
      <c r="J8" t="n">
        <v>33.0</v>
      </c>
      <c r="K8" t="n">
        <v>0.0</v>
      </c>
      <c r="L8" t="n">
        <v>0.0</v>
      </c>
      <c r="M8" t="n">
        <v>2.0</v>
      </c>
      <c r="N8" t="inlineStr">
        <is>
          <t>0.00322061191626409</t>
        </is>
      </c>
      <c r="O8" t="n">
        <v>2.0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inlineStr">
        <is>
          <t/>
        </is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621.0</v>
      </c>
      <c r="AE8" t="n">
        <v>2.0</v>
      </c>
      <c r="AF8" t="n">
        <v>1.0</v>
      </c>
      <c r="AG8" t="n">
        <v>0.0</v>
      </c>
      <c r="AH8" t="n">
        <v>1.0</v>
      </c>
      <c r="AI8" t="n">
        <v>0.0</v>
      </c>
      <c r="AJ8" t="n">
        <v>0.0</v>
      </c>
      <c r="AK8" t="n">
        <v>23.682769726247987</v>
      </c>
      <c r="AL8" t="inlineStr">
        <is>
          <t>0.31890179514255546</t>
        </is>
      </c>
    </row>
    <row r="9">
      <c r="A9" t="inlineStr">
        <is>
          <t>40多的乳山生蚝太肥了！好好吃啊</t>
        </is>
      </c>
      <c r="B9" t="inlineStr">
        <is>
          <t>694b5431000000001e00acd4</t>
        </is>
      </c>
      <c r="C9" s="8" t="n">
        <f>HYPERLINK("https://www.xiaohongshu.com/explore/694b5431000000001e00acd4?xsec_token=TBJ1d3lsVKl7u73DozgnzSfvzPKARdzhfUzdrmxgDiM1Q=&amp;xsec_source=pc_trdark","https://www.xiaohongshu.com/explore/694b5431000000001e00acd4?xsec_token=TBJ1d3lsVKl7u73DozgnzSfvzPKARdzhfUzdrmxgDiM1Q=&amp;xsec_source=pc_trdark")</f>
        <v>0.0</v>
      </c>
      <c r="D9" t="inlineStr">
        <is>
          <t>婉婉上班吃什么</t>
        </is>
      </c>
      <c r="E9" t="inlineStr">
        <is>
          <t>11434449706</t>
        </is>
      </c>
      <c r="F9" t="inlineStr">
        <is>
          <t>2025-12-24 10:47:13</t>
        </is>
      </c>
      <c r="G9" t="inlineStr">
        <is>
          <t>视频</t>
        </is>
      </c>
      <c r="H9" t="inlineStr">
        <is>
          <t>生蚝乳山生蚝海蛎子顺丰包邮</t>
        </is>
      </c>
      <c r="I9" t="inlineStr">
        <is>
          <t>690c70971b787900010866cc</t>
        </is>
      </c>
      <c r="J9" t="n">
        <v>31.0</v>
      </c>
      <c r="K9" t="n">
        <v>0.0</v>
      </c>
      <c r="L9" t="n">
        <v>0.0</v>
      </c>
      <c r="M9" t="n">
        <v>24.0</v>
      </c>
      <c r="N9" t="inlineStr">
        <is>
          <t>0.041025641025641026</t>
        </is>
      </c>
      <c r="O9" t="n">
        <v>19.0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inlineStr">
        <is>
          <t/>
        </is>
      </c>
      <c r="X9" t="n">
        <v>0.0</v>
      </c>
      <c r="Y9" t="n">
        <v>3.0</v>
      </c>
      <c r="Z9" t="n">
        <v>3.0</v>
      </c>
      <c r="AA9" t="n">
        <v>0.0</v>
      </c>
      <c r="AB9" t="n">
        <v>0.0</v>
      </c>
      <c r="AC9" t="n">
        <v>0.0</v>
      </c>
      <c r="AD9" t="n">
        <v>585.0</v>
      </c>
      <c r="AE9" t="n">
        <v>4.0</v>
      </c>
      <c r="AF9" t="n">
        <v>0.0</v>
      </c>
      <c r="AG9" t="n">
        <v>0.0</v>
      </c>
      <c r="AH9" t="n">
        <v>0.0</v>
      </c>
      <c r="AI9" t="n">
        <v>1.0</v>
      </c>
      <c r="AJ9" t="n">
        <v>0.0</v>
      </c>
      <c r="AK9" t="n">
        <v>6.447863247863248</v>
      </c>
      <c r="AL9" t="inlineStr">
        <is>
          <t>0.051696284329563816</t>
        </is>
      </c>
    </row>
    <row r="10">
      <c r="A10" t="inlineStr">
        <is>
          <t>生蚝一箱也是码头价，运费算我的！</t>
        </is>
      </c>
      <c r="B10" t="inlineStr">
        <is>
          <t>6916f793000000001b0218c5</t>
        </is>
      </c>
      <c r="C10" s="9" t="n">
        <f>HYPERLINK("https://www.xiaohongshu.com/explore/6916f793000000001b0218c5?xsec_token=TBHZiehrAOyLGw_5sWYDTDSWrChgb-eZfgntb9OL-2Tjw=&amp;xsec_source=pc_trdark","https://www.xiaohongshu.com/explore/6916f793000000001b0218c5?xsec_token=TBHZiehrAOyLGw_5sWYDTDSWrChgb-eZfgntb9OL-2Tjw=&amp;xsec_source=pc_trdark")</f>
        <v>0.0</v>
      </c>
      <c r="D10" t="inlineStr">
        <is>
          <t>婉婉上班吃什么</t>
        </is>
      </c>
      <c r="E10" t="inlineStr">
        <is>
          <t>11434449706</t>
        </is>
      </c>
      <c r="F10" t="inlineStr">
        <is>
          <t>2025-11-14 17:34:11</t>
        </is>
      </c>
      <c r="G10" t="inlineStr">
        <is>
          <t>视频</t>
        </is>
      </c>
      <c r="H10" t="inlineStr">
        <is>
          <t>生蚝乳山生蚝海蛎子顺丰包邮</t>
        </is>
      </c>
      <c r="I10" t="inlineStr">
        <is>
          <t>690c70971b787900010866cc</t>
        </is>
      </c>
      <c r="J10" t="n">
        <v>30.0</v>
      </c>
      <c r="K10" t="n">
        <v>289.70000000000005</v>
      </c>
      <c r="L10" t="n">
        <v>3.0</v>
      </c>
      <c r="M10" t="n">
        <v>98.0</v>
      </c>
      <c r="N10" t="inlineStr">
        <is>
          <t>0.19066147859922178</t>
        </is>
      </c>
      <c r="O10" t="n">
        <v>82.0</v>
      </c>
      <c r="P10" t="n">
        <v>3.0</v>
      </c>
      <c r="Q10" t="inlineStr">
        <is>
          <t>0.030612244897959183</t>
        </is>
      </c>
      <c r="R10" t="inlineStr">
        <is>
          <t>0.036585365853658534</t>
        </is>
      </c>
      <c r="S10" t="n">
        <v>79.9</v>
      </c>
      <c r="T10" t="n">
        <v>1.0</v>
      </c>
      <c r="U10" t="n">
        <v>1.0</v>
      </c>
      <c r="V10" t="n">
        <v>79.9</v>
      </c>
      <c r="W10" t="n">
        <v>0.2758025543665861</v>
      </c>
      <c r="X10" t="n">
        <v>1.0</v>
      </c>
      <c r="Y10" t="n">
        <v>12.0</v>
      </c>
      <c r="Z10" t="n">
        <v>20.0</v>
      </c>
      <c r="AA10" t="n">
        <v>0.0</v>
      </c>
      <c r="AB10" t="n">
        <v>0.0</v>
      </c>
      <c r="AC10" t="n">
        <v>0.0</v>
      </c>
      <c r="AD10" t="n">
        <v>514.0</v>
      </c>
      <c r="AE10" t="n">
        <v>2.0</v>
      </c>
      <c r="AF10" t="n">
        <v>0.0</v>
      </c>
      <c r="AG10" t="n">
        <v>0.0</v>
      </c>
      <c r="AH10" t="n">
        <v>3.0</v>
      </c>
      <c r="AI10" t="n">
        <v>2.0</v>
      </c>
      <c r="AJ10" t="n">
        <v>0.0</v>
      </c>
      <c r="AK10" t="n">
        <v>17.554474708171206</v>
      </c>
      <c r="AL10" t="n">
        <v>0.2</v>
      </c>
    </row>
    <row r="11">
      <c r="A11" t="inlineStr">
        <is>
          <t>才69一盒？还发顺丰！很难不买单</t>
        </is>
      </c>
      <c r="B11" t="inlineStr">
        <is>
          <t>698ae027000000000e03cef2</t>
        </is>
      </c>
      <c r="C11" s="10" t="n">
        <f>HYPERLINK("https://www.xiaohongshu.com/explore/698ae027000000000e03cef2?xsec_token=TBG0mKfxVH0N0QJz26OSUyhW-ynmI2DfpMtklv7EqnPlg=&amp;xsec_source=pc_trdark","https://www.xiaohongshu.com/explore/698ae027000000000e03cef2?xsec_token=TBG0mKfxVH0N0QJz26OSUyhW-ynmI2DfpMtklv7EqnPlg=&amp;xsec_source=pc_trdark")</f>
        <v>0.0</v>
      </c>
      <c r="D11" t="inlineStr">
        <is>
          <t>鲜水湾</t>
        </is>
      </c>
      <c r="E11" t="inlineStr">
        <is>
          <t>49316638994</t>
        </is>
      </c>
      <c r="F11" t="inlineStr">
        <is>
          <t>2026-02-10 15:37:11</t>
        </is>
      </c>
      <c r="G11" t="inlineStr">
        <is>
          <t>图文</t>
        </is>
      </c>
      <c r="H11" t="inlineStr">
        <is>
          <t>大虾基围虾王牌大虾厄瓜多尔白虾盐冻虾仁海洋大虾送礼顺丰包邮</t>
        </is>
      </c>
      <c r="I11" t="inlineStr">
        <is>
          <t>690aeb7be379430001e686ac</t>
        </is>
      </c>
      <c r="J11" t="inlineStr">
        <is>
          <t/>
        </is>
      </c>
      <c r="K11" t="n">
        <v>69.0</v>
      </c>
      <c r="L11" t="n">
        <v>1.0</v>
      </c>
      <c r="M11" t="n">
        <v>121.0</v>
      </c>
      <c r="N11" t="inlineStr">
        <is>
          <t>0.24897119341563786</t>
        </is>
      </c>
      <c r="O11" t="n">
        <v>105.0</v>
      </c>
      <c r="P11" t="n">
        <v>1.0</v>
      </c>
      <c r="Q11" t="inlineStr">
        <is>
          <t>0.008264462809917356</t>
        </is>
      </c>
      <c r="R11" t="inlineStr">
        <is>
          <t>0.009523809523809525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14.0</v>
      </c>
      <c r="Z11" t="n">
        <v>15.0</v>
      </c>
      <c r="AA11" t="n">
        <v>0.0</v>
      </c>
      <c r="AB11" t="n">
        <v>0.0</v>
      </c>
      <c r="AC11" t="n">
        <v>0.0</v>
      </c>
      <c r="AD11" t="n">
        <v>486.0</v>
      </c>
      <c r="AE11" t="n">
        <v>3.0</v>
      </c>
      <c r="AF11" t="n">
        <v>0.0</v>
      </c>
      <c r="AG11" t="n">
        <v>5.0</v>
      </c>
      <c r="AH11" t="n">
        <v>0.0</v>
      </c>
      <c r="AI11" t="n">
        <v>0.0</v>
      </c>
      <c r="AJ11" t="n">
        <v>0.0</v>
      </c>
      <c r="AK11" t="n">
        <v>8.897119341563785</v>
      </c>
      <c r="AL11" t="inlineStr">
        <is>
          <t/>
        </is>
      </c>
    </row>
    <row r="12">
      <c r="A12" t="inlineStr">
        <is>
          <t>头籽北极甜虾你真的会吃吗？</t>
        </is>
      </c>
      <c r="B12" t="inlineStr">
        <is>
          <t>696d8eb3000000000c035e5e</t>
        </is>
      </c>
      <c r="C12" s="11" t="n">
        <f>HYPERLINK("https://www.xiaohongshu.com/explore/696d8eb3000000000c035e5e?xsec_token=TBhBdCGGh1NnVPomuS6-J4H6RT9tyPrUpjWMHTUUrQzKY=&amp;xsec_source=pc_trdark","https://www.xiaohongshu.com/explore/696d8eb3000000000c035e5e?xsec_token=TBhBdCGGh1NnVPomuS6-J4H6RT9tyPrUpjWMHTUUrQzKY=&amp;xsec_source=pc_trdark")</f>
        <v>0.0</v>
      </c>
      <c r="D12" t="inlineStr">
        <is>
          <t>鲜水湾甄选</t>
        </is>
      </c>
      <c r="E12" t="inlineStr">
        <is>
          <t>27401929161</t>
        </is>
      </c>
      <c r="F12" t="inlineStr">
        <is>
          <t>2026-01-19 09:53:55</t>
        </is>
      </c>
      <c r="G12" t="inlineStr">
        <is>
          <t>视频</t>
        </is>
      </c>
      <c r="H12" t="inlineStr">
        <is>
          <t>北极甜虾头籽甜虾元宝虾北极熊冰虾孕妈妈宝宝辅食顺丰</t>
        </is>
      </c>
      <c r="I12" t="inlineStr">
        <is>
          <t>6953717eb8f0bb000115158d</t>
        </is>
      </c>
      <c r="J12" t="n">
        <v>42.0</v>
      </c>
      <c r="K12" t="n">
        <v>158.0</v>
      </c>
      <c r="L12" t="n">
        <v>1.0</v>
      </c>
      <c r="M12" t="n">
        <v>15.0</v>
      </c>
      <c r="N12" t="inlineStr">
        <is>
          <t>0.033936651583710405</t>
        </is>
      </c>
      <c r="O12" t="n">
        <v>14.0</v>
      </c>
      <c r="P12" t="n">
        <v>1.0</v>
      </c>
      <c r="Q12" t="inlineStr">
        <is>
          <t>0.06666666666666667</t>
        </is>
      </c>
      <c r="R12" t="inlineStr">
        <is>
          <t>0.07142857142857142</t>
        </is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4.0</v>
      </c>
      <c r="Z12" t="n">
        <v>3.0</v>
      </c>
      <c r="AA12" t="n">
        <v>0.0</v>
      </c>
      <c r="AB12" t="n">
        <v>0.0</v>
      </c>
      <c r="AC12" t="n">
        <v>0.0</v>
      </c>
      <c r="AD12" t="n">
        <v>442.0</v>
      </c>
      <c r="AE12" t="n">
        <v>2.0</v>
      </c>
      <c r="AF12" t="n">
        <v>1.0</v>
      </c>
      <c r="AG12" t="n">
        <v>0.0</v>
      </c>
      <c r="AH12" t="n">
        <v>1.0</v>
      </c>
      <c r="AI12" t="n">
        <v>1.0</v>
      </c>
      <c r="AJ12" t="n">
        <v>0.0</v>
      </c>
      <c r="AK12" t="n">
        <v>11.364253393665159</v>
      </c>
      <c r="AL12" t="inlineStr">
        <is>
          <t>0.08624229979466119</t>
        </is>
      </c>
    </row>
    <row r="13">
      <c r="A13" t="inlineStr">
        <is>
          <t>100+可以买到这种品质的北极甜虾吗</t>
        </is>
      </c>
      <c r="B13" t="inlineStr">
        <is>
          <t>69806aed000000000a0282c5</t>
        </is>
      </c>
      <c r="C13" s="12" t="n">
        <f>HYPERLINK("https://www.xiaohongshu.com/explore/69806aed000000000a0282c5?xsec_token=TBZp4EcwSVhJKyeKQt7CpumcXCYw8KbWaMlDMf-Q22wcY=&amp;xsec_source=pc_trdark","https://www.xiaohongshu.com/explore/69806aed000000000a0282c5?xsec_token=TBZp4EcwSVhJKyeKQt7CpumcXCYw8KbWaMlDMf-Q22wcY=&amp;xsec_source=pc_trdark")</f>
        <v>0.0</v>
      </c>
      <c r="D13" t="inlineStr">
        <is>
          <t>鲜水湾甄选</t>
        </is>
      </c>
      <c r="E13" t="inlineStr">
        <is>
          <t>27401929161</t>
        </is>
      </c>
      <c r="F13" t="inlineStr">
        <is>
          <t>2026-02-02 17:14:21</t>
        </is>
      </c>
      <c r="G13" t="inlineStr">
        <is>
          <t>视频</t>
        </is>
      </c>
      <c r="H13" t="inlineStr">
        <is>
          <t>北极甜虾头籽甜虾元宝虾北极熊冰虾孕妈妈宝宝辅食顺丰</t>
        </is>
      </c>
      <c r="I13" t="inlineStr">
        <is>
          <t>6953717eb8f0bb000115158d</t>
        </is>
      </c>
      <c r="J13" t="n">
        <v>41.0</v>
      </c>
      <c r="K13" t="n">
        <v>139.0</v>
      </c>
      <c r="L13" t="n">
        <v>1.0</v>
      </c>
      <c r="M13" t="n">
        <v>37.0</v>
      </c>
      <c r="N13" t="inlineStr">
        <is>
          <t>0.08545034642032333</t>
        </is>
      </c>
      <c r="O13" t="n">
        <v>30.0</v>
      </c>
      <c r="P13" t="n">
        <v>1.0</v>
      </c>
      <c r="Q13" t="inlineStr">
        <is>
          <t>0.02702702702702703</t>
        </is>
      </c>
      <c r="R13" t="inlineStr">
        <is>
          <t>0.03333333333333333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2.0</v>
      </c>
      <c r="Z13" t="n">
        <v>2.0</v>
      </c>
      <c r="AA13" t="n">
        <v>0.0</v>
      </c>
      <c r="AB13" t="n">
        <v>0.0</v>
      </c>
      <c r="AC13" t="n">
        <v>0.0</v>
      </c>
      <c r="AD13" t="n">
        <v>433.0</v>
      </c>
      <c r="AE13" t="n">
        <v>5.0</v>
      </c>
      <c r="AF13" t="n">
        <v>0.0</v>
      </c>
      <c r="AG13" t="n">
        <v>0.0</v>
      </c>
      <c r="AH13" t="n">
        <v>1.0</v>
      </c>
      <c r="AI13" t="n">
        <v>0.0</v>
      </c>
      <c r="AJ13" t="n">
        <v>0.0</v>
      </c>
      <c r="AK13" t="n">
        <v>17.66050808314088</v>
      </c>
      <c r="AL13" t="inlineStr">
        <is>
          <t>0.12127659574468085</t>
        </is>
      </c>
    </row>
    <row r="14">
      <c r="A14" t="inlineStr">
        <is>
          <t>山东大生蚝肥了！49.9五斤顺丰包邮到家</t>
        </is>
      </c>
      <c r="B14" t="inlineStr">
        <is>
          <t>6940ef3c000000001e02c2f8</t>
        </is>
      </c>
      <c r="C14" s="13" t="n">
        <f>HYPERLINK("https://www.xiaohongshu.com/explore/6940ef3c000000001e02c2f8?xsec_token=TBzm36tUj4jhogPihZGtakWUx_qiRbauHFRKJ3QaYzcoQ=&amp;xsec_source=pc_trdark","https://www.xiaohongshu.com/explore/6940ef3c000000001e02c2f8?xsec_token=TBzm36tUj4jhogPihZGtakWUx_qiRbauHFRKJ3QaYzcoQ=&amp;xsec_source=pc_trdark")</f>
        <v>0.0</v>
      </c>
      <c r="D14" t="inlineStr">
        <is>
          <t>婉婉上班吃什么</t>
        </is>
      </c>
      <c r="E14" t="inlineStr">
        <is>
          <t>11434449706</t>
        </is>
      </c>
      <c r="F14" t="inlineStr">
        <is>
          <t>2025-12-16 13:33:48</t>
        </is>
      </c>
      <c r="G14" t="inlineStr">
        <is>
          <t>视频</t>
        </is>
      </c>
      <c r="H14" t="inlineStr">
        <is>
          <t>生蚝乳山生蚝海蛎子顺丰包邮</t>
        </is>
      </c>
      <c r="I14" t="inlineStr">
        <is>
          <t>690c70971b787900010866cc</t>
        </is>
      </c>
      <c r="J14" t="n">
        <v>21.0</v>
      </c>
      <c r="K14" t="n">
        <v>79.9</v>
      </c>
      <c r="L14" t="n">
        <v>1.0</v>
      </c>
      <c r="M14" t="n">
        <v>30.0</v>
      </c>
      <c r="N14" t="inlineStr">
        <is>
          <t>0.07352941176470588</t>
        </is>
      </c>
      <c r="O14" t="n">
        <v>23.0</v>
      </c>
      <c r="P14" t="n">
        <v>1.0</v>
      </c>
      <c r="Q14" t="inlineStr">
        <is>
          <t>0.03333333333333333</t>
        </is>
      </c>
      <c r="R14" t="inlineStr">
        <is>
          <t>0.043478260869565216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1.0</v>
      </c>
      <c r="Z14" t="n">
        <v>1.0</v>
      </c>
      <c r="AA14" t="n">
        <v>0.0</v>
      </c>
      <c r="AB14" t="n">
        <v>0.0</v>
      </c>
      <c r="AC14" t="n">
        <v>0.0</v>
      </c>
      <c r="AD14" t="n">
        <v>408.0</v>
      </c>
      <c r="AE14" t="n">
        <v>0.0</v>
      </c>
      <c r="AF14" t="n">
        <v>0.0</v>
      </c>
      <c r="AG14" t="n">
        <v>0.0</v>
      </c>
      <c r="AH14" t="n">
        <v>2.0</v>
      </c>
      <c r="AI14" t="n">
        <v>0.0</v>
      </c>
      <c r="AJ14" t="n">
        <v>0.0</v>
      </c>
      <c r="AK14" t="n">
        <v>8.215686274509803</v>
      </c>
      <c r="AL14" t="inlineStr">
        <is>
          <t>0.15109343936381708</t>
        </is>
      </c>
    </row>
    <row r="15">
      <c r="A15" t="inlineStr">
        <is>
          <t>还有多少南方宝宝没吃过这个北极甜虾</t>
        </is>
      </c>
      <c r="B15" t="inlineStr">
        <is>
          <t>6982a4ac000000000a033c8c</t>
        </is>
      </c>
      <c r="C15" s="14" t="n">
        <f>HYPERLINK("https://www.xiaohongshu.com/explore/6982a4ac000000000a033c8c?xsec_token=TBRUGO98Ap-B8eSGcZxxfvdI_zbT9qm-KkSyV0Kdwpj5Q=&amp;xsec_source=pc_trdark","https://www.xiaohongshu.com/explore/6982a4ac000000000a033c8c?xsec_token=TBRUGO98Ap-B8eSGcZxxfvdI_zbT9qm-KkSyV0Kdwpj5Q=&amp;xsec_source=pc_trdark")</f>
        <v>0.0</v>
      </c>
      <c r="D15" t="inlineStr">
        <is>
          <t>鲜水湾甄选</t>
        </is>
      </c>
      <c r="E15" t="inlineStr">
        <is>
          <t>27401929161</t>
        </is>
      </c>
      <c r="F15" t="inlineStr">
        <is>
          <t>2026-02-04 09:45:16</t>
        </is>
      </c>
      <c r="G15" t="inlineStr">
        <is>
          <t>视频</t>
        </is>
      </c>
      <c r="H15" t="inlineStr">
        <is>
          <t>北极甜虾头籽甜虾元宝虾北极熊冰虾孕妈妈宝宝辅食顺丰</t>
        </is>
      </c>
      <c r="I15" t="inlineStr">
        <is>
          <t>6953717eb8f0bb000115158d</t>
        </is>
      </c>
      <c r="J15" t="n">
        <v>53.0</v>
      </c>
      <c r="K15" t="n">
        <v>0.0</v>
      </c>
      <c r="L15" t="n">
        <v>0.0</v>
      </c>
      <c r="M15" t="n">
        <v>50.0</v>
      </c>
      <c r="N15" t="inlineStr">
        <is>
          <t>0.12919896640826872</t>
        </is>
      </c>
      <c r="O15" t="n">
        <v>42.0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inlineStr">
        <is>
          <t/>
        </is>
      </c>
      <c r="X15" t="n">
        <v>0.0</v>
      </c>
      <c r="Y15" t="n">
        <v>2.0</v>
      </c>
      <c r="Z15" t="n">
        <v>0.0</v>
      </c>
      <c r="AA15" t="n">
        <v>0.0</v>
      </c>
      <c r="AB15" t="n">
        <v>0.0</v>
      </c>
      <c r="AC15" t="n">
        <v>0.0</v>
      </c>
      <c r="AD15" t="n">
        <v>387.0</v>
      </c>
      <c r="AE15" t="n">
        <v>4.0</v>
      </c>
      <c r="AF15" t="n">
        <v>0.0</v>
      </c>
      <c r="AG15" t="n">
        <v>0.0</v>
      </c>
      <c r="AH15" t="n">
        <v>1.0</v>
      </c>
      <c r="AI15" t="n">
        <v>1.0</v>
      </c>
      <c r="AJ15" t="n">
        <v>0.0</v>
      </c>
      <c r="AK15" t="n">
        <v>11.832041343669252</v>
      </c>
      <c r="AL15" t="inlineStr">
        <is>
          <t>0.05994550408719346</t>
        </is>
      </c>
    </row>
    <row r="16">
      <c r="A16" t="inlineStr">
        <is>
          <t>孕妈妈可以放心吃的野生深海虾🦐</t>
        </is>
      </c>
      <c r="B16" t="inlineStr">
        <is>
          <t>696d8f8c000000000b008465</t>
        </is>
      </c>
      <c r="C16" s="15" t="n">
        <f>HYPERLINK("https://www.xiaohongshu.com/explore/696d8f8c000000000b008465?xsec_token=TBhBdCGGh1NnVPomuS6-J4Hz1XU76oCrEKAxts5lHzLJg=&amp;xsec_source=pc_trdark","https://www.xiaohongshu.com/explore/696d8f8c000000000b008465?xsec_token=TBhBdCGGh1NnVPomuS6-J4Hz1XU76oCrEKAxts5lHzLJg=&amp;xsec_source=pc_trdark")</f>
        <v>0.0</v>
      </c>
      <c r="D16" t="inlineStr">
        <is>
          <t>鲜水湾甄选</t>
        </is>
      </c>
      <c r="E16" t="inlineStr">
        <is>
          <t>27401929161</t>
        </is>
      </c>
      <c r="F16" t="inlineStr">
        <is>
          <t>2026-01-19 09:57:32</t>
        </is>
      </c>
      <c r="G16" t="inlineStr">
        <is>
          <t>视频</t>
        </is>
      </c>
      <c r="H16" t="inlineStr">
        <is>
          <t>北极甜虾头籽甜虾元宝虾北极熊冰虾孕妈妈宝宝辅食顺丰</t>
        </is>
      </c>
      <c r="I16" t="inlineStr">
        <is>
          <t>6953717eb8f0bb000115158d</t>
        </is>
      </c>
      <c r="J16" t="n">
        <v>38.0</v>
      </c>
      <c r="K16" t="n">
        <v>178.0</v>
      </c>
      <c r="L16" t="n">
        <v>1.0</v>
      </c>
      <c r="M16" t="n">
        <v>15.0</v>
      </c>
      <c r="N16" t="inlineStr">
        <is>
          <t>0.04054054054054054</t>
        </is>
      </c>
      <c r="O16" t="n">
        <v>14.0</v>
      </c>
      <c r="P16" t="n">
        <v>1.0</v>
      </c>
      <c r="Q16" t="inlineStr">
        <is>
          <t>0.06666666666666667</t>
        </is>
      </c>
      <c r="R16" t="inlineStr">
        <is>
          <t>0.07142857142857142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2.0</v>
      </c>
      <c r="Z16" t="n">
        <v>0.0</v>
      </c>
      <c r="AA16" t="n">
        <v>0.0</v>
      </c>
      <c r="AB16" t="n">
        <v>0.0</v>
      </c>
      <c r="AC16" t="n">
        <v>0.0</v>
      </c>
      <c r="AD16" t="n">
        <v>370.0</v>
      </c>
      <c r="AE16" t="n">
        <v>1.0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10.737837837837837</v>
      </c>
      <c r="AL16" t="n">
        <v>0.1021377672209026</v>
      </c>
    </row>
    <row r="17">
      <c r="A17" t="inlineStr">
        <is>
          <t>备孕姐妹冲！我家冷水蚝 59.9 元 5 斤</t>
        </is>
      </c>
      <c r="B17" t="inlineStr">
        <is>
          <t>6915949e000000000703b57a</t>
        </is>
      </c>
      <c r="C17" s="16" t="n">
        <f>HYPERLINK("https://www.xiaohongshu.com/explore/6915949e000000000703b57a?xsec_token=TBAg-veJq-9HvX6LdnoJFXah9og5KD9gcwieVsF90eyPI=&amp;xsec_source=pc_trdark","https://www.xiaohongshu.com/explore/6915949e000000000703b57a?xsec_token=TBAg-veJq-9HvX6LdnoJFXah9og5KD9gcwieVsF90eyPI=&amp;xsec_source=pc_trdark")</f>
        <v>0.0</v>
      </c>
      <c r="D17" t="inlineStr">
        <is>
          <t>婉婉上班吃什么</t>
        </is>
      </c>
      <c r="E17" t="inlineStr">
        <is>
          <t>11434449706</t>
        </is>
      </c>
      <c r="F17" t="inlineStr">
        <is>
          <t>2025-11-13 16:19:42</t>
        </is>
      </c>
      <c r="G17" t="inlineStr">
        <is>
          <t>视频</t>
        </is>
      </c>
      <c r="H17" t="inlineStr">
        <is>
          <t>生蚝乳山生蚝海蛎子顺丰包邮</t>
        </is>
      </c>
      <c r="I17" t="inlineStr">
        <is>
          <t>690c70971b787900010866cc</t>
        </is>
      </c>
      <c r="J17" t="n">
        <v>14.0</v>
      </c>
      <c r="K17" t="n">
        <v>0.0</v>
      </c>
      <c r="L17" t="n">
        <v>0.0</v>
      </c>
      <c r="M17" t="n">
        <v>28.0</v>
      </c>
      <c r="N17" t="inlineStr">
        <is>
          <t>0.07629427792915532</t>
        </is>
      </c>
      <c r="O17" t="n">
        <v>25.0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inlineStr">
        <is>
          <t/>
        </is>
      </c>
      <c r="X17" t="n">
        <v>0.0</v>
      </c>
      <c r="Y17" t="n">
        <v>3.0</v>
      </c>
      <c r="Z17" t="n">
        <v>2.0</v>
      </c>
      <c r="AA17" t="n">
        <v>0.0</v>
      </c>
      <c r="AB17" t="n">
        <v>0.0</v>
      </c>
      <c r="AC17" t="n">
        <v>0.0</v>
      </c>
      <c r="AD17" t="n">
        <v>367.0</v>
      </c>
      <c r="AE17" t="n">
        <v>3.0</v>
      </c>
      <c r="AF17" t="n">
        <v>2.0</v>
      </c>
      <c r="AG17" t="n">
        <v>0.0</v>
      </c>
      <c r="AH17" t="n">
        <v>0.0</v>
      </c>
      <c r="AI17" t="n">
        <v>1.0</v>
      </c>
      <c r="AJ17" t="n">
        <v>0.0</v>
      </c>
      <c r="AK17" t="n">
        <v>11.272479564032697</v>
      </c>
      <c r="AL17" t="inlineStr">
        <is>
          <t>0.29143897996357016</t>
        </is>
      </c>
    </row>
    <row r="18">
      <c r="A18" t="inlineStr">
        <is>
          <t>快递半个月就停运了😭错过只能明年再吃了</t>
        </is>
      </c>
      <c r="B18" t="inlineStr">
        <is>
          <t>696d9286000000000a02ae67</t>
        </is>
      </c>
      <c r="C18" s="17" t="n">
        <f>HYPERLINK("https://www.xiaohongshu.com/explore/696d9286000000000a02ae67?xsec_token=TBhBdCGGh1NnVPomuS6-J4HwqZdNVzfvYi4-dz_chPrGM=&amp;xsec_source=pc_trdark","https://www.xiaohongshu.com/explore/696d9286000000000a02ae67?xsec_token=TBhBdCGGh1NnVPomuS6-J4HwqZdNVzfvYi4-dz_chPrGM=&amp;xsec_source=pc_trdark")</f>
        <v>0.0</v>
      </c>
      <c r="D18" t="inlineStr">
        <is>
          <t>鲜水湾甄选</t>
        </is>
      </c>
      <c r="E18" t="inlineStr">
        <is>
          <t>27401929161</t>
        </is>
      </c>
      <c r="F18" t="inlineStr">
        <is>
          <t>2026-01-19 12:10:00</t>
        </is>
      </c>
      <c r="G18" t="inlineStr">
        <is>
          <t>视频</t>
        </is>
      </c>
      <c r="H18" t="inlineStr">
        <is>
          <t>北极甜虾头籽甜虾元宝虾北极熊冰虾孕妈妈宝宝辅食顺丰</t>
        </is>
      </c>
      <c r="I18" t="inlineStr">
        <is>
          <t>6953717eb8f0bb000115158d</t>
        </is>
      </c>
      <c r="J18" t="n">
        <v>39.0</v>
      </c>
      <c r="K18" t="n">
        <v>0.0</v>
      </c>
      <c r="L18" t="n">
        <v>0.0</v>
      </c>
      <c r="M18" t="n">
        <v>8.0</v>
      </c>
      <c r="N18" t="inlineStr">
        <is>
          <t>0.022598870056497175</t>
        </is>
      </c>
      <c r="O18" t="n">
        <v>8.0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inlineStr">
        <is>
          <t/>
        </is>
      </c>
      <c r="X18" t="n">
        <v>0.0</v>
      </c>
      <c r="Y18" t="n">
        <v>2.0</v>
      </c>
      <c r="Z18" t="n">
        <v>0.0</v>
      </c>
      <c r="AA18" t="n">
        <v>0.0</v>
      </c>
      <c r="AB18" t="n">
        <v>0.0</v>
      </c>
      <c r="AC18" t="n">
        <v>0.0</v>
      </c>
      <c r="AD18" t="n">
        <v>354.0</v>
      </c>
      <c r="AE18" t="n">
        <v>1.0</v>
      </c>
      <c r="AF18" t="n">
        <v>0.0</v>
      </c>
      <c r="AG18" t="n">
        <v>0.0</v>
      </c>
      <c r="AH18" t="n">
        <v>1.0</v>
      </c>
      <c r="AI18" t="n">
        <v>0.0</v>
      </c>
      <c r="AJ18" t="n">
        <v>0.0</v>
      </c>
      <c r="AK18" t="n">
        <v>10.30225988700565</v>
      </c>
      <c r="AL18" t="inlineStr">
        <is>
          <t>0.08808290155440414</t>
        </is>
      </c>
    </row>
    <row r="19">
      <c r="A19" t="inlineStr">
        <is>
          <t>生蚝蒸完没开口是坏了吗？</t>
        </is>
      </c>
      <c r="B19" t="inlineStr">
        <is>
          <t>6950f5fb000000001e029ca8</t>
        </is>
      </c>
      <c r="C19" s="18" t="n">
        <f>HYPERLINK("https://www.xiaohongshu.com/explore/6950f5fb000000001e029ca8?xsec_token=TBZlsVk_u522I8N-JhGtRMDvyERrdMkq_S2u1VgJgLtSE=&amp;xsec_source=pc_trdark","https://www.xiaohongshu.com/explore/6950f5fb000000001e029ca8?xsec_token=TBZlsVk_u522I8N-JhGtRMDvyERrdMkq_S2u1VgJgLtSE=&amp;xsec_source=pc_trdark")</f>
        <v>0.0</v>
      </c>
      <c r="D19" t="inlineStr">
        <is>
          <t>鲜水湾</t>
        </is>
      </c>
      <c r="E19" t="inlineStr">
        <is>
          <t>49316638994</t>
        </is>
      </c>
      <c r="F19" t="inlineStr">
        <is>
          <t>2025-12-28 17:18:51</t>
        </is>
      </c>
      <c r="G19" t="inlineStr">
        <is>
          <t>图文</t>
        </is>
      </c>
      <c r="H19" t="inlineStr">
        <is>
          <t>生蚝乳山生蚝海蛎子顺丰包邮</t>
        </is>
      </c>
      <c r="I19" t="inlineStr">
        <is>
          <t>690c70971b787900010866cc</t>
        </is>
      </c>
      <c r="J19" t="inlineStr">
        <is>
          <t/>
        </is>
      </c>
      <c r="K19" t="n">
        <v>0.0</v>
      </c>
      <c r="L19" t="n">
        <v>0.0</v>
      </c>
      <c r="M19" t="n">
        <v>7.0</v>
      </c>
      <c r="N19" t="inlineStr">
        <is>
          <t>0.020527859237536656</t>
        </is>
      </c>
      <c r="O19" t="n">
        <v>6.0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inlineStr">
        <is>
          <t/>
        </is>
      </c>
      <c r="X19" t="n">
        <v>0.0</v>
      </c>
      <c r="Y19" t="n">
        <v>1.0</v>
      </c>
      <c r="Z19" t="n">
        <v>3.0</v>
      </c>
      <c r="AA19" t="n">
        <v>0.0</v>
      </c>
      <c r="AB19" t="n">
        <v>0.0</v>
      </c>
      <c r="AC19" t="n">
        <v>0.0</v>
      </c>
      <c r="AD19" t="n">
        <v>341.0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14.460410557184751</v>
      </c>
      <c r="AL19" t="inlineStr">
        <is>
          <t/>
        </is>
      </c>
    </row>
    <row r="20">
      <c r="A20" t="inlineStr">
        <is>
          <t>你以为我想吃吗？可它69承包我一周减脂餐🤩</t>
        </is>
      </c>
      <c r="B20" t="inlineStr">
        <is>
          <t>699bc609000000002801c462</t>
        </is>
      </c>
      <c r="C20" s="19" t="n">
        <f>HYPERLINK("https://www.xiaohongshu.com/explore/699bc609000000002801c462?xsec_token=TBp2xVuVUvhysslovKD4WEO3UPyoWcvfUaDp74o7V7L0A=&amp;xsec_source=pc_trdark","https://www.xiaohongshu.com/explore/699bc609000000002801c462?xsec_token=TBp2xVuVUvhysslovKD4WEO3UPyoWcvfUaDp74o7V7L0A=&amp;xsec_source=pc_trdark")</f>
        <v>0.0</v>
      </c>
      <c r="D20" t="inlineStr">
        <is>
          <t>鲜水湾</t>
        </is>
      </c>
      <c r="E20" t="inlineStr">
        <is>
          <t>49316638994</t>
        </is>
      </c>
      <c r="F20" t="inlineStr">
        <is>
          <t>2026-02-23 11:14:17</t>
        </is>
      </c>
      <c r="G20" t="inlineStr">
        <is>
          <t>图文</t>
        </is>
      </c>
      <c r="H20" t="inlineStr">
        <is>
          <t>大虾基围虾王牌大虾厄瓜多尔白虾盐冻虾仁海洋大虾送礼顺丰包邮</t>
        </is>
      </c>
      <c r="I20" t="inlineStr">
        <is>
          <t>690aeb7be379430001e686ac</t>
        </is>
      </c>
      <c r="J20" t="inlineStr">
        <is>
          <t/>
        </is>
      </c>
      <c r="K20" t="n">
        <v>934.0</v>
      </c>
      <c r="L20" t="n">
        <v>14.0</v>
      </c>
      <c r="M20" t="n">
        <v>112.0</v>
      </c>
      <c r="N20" t="n">
        <v>0.3522012578616352</v>
      </c>
      <c r="O20" t="n">
        <v>77.0</v>
      </c>
      <c r="P20" t="n">
        <v>14.0</v>
      </c>
      <c r="Q20" t="n">
        <v>0.125</v>
      </c>
      <c r="R20" t="inlineStr">
        <is>
          <t>0.18181818181818182</t>
        </is>
      </c>
      <c r="S20" t="n">
        <v>79.0</v>
      </c>
      <c r="T20" t="n">
        <v>1.0</v>
      </c>
      <c r="U20" t="n">
        <v>1.0</v>
      </c>
      <c r="V20" t="n">
        <v>79.0</v>
      </c>
      <c r="W20" t="inlineStr">
        <is>
          <t>0.08458244111349036</t>
        </is>
      </c>
      <c r="X20" t="n">
        <v>1.0</v>
      </c>
      <c r="Y20" t="n">
        <v>16.0</v>
      </c>
      <c r="Z20" t="n">
        <v>6.0</v>
      </c>
      <c r="AA20" t="n">
        <v>0.0</v>
      </c>
      <c r="AB20" t="n">
        <v>0.0</v>
      </c>
      <c r="AC20" t="n">
        <v>0.0</v>
      </c>
      <c r="AD20" t="n">
        <v>318.0</v>
      </c>
      <c r="AE20" t="n">
        <v>12.0</v>
      </c>
      <c r="AF20" t="n">
        <v>8.0</v>
      </c>
      <c r="AG20" t="n">
        <v>10.0</v>
      </c>
      <c r="AH20" t="n">
        <v>7.0</v>
      </c>
      <c r="AI20" t="n">
        <v>1.0</v>
      </c>
      <c r="AJ20" t="n">
        <v>0.0</v>
      </c>
      <c r="AK20" t="n">
        <v>12.88993710691824</v>
      </c>
      <c r="AL20" t="inlineStr">
        <is>
          <t/>
        </is>
      </c>
    </row>
    <row r="21">
      <c r="A21" t="inlineStr">
        <is>
          <t>一代人有一代人的年货要买！</t>
        </is>
      </c>
      <c r="B21" t="inlineStr">
        <is>
          <t>697a0a1d000000000b00a2b0</t>
        </is>
      </c>
      <c r="C21" s="20" t="n">
        <f>HYPERLINK("https://www.xiaohongshu.com/explore/697a0a1d000000000b00a2b0?xsec_token=TB2dScbVxeUy83D31__wCwwwhDIrhPy6wRpuOWBkn90P4=&amp;xsec_source=pc_trdark","https://www.xiaohongshu.com/explore/697a0a1d000000000b00a2b0?xsec_token=TB2dScbVxeUy83D31__wCwwwhDIrhPy6wRpuOWBkn90P4=&amp;xsec_source=pc_trdark")</f>
        <v>0.0</v>
      </c>
      <c r="D21" t="inlineStr">
        <is>
          <t>鲜水湾甄选</t>
        </is>
      </c>
      <c r="E21" t="inlineStr">
        <is>
          <t>27401929161</t>
        </is>
      </c>
      <c r="F21" t="inlineStr">
        <is>
          <t>2026-01-28 21:07:41</t>
        </is>
      </c>
      <c r="G21" t="inlineStr">
        <is>
          <t>图文</t>
        </is>
      </c>
      <c r="H21" t="inlineStr">
        <is>
          <t>北极甜虾头籽甜虾元宝虾北极熊冰虾孕妈妈宝宝辅食顺丰</t>
        </is>
      </c>
      <c r="I21" t="inlineStr">
        <is>
          <t>6953717eb8f0bb000115158d</t>
        </is>
      </c>
      <c r="J21" t="inlineStr">
        <is>
          <t/>
        </is>
      </c>
      <c r="K21" t="n">
        <v>158.0</v>
      </c>
      <c r="L21" t="n">
        <v>1.0</v>
      </c>
      <c r="M21" t="n">
        <v>44.0</v>
      </c>
      <c r="N21" t="inlineStr">
        <is>
          <t>0.14102564102564102</t>
        </is>
      </c>
      <c r="O21" t="n">
        <v>41.0</v>
      </c>
      <c r="P21" t="n">
        <v>1.0</v>
      </c>
      <c r="Q21" t="inlineStr">
        <is>
          <t>0.022727272727272728</t>
        </is>
      </c>
      <c r="R21" t="inlineStr">
        <is>
          <t>0.024390243902439025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5.0</v>
      </c>
      <c r="Z21" t="n">
        <v>11.0</v>
      </c>
      <c r="AA21" t="n">
        <v>0.0</v>
      </c>
      <c r="AB21" t="n">
        <v>0.0</v>
      </c>
      <c r="AC21" t="n">
        <v>0.0</v>
      </c>
      <c r="AD21" t="n">
        <v>312.0</v>
      </c>
      <c r="AE21" t="n">
        <v>2.0</v>
      </c>
      <c r="AF21" t="n">
        <v>0.0</v>
      </c>
      <c r="AG21" t="n">
        <v>0.0</v>
      </c>
      <c r="AH21" t="n">
        <v>2.0</v>
      </c>
      <c r="AI21" t="n">
        <v>0.0</v>
      </c>
      <c r="AJ21" t="n">
        <v>0.0</v>
      </c>
      <c r="AK21" t="n">
        <v>9.14423076923077</v>
      </c>
      <c r="AL21" t="inlineStr">
        <is>
          <t/>
        </is>
      </c>
    </row>
    <row r="22">
      <c r="A22" t="inlineStr">
        <is>
          <t>冬天限定！再过几天就没有头籽甜虾了</t>
        </is>
      </c>
      <c r="B22" t="inlineStr">
        <is>
          <t>697c62c2000000000a02a1c5</t>
        </is>
      </c>
      <c r="C22" s="21" t="n">
        <f>HYPERLINK("https://www.xiaohongshu.com/explore/697c62c2000000000a02a1c5?xsec_token=TBV-62_c6Sms9X18ENcOcpiOVbebQibHJCA9_5tI9Ghlw=&amp;xsec_source=pc_trdark","https://www.xiaohongshu.com/explore/697c62c2000000000a02a1c5?xsec_token=TBV-62_c6Sms9X18ENcOcpiOVbebQibHJCA9_5tI9Ghlw=&amp;xsec_source=pc_trdark")</f>
        <v>0.0</v>
      </c>
      <c r="D22" t="inlineStr">
        <is>
          <t>鲜水湾甄选</t>
        </is>
      </c>
      <c r="E22" t="inlineStr">
        <is>
          <t>27401929161</t>
        </is>
      </c>
      <c r="F22" t="inlineStr">
        <is>
          <t>2026-01-30 15:50:27</t>
        </is>
      </c>
      <c r="G22" t="inlineStr">
        <is>
          <t>视频</t>
        </is>
      </c>
      <c r="H22" t="inlineStr">
        <is>
          <t>北极甜虾头籽甜虾元宝虾北极熊冰虾孕妈妈宝宝辅食顺丰</t>
        </is>
      </c>
      <c r="I22" t="inlineStr">
        <is>
          <t>6953717eb8f0bb000115158d</t>
        </is>
      </c>
      <c r="J22" t="n">
        <v>60.0</v>
      </c>
      <c r="K22" t="n">
        <v>0.0</v>
      </c>
      <c r="L22" t="n">
        <v>0.0</v>
      </c>
      <c r="M22" t="n">
        <v>13.0</v>
      </c>
      <c r="N22" t="inlineStr">
        <is>
          <t>0.04220779220779221</t>
        </is>
      </c>
      <c r="O22" t="n">
        <v>11.0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inlineStr">
        <is>
          <t/>
        </is>
      </c>
      <c r="X22" t="n">
        <v>0.0</v>
      </c>
      <c r="Y22" t="n">
        <v>0.0</v>
      </c>
      <c r="Z22" t="n">
        <v>1.0</v>
      </c>
      <c r="AA22" t="n">
        <v>0.0</v>
      </c>
      <c r="AB22" t="n">
        <v>0.0</v>
      </c>
      <c r="AC22" t="n">
        <v>0.0</v>
      </c>
      <c r="AD22" t="n">
        <v>308.0</v>
      </c>
      <c r="AE22" t="n">
        <v>1.0</v>
      </c>
      <c r="AF22" t="n">
        <v>1.0</v>
      </c>
      <c r="AG22" t="n">
        <v>0.0</v>
      </c>
      <c r="AH22" t="n">
        <v>0.0</v>
      </c>
      <c r="AI22" t="n">
        <v>0.0</v>
      </c>
      <c r="AJ22" t="n">
        <v>0.0</v>
      </c>
      <c r="AK22" t="n">
        <v>12.685064935064934</v>
      </c>
      <c r="AL22" t="inlineStr">
        <is>
          <t>0.05362776025236593</t>
        </is>
      </c>
    </row>
    <row r="23">
      <c r="A23" t="inlineStr">
        <is>
          <t>老爸：你就49.9五斤总会出单的</t>
        </is>
      </c>
      <c r="B23" t="inlineStr">
        <is>
          <t>69699d9a000000001a01c003</t>
        </is>
      </c>
      <c r="C23" s="22" t="n">
        <f>HYPERLINK("https://www.xiaohongshu.com/explore/69699d9a000000001a01c003?xsec_token=TBrfrRU4wM2w5bDKUviah5T2PhBAVzaWRQTOplttkH1Jk=&amp;xsec_source=pc_trdark","https://www.xiaohongshu.com/explore/69699d9a000000001a01c003?xsec_token=TBrfrRU4wM2w5bDKUviah5T2PhBAVzaWRQTOplttkH1Jk=&amp;xsec_source=pc_trdark")</f>
        <v>0.0</v>
      </c>
      <c r="D23" t="inlineStr">
        <is>
          <t>婉婉上班吃什么</t>
        </is>
      </c>
      <c r="E23" t="inlineStr">
        <is>
          <t>11434449706</t>
        </is>
      </c>
      <c r="F23" t="inlineStr">
        <is>
          <t>2026-01-16 10:08:26</t>
        </is>
      </c>
      <c r="G23" t="inlineStr">
        <is>
          <t>视频</t>
        </is>
      </c>
      <c r="H23" t="inlineStr">
        <is>
          <t>生蚝乳山生蚝海蛎子顺丰包邮</t>
        </is>
      </c>
      <c r="I23" t="inlineStr">
        <is>
          <t>690c70971b787900010866cc</t>
        </is>
      </c>
      <c r="J23" t="n">
        <v>22.0</v>
      </c>
      <c r="K23" t="n">
        <v>79.9</v>
      </c>
      <c r="L23" t="n">
        <v>1.0</v>
      </c>
      <c r="M23" t="n">
        <v>6.0</v>
      </c>
      <c r="N23" t="inlineStr">
        <is>
          <t>0.019933554817275746</t>
        </is>
      </c>
      <c r="O23" t="n">
        <v>5.0</v>
      </c>
      <c r="P23" t="n">
        <v>1.0</v>
      </c>
      <c r="Q23" t="inlineStr">
        <is>
          <t>0.16666666666666666</t>
        </is>
      </c>
      <c r="R23" t="n">
        <v>0.2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2.0</v>
      </c>
      <c r="Z23" t="n">
        <v>0.0</v>
      </c>
      <c r="AA23" t="n">
        <v>0.0</v>
      </c>
      <c r="AB23" t="n">
        <v>0.0</v>
      </c>
      <c r="AC23" t="n">
        <v>0.0</v>
      </c>
      <c r="AD23" t="n">
        <v>301.0</v>
      </c>
      <c r="AE23" t="n">
        <v>1.0</v>
      </c>
      <c r="AF23" t="n">
        <v>1.0</v>
      </c>
      <c r="AG23" t="n">
        <v>0.0</v>
      </c>
      <c r="AH23" t="n">
        <v>0.0</v>
      </c>
      <c r="AI23" t="n">
        <v>0.0</v>
      </c>
      <c r="AJ23" t="n">
        <v>0.0</v>
      </c>
      <c r="AK23" t="n">
        <v>4.887043189368771</v>
      </c>
      <c r="AL23" t="inlineStr">
        <is>
          <t>0.06646525679758308</t>
        </is>
      </c>
    </row>
    <row r="24">
      <c r="A24" t="inlineStr">
        <is>
          <t>我也不想买啊，关键40多的乳山生蚝太鲜了</t>
        </is>
      </c>
      <c r="B24" t="inlineStr">
        <is>
          <t>694a6f62000000001e003acc</t>
        </is>
      </c>
      <c r="C24" s="23" t="n">
        <f>HYPERLINK("https://www.xiaohongshu.com/explore/694a6f62000000001e003acc?xsec_token=TBdeZ0Rm1wYmDrNYnjdb_05r02xYX8TSwhX-stYcSr3vM=&amp;xsec_source=pc_trdark","https://www.xiaohongshu.com/explore/694a6f62000000001e003acc?xsec_token=TBdeZ0Rm1wYmDrNYnjdb_05r02xYX8TSwhX-stYcSr3vM=&amp;xsec_source=pc_trdark")</f>
        <v>0.0</v>
      </c>
      <c r="D24" t="inlineStr">
        <is>
          <t>婉婉上班吃什么</t>
        </is>
      </c>
      <c r="E24" t="inlineStr">
        <is>
          <t>11434449706</t>
        </is>
      </c>
      <c r="F24" t="inlineStr">
        <is>
          <t>2025-12-23 18:30:58</t>
        </is>
      </c>
      <c r="G24" t="inlineStr">
        <is>
          <t>视频</t>
        </is>
      </c>
      <c r="H24" t="inlineStr">
        <is>
          <t>生蚝乳山生蚝海蛎子顺丰包邮</t>
        </is>
      </c>
      <c r="I24" t="inlineStr">
        <is>
          <t>690c70971b787900010866cc</t>
        </is>
      </c>
      <c r="J24" t="n">
        <v>37.0</v>
      </c>
      <c r="K24" t="n">
        <v>69.9</v>
      </c>
      <c r="L24" t="n">
        <v>1.0</v>
      </c>
      <c r="M24" t="n">
        <v>13.0</v>
      </c>
      <c r="N24" t="inlineStr">
        <is>
          <t>0.04693140794223827</t>
        </is>
      </c>
      <c r="O24" t="n">
        <v>12.0</v>
      </c>
      <c r="P24" t="n">
        <v>1.0</v>
      </c>
      <c r="Q24" t="inlineStr">
        <is>
          <t>0.07692307692307693</t>
        </is>
      </c>
      <c r="R24" t="inlineStr">
        <is>
          <t>0.08333333333333333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1.0</v>
      </c>
      <c r="Z24" t="n">
        <v>2.0</v>
      </c>
      <c r="AA24" t="n">
        <v>0.0</v>
      </c>
      <c r="AB24" t="n">
        <v>0.0</v>
      </c>
      <c r="AC24" t="n">
        <v>0.0</v>
      </c>
      <c r="AD24" t="n">
        <v>277.0</v>
      </c>
      <c r="AE24" t="n">
        <v>1.0</v>
      </c>
      <c r="AF24" t="n">
        <v>1.0</v>
      </c>
      <c r="AG24" t="n">
        <v>0.0</v>
      </c>
      <c r="AH24" t="n">
        <v>0.0</v>
      </c>
      <c r="AI24" t="n">
        <v>0.0</v>
      </c>
      <c r="AJ24" t="n">
        <v>0.0</v>
      </c>
      <c r="AK24" t="n">
        <v>6.527075812274369</v>
      </c>
      <c r="AL24" t="inlineStr">
        <is>
          <t>0.03322259136212625</t>
        </is>
      </c>
    </row>
    <row r="25">
      <c r="A25" t="inlineStr">
        <is>
          <t>马上过年了来一箱生蚝全家一起吃</t>
        </is>
      </c>
      <c r="B25" t="inlineStr">
        <is>
          <t>69896f05000000002800accd</t>
        </is>
      </c>
      <c r="C25" s="24" t="n">
        <f>HYPERLINK("https://www.xiaohongshu.com/explore/69896f05000000002800accd?xsec_token=TBeAeWMkLJ9etYlFDlK3pguayI_bIPdxe0qcX9AP1RpLY=&amp;xsec_source=pc_trdark","https://www.xiaohongshu.com/explore/69896f05000000002800accd?xsec_token=TBeAeWMkLJ9etYlFDlK3pguayI_bIPdxe0qcX9AP1RpLY=&amp;xsec_source=pc_trdark")</f>
        <v>0.0</v>
      </c>
      <c r="D25" t="inlineStr">
        <is>
          <t>婉婉上班吃什么</t>
        </is>
      </c>
      <c r="E25" t="inlineStr">
        <is>
          <t>11434449706</t>
        </is>
      </c>
      <c r="F25" t="inlineStr">
        <is>
          <t>2026-02-09 13:22:13</t>
        </is>
      </c>
      <c r="G25" t="inlineStr">
        <is>
          <t>视频</t>
        </is>
      </c>
      <c r="H25" t="inlineStr">
        <is>
          <t>生蚝乳山生蚝海蛎子顺丰包邮</t>
        </is>
      </c>
      <c r="I25" t="inlineStr">
        <is>
          <t>690c70971b787900010866cc</t>
        </is>
      </c>
      <c r="J25" t="n">
        <v>12.0</v>
      </c>
      <c r="K25" t="n">
        <v>0.0</v>
      </c>
      <c r="L25" t="n">
        <v>0.0</v>
      </c>
      <c r="M25" t="n">
        <v>5.0</v>
      </c>
      <c r="N25" t="inlineStr">
        <is>
          <t>0.01818181818181818</t>
        </is>
      </c>
      <c r="O25" t="n">
        <v>5.0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inlineStr">
        <is>
          <t/>
        </is>
      </c>
      <c r="X25" t="n">
        <v>0.0</v>
      </c>
      <c r="Y25" t="n">
        <v>0.0</v>
      </c>
      <c r="Z25" t="n">
        <v>2.0</v>
      </c>
      <c r="AA25" t="n">
        <v>0.0</v>
      </c>
      <c r="AB25" t="n">
        <v>0.0</v>
      </c>
      <c r="AC25" t="n">
        <v>0.0</v>
      </c>
      <c r="AD25" t="n">
        <v>275.0</v>
      </c>
      <c r="AE25" t="n">
        <v>3.0</v>
      </c>
      <c r="AF25" t="n">
        <v>0.0</v>
      </c>
      <c r="AG25" t="n">
        <v>0.0</v>
      </c>
      <c r="AH25" t="n">
        <v>1.0</v>
      </c>
      <c r="AI25" t="n">
        <v>1.0</v>
      </c>
      <c r="AJ25" t="n">
        <v>0.0</v>
      </c>
      <c r="AK25" t="n">
        <v>7.650909090909091</v>
      </c>
      <c r="AL25" t="inlineStr">
        <is>
          <t>0.31216931216931215</t>
        </is>
      </c>
    </row>
    <row r="26">
      <c r="A26" t="inlineStr">
        <is>
          <t>年后减脂真不多，区区69块够吃一周了!</t>
        </is>
      </c>
      <c r="B26" t="inlineStr">
        <is>
          <t>699d3854000000001a02580e</t>
        </is>
      </c>
      <c r="C26" s="25" t="n">
        <f>HYPERLINK("https://www.xiaohongshu.com/explore/699d3854000000001a02580e?xsec_token=TBeFZqWudA4ECFcaumXjqu0PtoMl0gr7cybqsjyWxf1Ww=&amp;xsec_source=pc_trdark","https://www.xiaohongshu.com/explore/699d3854000000001a02580e?xsec_token=TBeFZqWudA4ECFcaumXjqu0PtoMl0gr7cybqsjyWxf1Ww=&amp;xsec_source=pc_trdark")</f>
        <v>0.0</v>
      </c>
      <c r="D26" t="inlineStr">
        <is>
          <t>鲜水湾</t>
        </is>
      </c>
      <c r="E26" t="inlineStr">
        <is>
          <t>49316638994</t>
        </is>
      </c>
      <c r="F26" t="inlineStr">
        <is>
          <t>2026-02-24 13:34:12</t>
        </is>
      </c>
      <c r="G26" t="inlineStr">
        <is>
          <t>图文</t>
        </is>
      </c>
      <c r="H26" t="inlineStr">
        <is>
          <t>大虾基围虾王牌大虾厄瓜多尔白虾盐冻虾仁海洋大虾送礼顺丰包邮</t>
        </is>
      </c>
      <c r="I26" t="inlineStr">
        <is>
          <t>690aeb7be379430001e686ac</t>
        </is>
      </c>
      <c r="J26" t="inlineStr">
        <is>
          <t/>
        </is>
      </c>
      <c r="K26" t="n">
        <v>0.0</v>
      </c>
      <c r="L26" t="n">
        <v>0.0</v>
      </c>
      <c r="M26" t="n">
        <v>71.0</v>
      </c>
      <c r="N26" t="n">
        <v>0.2591240875912409</v>
      </c>
      <c r="O26" t="n">
        <v>64.0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inlineStr">
        <is>
          <t/>
        </is>
      </c>
      <c r="X26" t="n">
        <v>0.0</v>
      </c>
      <c r="Y26" t="n">
        <v>7.0</v>
      </c>
      <c r="Z26" t="n">
        <v>5.0</v>
      </c>
      <c r="AA26" t="n">
        <v>0.0</v>
      </c>
      <c r="AB26" t="n">
        <v>0.0</v>
      </c>
      <c r="AC26" t="n">
        <v>0.0</v>
      </c>
      <c r="AD26" t="n">
        <v>274.0</v>
      </c>
      <c r="AE26" t="n">
        <v>2.0</v>
      </c>
      <c r="AF26" t="n">
        <v>1.0</v>
      </c>
      <c r="AG26" t="n">
        <v>6.0</v>
      </c>
      <c r="AH26" t="n">
        <v>2.0</v>
      </c>
      <c r="AI26" t="n">
        <v>1.0</v>
      </c>
      <c r="AJ26" t="n">
        <v>0.0</v>
      </c>
      <c r="AK26" t="n">
        <v>8.945255474452555</v>
      </c>
      <c r="AL26" t="inlineStr">
        <is>
          <t/>
        </is>
      </c>
    </row>
    <row r="27">
      <c r="A27" t="inlineStr">
        <is>
          <t>以为60来块没多少，结果够我吃一周的了</t>
        </is>
      </c>
      <c r="B27" t="inlineStr">
        <is>
          <t>69903b7a000000000e00eba9</t>
        </is>
      </c>
      <c r="C27" s="26" t="n">
        <f>HYPERLINK("https://www.xiaohongshu.com/explore/69903b7a000000000e00eba9?xsec_token=TBvdoWEZvj97Maw3nORHajeuQ9YR957T33JrIp2XRoEbs=&amp;xsec_source=pc_trdark","https://www.xiaohongshu.com/explore/69903b7a000000000e00eba9?xsec_token=TBvdoWEZvj97Maw3nORHajeuQ9YR957T33JrIp2XRoEbs=&amp;xsec_source=pc_trdark")</f>
        <v>0.0</v>
      </c>
      <c r="D27" t="inlineStr">
        <is>
          <t>鲜水湾</t>
        </is>
      </c>
      <c r="E27" t="inlineStr">
        <is>
          <t>49316638994</t>
        </is>
      </c>
      <c r="F27" t="inlineStr">
        <is>
          <t>2026-02-14 17:08:10</t>
        </is>
      </c>
      <c r="G27" t="inlineStr">
        <is>
          <t>图文</t>
        </is>
      </c>
      <c r="H27" t="inlineStr">
        <is>
          <t>大虾基围虾王牌大虾厄瓜多尔白虾盐冻虾仁海洋大虾送礼顺丰包邮</t>
        </is>
      </c>
      <c r="I27" t="inlineStr">
        <is>
          <t>690aeb7be379430001e686ac</t>
        </is>
      </c>
      <c r="J27" t="inlineStr">
        <is>
          <t/>
        </is>
      </c>
      <c r="K27" t="n">
        <v>79.0</v>
      </c>
      <c r="L27" t="n">
        <v>1.0</v>
      </c>
      <c r="M27" t="n">
        <v>32.0</v>
      </c>
      <c r="N27" t="inlineStr">
        <is>
          <t>0.12030075187969924</t>
        </is>
      </c>
      <c r="O27" t="n">
        <v>30.0</v>
      </c>
      <c r="P27" t="n">
        <v>1.0</v>
      </c>
      <c r="Q27" t="n">
        <v>0.03125</v>
      </c>
      <c r="R27" t="inlineStr">
        <is>
          <t>0.03333333333333333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2.0</v>
      </c>
      <c r="Z27" t="n">
        <v>4.0</v>
      </c>
      <c r="AA27" t="n">
        <v>0.0</v>
      </c>
      <c r="AB27" t="n">
        <v>0.0</v>
      </c>
      <c r="AC27" t="n">
        <v>0.0</v>
      </c>
      <c r="AD27" t="n">
        <v>266.0</v>
      </c>
      <c r="AE27" t="n">
        <v>1.0</v>
      </c>
      <c r="AF27" t="n">
        <v>1.0</v>
      </c>
      <c r="AG27" t="n">
        <v>2.0</v>
      </c>
      <c r="AH27" t="n">
        <v>1.0</v>
      </c>
      <c r="AI27" t="n">
        <v>0.0</v>
      </c>
      <c r="AJ27" t="n">
        <v>0.0</v>
      </c>
      <c r="AK27" t="n">
        <v>10.233082706766917</v>
      </c>
      <c r="AL27" t="inlineStr">
        <is>
          <t/>
        </is>
      </c>
    </row>
    <row r="28">
      <c r="A28" t="inlineStr">
        <is>
          <t>甜虾脑袋表示这一口很满足！</t>
        </is>
      </c>
      <c r="B28" t="inlineStr">
        <is>
          <t>699ff98e000000002202f0d8</t>
        </is>
      </c>
      <c r="C28" s="27" t="n">
        <f>HYPERLINK("https://www.xiaohongshu.com/explore/699ff98e000000002202f0d8?xsec_token=TBmPrNsEp7sytnt8BzCMtNTaMkhYIiAdPNLY8aLbg_sXE=&amp;xsec_source=pc_trdark","https://www.xiaohongshu.com/explore/699ff98e000000002202f0d8?xsec_token=TBmPrNsEp7sytnt8BzCMtNTaMkhYIiAdPNLY8aLbg_sXE=&amp;xsec_source=pc_trdark")</f>
        <v>0.0</v>
      </c>
      <c r="D28" t="inlineStr">
        <is>
          <t>鲜水湾甄选</t>
        </is>
      </c>
      <c r="E28" t="inlineStr">
        <is>
          <t>27401929161</t>
        </is>
      </c>
      <c r="F28" t="inlineStr">
        <is>
          <t>2026-02-26 15:43:10</t>
        </is>
      </c>
      <c r="G28" t="inlineStr">
        <is>
          <t>图文</t>
        </is>
      </c>
      <c r="H28" t="inlineStr">
        <is>
          <t>北极甜虾头籽甜虾元宝虾北极熊冰虾孕妈妈宝宝辅食顺丰</t>
        </is>
      </c>
      <c r="I28" t="inlineStr">
        <is>
          <t>6953717eb8f0bb000115158d</t>
        </is>
      </c>
      <c r="J28" t="inlineStr">
        <is>
          <t/>
        </is>
      </c>
      <c r="K28" t="n">
        <v>0.0</v>
      </c>
      <c r="L28" t="n">
        <v>0.0</v>
      </c>
      <c r="M28" t="n">
        <v>46.0</v>
      </c>
      <c r="N28" t="inlineStr">
        <is>
          <t>0.17829457364341086</t>
        </is>
      </c>
      <c r="O28" t="n">
        <v>41.0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inlineStr">
        <is>
          <t/>
        </is>
      </c>
      <c r="X28" t="n">
        <v>0.0</v>
      </c>
      <c r="Y28" t="n">
        <v>4.0</v>
      </c>
      <c r="Z28" t="n">
        <v>4.0</v>
      </c>
      <c r="AA28" t="n">
        <v>0.0</v>
      </c>
      <c r="AB28" t="n">
        <v>0.0</v>
      </c>
      <c r="AC28" t="n">
        <v>0.0</v>
      </c>
      <c r="AD28" t="n">
        <v>258.0</v>
      </c>
      <c r="AE28" t="n">
        <v>3.0</v>
      </c>
      <c r="AF28" t="n">
        <v>1.0</v>
      </c>
      <c r="AG28" t="n">
        <v>2.0</v>
      </c>
      <c r="AH28" t="n">
        <v>1.0</v>
      </c>
      <c r="AI28" t="n">
        <v>0.0</v>
      </c>
      <c r="AJ28" t="n">
        <v>0.0</v>
      </c>
      <c r="AK28" t="n">
        <v>7.577519379844961</v>
      </c>
      <c r="AL28" t="inlineStr">
        <is>
          <t/>
        </is>
      </c>
    </row>
    <row r="29">
      <c r="A29" t="inlineStr">
        <is>
          <t>爱你老己！在家实现甜虾自由啦！🦐</t>
        </is>
      </c>
      <c r="B29" t="inlineStr">
        <is>
          <t>699fea210000000022023cfc</t>
        </is>
      </c>
      <c r="C29" s="28" t="n">
        <f>HYPERLINK("https://www.xiaohongshu.com/explore/699fea210000000022023cfc?xsec_token=TBmPrNsEp7sytnt8BzCMtNTbV_A83oXoinluU54mgQEos=&amp;xsec_source=pc_trdark","https://www.xiaohongshu.com/explore/699fea210000000022023cfc?xsec_token=TBmPrNsEp7sytnt8BzCMtNTbV_A83oXoinluU54mgQEos=&amp;xsec_source=pc_trdark")</f>
        <v>0.0</v>
      </c>
      <c r="D29" t="inlineStr">
        <is>
          <t>鲜水湾甄选</t>
        </is>
      </c>
      <c r="E29" t="inlineStr">
        <is>
          <t>27401929161</t>
        </is>
      </c>
      <c r="F29" t="inlineStr">
        <is>
          <t>2026-02-26 14:37:21</t>
        </is>
      </c>
      <c r="G29" t="inlineStr">
        <is>
          <t>图文</t>
        </is>
      </c>
      <c r="H29" t="inlineStr">
        <is>
          <t>北极甜虾头籽甜虾元宝虾北极熊冰虾孕妈妈宝宝辅食顺丰</t>
        </is>
      </c>
      <c r="I29" t="inlineStr">
        <is>
          <t>6953717eb8f0bb000115158d</t>
        </is>
      </c>
      <c r="J29" t="inlineStr">
        <is>
          <t/>
        </is>
      </c>
      <c r="K29" t="n">
        <v>59.9</v>
      </c>
      <c r="L29" t="n">
        <v>1.0</v>
      </c>
      <c r="M29" t="n">
        <v>44.0</v>
      </c>
      <c r="N29" t="n">
        <v>0.176</v>
      </c>
      <c r="O29" t="n">
        <v>38.0</v>
      </c>
      <c r="P29" t="n">
        <v>1.0</v>
      </c>
      <c r="Q29" t="inlineStr">
        <is>
          <t>0.022727272727272728</t>
        </is>
      </c>
      <c r="R29" t="inlineStr">
        <is>
          <t>0.02631578947368421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10.0</v>
      </c>
      <c r="Z29" t="n">
        <v>8.0</v>
      </c>
      <c r="AA29" t="n">
        <v>0.0</v>
      </c>
      <c r="AB29" t="n">
        <v>0.0</v>
      </c>
      <c r="AC29" t="n">
        <v>0.0</v>
      </c>
      <c r="AD29" t="n">
        <v>250.0</v>
      </c>
      <c r="AE29" t="n">
        <v>2.0</v>
      </c>
      <c r="AF29" t="n">
        <v>1.0</v>
      </c>
      <c r="AG29" t="n">
        <v>0.0</v>
      </c>
      <c r="AH29" t="n">
        <v>0.0</v>
      </c>
      <c r="AI29" t="n">
        <v>0.0</v>
      </c>
      <c r="AJ29" t="n">
        <v>0.0</v>
      </c>
      <c r="AK29" t="n">
        <v>8.276</v>
      </c>
      <c r="AL29" t="inlineStr">
        <is>
          <t/>
        </is>
      </c>
    </row>
    <row r="30">
      <c r="A30" t="inlineStr">
        <is>
          <t>现在年轻人对60来块，毫无毫无概念！</t>
        </is>
      </c>
      <c r="B30" t="inlineStr">
        <is>
          <t>69397713000000001e032977</t>
        </is>
      </c>
      <c r="C30" s="29" t="n">
        <f>HYPERLINK("https://www.xiaohongshu.com/explore/69397713000000001e032977?xsec_token=TBaopk6NP1Kn3Gui1O5R_ovt-gQJhUCkzFEl628TZuvkA=&amp;xsec_source=pc_trdark","https://www.xiaohongshu.com/explore/69397713000000001e032977?xsec_token=TBaopk6NP1Kn3Gui1O5R_ovt-gQJhUCkzFEl628TZuvkA=&amp;xsec_source=pc_trdark")</f>
        <v>0.0</v>
      </c>
      <c r="D30" t="inlineStr">
        <is>
          <t>鲜水湾</t>
        </is>
      </c>
      <c r="E30" t="inlineStr">
        <is>
          <t>49316638994</t>
        </is>
      </c>
      <c r="F30" t="inlineStr">
        <is>
          <t>2025-12-10 21:35:15</t>
        </is>
      </c>
      <c r="G30" t="inlineStr">
        <is>
          <t>图文</t>
        </is>
      </c>
      <c r="H30" t="inlineStr">
        <is>
          <t>智利三文鱼切块·整条三文鱼·深海鱼一人食健康饮食</t>
        </is>
      </c>
      <c r="I30" t="inlineStr">
        <is>
          <t>691ac562a524ee0001b51d7b</t>
        </is>
      </c>
      <c r="J30" t="inlineStr">
        <is>
          <t/>
        </is>
      </c>
      <c r="K30" t="n">
        <v>0.0</v>
      </c>
      <c r="L30" t="n">
        <v>0.0</v>
      </c>
      <c r="M30" t="n">
        <v>19.0</v>
      </c>
      <c r="N30" t="inlineStr">
        <is>
          <t>0.07692307692307693</t>
        </is>
      </c>
      <c r="O30" t="n">
        <v>18.0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inlineStr">
        <is>
          <t/>
        </is>
      </c>
      <c r="X30" t="n">
        <v>0.0</v>
      </c>
      <c r="Y30" t="n">
        <v>4.0</v>
      </c>
      <c r="Z30" t="n">
        <v>3.0</v>
      </c>
      <c r="AA30" t="n">
        <v>0.0</v>
      </c>
      <c r="AB30" t="n">
        <v>0.0</v>
      </c>
      <c r="AC30" t="n">
        <v>0.0</v>
      </c>
      <c r="AD30" t="n">
        <v>247.0</v>
      </c>
      <c r="AE30" t="n">
        <v>2.0</v>
      </c>
      <c r="AF30" t="n">
        <v>1.0</v>
      </c>
      <c r="AG30" t="n">
        <v>0.0</v>
      </c>
      <c r="AH30" t="n">
        <v>0.0</v>
      </c>
      <c r="AI30" t="n">
        <v>0.0</v>
      </c>
      <c r="AJ30" t="n">
        <v>0.0</v>
      </c>
      <c r="AK30" t="n">
        <v>8.82995951417004</v>
      </c>
      <c r="AL30" t="inlineStr">
        <is>
          <t/>
        </is>
      </c>
    </row>
    <row r="31">
      <c r="A31" t="inlineStr">
        <is>
          <t>建议冬至后狠狠吃生蚝，40+一箱的生蚝真肥</t>
        </is>
      </c>
      <c r="B31" t="inlineStr">
        <is>
          <t>6943d39b000000000d034d4f</t>
        </is>
      </c>
      <c r="C31" s="30" t="n">
        <f>HYPERLINK("https://www.xiaohongshu.com/explore/6943d39b000000000d034d4f?xsec_token=TB3ISCGERC3xZFl0ewfdTFyId3-4629b3-nxVDswtkamo=&amp;xsec_source=pc_trdark","https://www.xiaohongshu.com/explore/6943d39b000000000d034d4f?xsec_token=TB3ISCGERC3xZFl0ewfdTFyId3-4629b3-nxVDswtkamo=&amp;xsec_source=pc_trdark")</f>
        <v>0.0</v>
      </c>
      <c r="D31" t="inlineStr">
        <is>
          <t>婉婉上班吃什么</t>
        </is>
      </c>
      <c r="E31" t="inlineStr">
        <is>
          <t>11434449706</t>
        </is>
      </c>
      <c r="F31" t="inlineStr">
        <is>
          <t>2025-12-18 18:12:43</t>
        </is>
      </c>
      <c r="G31" t="inlineStr">
        <is>
          <t>视频</t>
        </is>
      </c>
      <c r="H31" t="inlineStr">
        <is>
          <t>生蚝乳山生蚝海蛎子顺丰包邮</t>
        </is>
      </c>
      <c r="I31" t="inlineStr">
        <is>
          <t>690c70971b787900010866cc</t>
        </is>
      </c>
      <c r="J31" t="n">
        <v>37.0</v>
      </c>
      <c r="K31" t="n">
        <v>0.0</v>
      </c>
      <c r="L31" t="n">
        <v>0.0</v>
      </c>
      <c r="M31" t="n">
        <v>16.0</v>
      </c>
      <c r="N31" t="inlineStr">
        <is>
          <t>0.06896551724137931</t>
        </is>
      </c>
      <c r="O31" t="n">
        <v>13.0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inlineStr">
        <is>
          <t/>
        </is>
      </c>
      <c r="X31" t="n">
        <v>0.0</v>
      </c>
      <c r="Y31" t="n">
        <v>1.0</v>
      </c>
      <c r="Z31" t="n">
        <v>1.0</v>
      </c>
      <c r="AA31" t="n">
        <v>0.0</v>
      </c>
      <c r="AB31" t="n">
        <v>0.0</v>
      </c>
      <c r="AC31" t="n">
        <v>0.0</v>
      </c>
      <c r="AD31" t="n">
        <v>232.0</v>
      </c>
      <c r="AE31" t="n">
        <v>0.0</v>
      </c>
      <c r="AF31" t="n">
        <v>0.0</v>
      </c>
      <c r="AG31" t="n">
        <v>1.0</v>
      </c>
      <c r="AH31" t="n">
        <v>0.0</v>
      </c>
      <c r="AI31" t="n">
        <v>0.0</v>
      </c>
      <c r="AJ31" t="n">
        <v>0.0</v>
      </c>
      <c r="AK31" t="n">
        <v>7.719827586206897</v>
      </c>
      <c r="AL31" t="n">
        <v>0.0796812749003984</v>
      </c>
    </row>
    <row r="32">
      <c r="A32" t="inlineStr">
        <is>
          <t>过年送礼就买整条三文鱼！</t>
        </is>
      </c>
      <c r="B32" t="inlineStr">
        <is>
          <t>6980b960000000000d0083dd</t>
        </is>
      </c>
      <c r="C32" s="31" t="n">
        <f>HYPERLINK("https://www.xiaohongshu.com/explore/6980b960000000000d0083dd?xsec_token=TBZp4EcwSVhJKyeKQt7Cpumf4ew6EaovxouIPjJZJ1WgA=&amp;xsec_source=pc_trdark","https://www.xiaohongshu.com/explore/6980b960000000000d0083dd?xsec_token=TBZp4EcwSVhJKyeKQt7Cpumf4ew6EaovxouIPjJZJ1WgA=&amp;xsec_source=pc_trdark")</f>
        <v>0.0</v>
      </c>
      <c r="D32" t="inlineStr">
        <is>
          <t>鲜水湾</t>
        </is>
      </c>
      <c r="E32" t="inlineStr">
        <is>
          <t>49316638994</t>
        </is>
      </c>
      <c r="F32" t="inlineStr">
        <is>
          <t>2026-02-02 22:49:04</t>
        </is>
      </c>
      <c r="G32" t="inlineStr">
        <is>
          <t>图文</t>
        </is>
      </c>
      <c r="H32" t="inlineStr">
        <is>
          <t>智利三文鱼切块·整条三文鱼·深海鱼一人食健康饮食</t>
        </is>
      </c>
      <c r="I32" t="inlineStr">
        <is>
          <t>691ac562a524ee0001b51d7b</t>
        </is>
      </c>
      <c r="J32" t="inlineStr">
        <is>
          <t/>
        </is>
      </c>
      <c r="K32" t="n">
        <v>1074.0</v>
      </c>
      <c r="L32" t="n">
        <v>3.0</v>
      </c>
      <c r="M32" t="n">
        <v>50.0</v>
      </c>
      <c r="N32" t="inlineStr">
        <is>
          <t>0.22321428571428573</t>
        </is>
      </c>
      <c r="O32" t="n">
        <v>43.0</v>
      </c>
      <c r="P32" t="n">
        <v>3.0</v>
      </c>
      <c r="Q32" t="n">
        <v>0.06</v>
      </c>
      <c r="R32" t="inlineStr">
        <is>
          <t>0.06976744186046512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10.0</v>
      </c>
      <c r="Z32" t="n">
        <v>20.0</v>
      </c>
      <c r="AA32" t="n">
        <v>0.0</v>
      </c>
      <c r="AB32" t="n">
        <v>0.0</v>
      </c>
      <c r="AC32" t="n">
        <v>0.0</v>
      </c>
      <c r="AD32" t="n">
        <v>224.0</v>
      </c>
      <c r="AE32" t="n">
        <v>2.0</v>
      </c>
      <c r="AF32" t="n">
        <v>2.0</v>
      </c>
      <c r="AG32" t="n">
        <v>1.0</v>
      </c>
      <c r="AH32" t="n">
        <v>0.0</v>
      </c>
      <c r="AI32" t="n">
        <v>1.0</v>
      </c>
      <c r="AJ32" t="n">
        <v>0.0</v>
      </c>
      <c r="AK32" t="n">
        <v>16.754464285714285</v>
      </c>
      <c r="AL32" t="inlineStr">
        <is>
          <t/>
        </is>
      </c>
    </row>
    <row r="33">
      <c r="A33" t="inlineStr">
        <is>
          <t>冬天上班就这么吃，裤子都穿不住了</t>
        </is>
      </c>
      <c r="B33" t="inlineStr">
        <is>
          <t>69998adb000000001a0298c7</t>
        </is>
      </c>
      <c r="C33" s="32" t="n">
        <f>HYPERLINK("https://www.xiaohongshu.com/explore/69998adb000000001a0298c7?xsec_token=TBAfDGKDuzeCZ7_t6xBolPunj4US8MG6VrW6Te24ux3vc=&amp;xsec_source=pc_trdark","https://www.xiaohongshu.com/explore/69998adb000000001a0298c7?xsec_token=TBAfDGKDuzeCZ7_t6xBolPunj4US8MG6VrW6Te24ux3vc=&amp;xsec_source=pc_trdark")</f>
        <v>0.0</v>
      </c>
      <c r="D33" t="inlineStr">
        <is>
          <t>鲜水湾</t>
        </is>
      </c>
      <c r="E33" t="inlineStr">
        <is>
          <t>49316638994</t>
        </is>
      </c>
      <c r="F33" t="inlineStr">
        <is>
          <t>2026-02-21 18:37:15</t>
        </is>
      </c>
      <c r="G33" t="inlineStr">
        <is>
          <t>图文</t>
        </is>
      </c>
      <c r="H33" t="inlineStr">
        <is>
          <t>大虾基围虾王牌大虾厄瓜多尔白虾盐冻虾仁海洋大虾送礼顺丰包邮</t>
        </is>
      </c>
      <c r="I33" t="inlineStr">
        <is>
          <t>690aeb7be379430001e686ac</t>
        </is>
      </c>
      <c r="J33" t="inlineStr">
        <is>
          <t/>
        </is>
      </c>
      <c r="K33" t="n">
        <v>69.0</v>
      </c>
      <c r="L33" t="n">
        <v>1.0</v>
      </c>
      <c r="M33" t="n">
        <v>34.0</v>
      </c>
      <c r="N33" t="n">
        <v>0.1559633027522936</v>
      </c>
      <c r="O33" t="n">
        <v>31.0</v>
      </c>
      <c r="P33" t="n">
        <v>1.0</v>
      </c>
      <c r="Q33" t="inlineStr">
        <is>
          <t>0.029411764705882353</t>
        </is>
      </c>
      <c r="R33" t="inlineStr">
        <is>
          <t>0.03225806451612903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6.0</v>
      </c>
      <c r="Z33" t="n">
        <v>3.0</v>
      </c>
      <c r="AA33" t="n">
        <v>0.0</v>
      </c>
      <c r="AB33" t="n">
        <v>0.0</v>
      </c>
      <c r="AC33" t="n">
        <v>0.0</v>
      </c>
      <c r="AD33" t="n">
        <v>218.0</v>
      </c>
      <c r="AE33" t="n">
        <v>1.0</v>
      </c>
      <c r="AF33" t="n">
        <v>1.0</v>
      </c>
      <c r="AG33" t="n">
        <v>1.0</v>
      </c>
      <c r="AH33" t="n">
        <v>2.0</v>
      </c>
      <c r="AI33" t="n">
        <v>0.0</v>
      </c>
      <c r="AJ33" t="n">
        <v>0.0</v>
      </c>
      <c r="AK33" t="n">
        <v>8.20183486238532</v>
      </c>
      <c r="AL33" t="inlineStr">
        <is>
          <t/>
        </is>
      </c>
    </row>
    <row r="34">
      <c r="A34" t="inlineStr">
        <is>
          <t>青岛发过来的，被爸妈夸了一整天</t>
        </is>
      </c>
      <c r="B34" t="inlineStr">
        <is>
          <t>6986df320000000028009681</t>
        </is>
      </c>
      <c r="C34" s="33" t="n">
        <f>HYPERLINK("https://www.xiaohongshu.com/explore/6986df320000000028009681?xsec_token=TB-LsRJw2UEyjZbU1RZqmjvtwtRMuw6d13bODal5ehtLk=&amp;xsec_source=pc_trdark","https://www.xiaohongshu.com/explore/6986df320000000028009681?xsec_token=TB-LsRJw2UEyjZbU1RZqmjvtwtRMuw6d13bODal5ehtLk=&amp;xsec_source=pc_trdark")</f>
        <v>0.0</v>
      </c>
      <c r="D34" t="inlineStr">
        <is>
          <t>鲜水湾</t>
        </is>
      </c>
      <c r="E34" t="inlineStr">
        <is>
          <t>49316638994</t>
        </is>
      </c>
      <c r="F34" t="inlineStr">
        <is>
          <t>2026-02-07 14:44:02</t>
        </is>
      </c>
      <c r="G34" t="inlineStr">
        <is>
          <t>图文</t>
        </is>
      </c>
      <c r="H34" t="inlineStr">
        <is>
          <t>智利三文鱼切块·整条三文鱼·深海鱼一人食健康饮食</t>
        </is>
      </c>
      <c r="I34" t="inlineStr">
        <is>
          <t>691ac562a524ee0001b51d7b</t>
        </is>
      </c>
      <c r="J34" t="inlineStr">
        <is>
          <t/>
        </is>
      </c>
      <c r="K34" t="n">
        <v>0.0</v>
      </c>
      <c r="L34" t="n">
        <v>0.0</v>
      </c>
      <c r="M34" t="n">
        <v>29.0</v>
      </c>
      <c r="N34" t="n">
        <v>0.1336405529953917</v>
      </c>
      <c r="O34" t="n">
        <v>25.0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inlineStr">
        <is>
          <t/>
        </is>
      </c>
      <c r="X34" t="n">
        <v>0.0</v>
      </c>
      <c r="Y34" t="n">
        <v>4.0</v>
      </c>
      <c r="Z34" t="n">
        <v>8.0</v>
      </c>
      <c r="AA34" t="n">
        <v>0.0</v>
      </c>
      <c r="AB34" t="n">
        <v>0.0</v>
      </c>
      <c r="AC34" t="n">
        <v>0.0</v>
      </c>
      <c r="AD34" t="n">
        <v>217.0</v>
      </c>
      <c r="AE34" t="n">
        <v>1.0</v>
      </c>
      <c r="AF34" t="n">
        <v>1.0</v>
      </c>
      <c r="AG34" t="n">
        <v>0.0</v>
      </c>
      <c r="AH34" t="n">
        <v>1.0</v>
      </c>
      <c r="AI34" t="n">
        <v>0.0</v>
      </c>
      <c r="AJ34" t="n">
        <v>0.0</v>
      </c>
      <c r="AK34" t="n">
        <v>10.838709677419354</v>
      </c>
      <c r="AL34" t="inlineStr">
        <is>
          <t/>
        </is>
      </c>
    </row>
    <row r="35">
      <c r="A35" t="inlineStr">
        <is>
          <t>40+一箱的乳山生蚝太鲜了，好好吃🤤</t>
        </is>
      </c>
      <c r="B35" t="inlineStr">
        <is>
          <t>69609677000000001a023d13</t>
        </is>
      </c>
      <c r="C35" s="34" t="n">
        <f>HYPERLINK("https://www.xiaohongshu.com/explore/69609677000000001a023d13?xsec_token=TBYg-Zp66x4R1hUeuB0jKgE4bQY0Kwsr_n7NqbssxncXg=&amp;xsec_source=pc_trdark","https://www.xiaohongshu.com/explore/69609677000000001a023d13?xsec_token=TBYg-Zp66x4R1hUeuB0jKgE4bQY0Kwsr_n7NqbssxncXg=&amp;xsec_source=pc_trdark")</f>
        <v>0.0</v>
      </c>
      <c r="D35" t="inlineStr">
        <is>
          <t>婉婉上班吃什么</t>
        </is>
      </c>
      <c r="E35" t="inlineStr">
        <is>
          <t>11434449706</t>
        </is>
      </c>
      <c r="F35" t="inlineStr">
        <is>
          <t>2026-01-09 13:47:35</t>
        </is>
      </c>
      <c r="G35" t="inlineStr">
        <is>
          <t>视频</t>
        </is>
      </c>
      <c r="H35" t="inlineStr">
        <is>
          <t>生蚝乳山生蚝海蛎子顺丰包邮</t>
        </is>
      </c>
      <c r="I35" t="inlineStr">
        <is>
          <t>690c70971b787900010866cc</t>
        </is>
      </c>
      <c r="J35" t="n">
        <v>27.0</v>
      </c>
      <c r="K35" t="n">
        <v>0.0</v>
      </c>
      <c r="L35" t="n">
        <v>0.0</v>
      </c>
      <c r="M35" t="n">
        <v>4.0</v>
      </c>
      <c r="N35" t="inlineStr">
        <is>
          <t>0.018604651162790697</t>
        </is>
      </c>
      <c r="O35" t="n">
        <v>4.0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inlineStr">
        <is>
          <t/>
        </is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215.0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11.567441860465117</v>
      </c>
      <c r="AL35" t="n">
        <v>0.1863799283154122</v>
      </c>
    </row>
    <row r="36">
      <c r="A36" t="inlineStr">
        <is>
          <t>买了整条三文鱼回家，被我妈夸了☺️</t>
        </is>
      </c>
      <c r="B36" t="inlineStr">
        <is>
          <t>6982b7ba000000001a01cbd7</t>
        </is>
      </c>
      <c r="C36" s="35" t="n">
        <f>HYPERLINK("https://www.xiaohongshu.com/explore/6982b7ba000000001a01cbd7?xsec_token=TBRUGO98Ap-B8eSGcZxxfvdDDhjT1ocTPAIOIvN6y36RA=&amp;xsec_source=pc_trdark","https://www.xiaohongshu.com/explore/6982b7ba000000001a01cbd7?xsec_token=TBRUGO98Ap-B8eSGcZxxfvdDDhjT1ocTPAIOIvN6y36RA=&amp;xsec_source=pc_trdark")</f>
        <v>0.0</v>
      </c>
      <c r="D36" t="inlineStr">
        <is>
          <t>鲜水湾</t>
        </is>
      </c>
      <c r="E36" t="inlineStr">
        <is>
          <t>49316638994</t>
        </is>
      </c>
      <c r="F36" t="inlineStr">
        <is>
          <t>2026-02-04 11:06:34</t>
        </is>
      </c>
      <c r="G36" t="inlineStr">
        <is>
          <t>图文</t>
        </is>
      </c>
      <c r="H36" t="inlineStr">
        <is>
          <t>智利三文鱼切块·整条三文鱼·深海鱼一人食健康饮食</t>
        </is>
      </c>
      <c r="I36" t="inlineStr">
        <is>
          <t>691ac562a524ee0001b51d7b</t>
        </is>
      </c>
      <c r="J36" t="inlineStr">
        <is>
          <t/>
        </is>
      </c>
      <c r="K36" t="n">
        <v>716.0</v>
      </c>
      <c r="L36" t="n">
        <v>2.0</v>
      </c>
      <c r="M36" t="n">
        <v>48.0</v>
      </c>
      <c r="N36" t="inlineStr">
        <is>
          <t>0.23645320197044334</t>
        </is>
      </c>
      <c r="O36" t="n">
        <v>41.0</v>
      </c>
      <c r="P36" t="n">
        <v>2.0</v>
      </c>
      <c r="Q36" t="inlineStr">
        <is>
          <t>0.041666666666666664</t>
        </is>
      </c>
      <c r="R36" t="inlineStr">
        <is>
          <t>0.04878048780487805</t>
        </is>
      </c>
      <c r="S36" t="n">
        <v>368.0</v>
      </c>
      <c r="T36" t="n">
        <v>1.0</v>
      </c>
      <c r="U36" t="n">
        <v>1.0</v>
      </c>
      <c r="V36" t="n">
        <v>368.0</v>
      </c>
      <c r="W36" t="n">
        <v>0.5139664804469274</v>
      </c>
      <c r="X36" t="n">
        <v>1.0</v>
      </c>
      <c r="Y36" t="n">
        <v>11.0</v>
      </c>
      <c r="Z36" t="n">
        <v>30.0</v>
      </c>
      <c r="AA36" t="n">
        <v>636.8</v>
      </c>
      <c r="AB36" t="n">
        <v>0.0</v>
      </c>
      <c r="AC36" t="n">
        <v>0.0</v>
      </c>
      <c r="AD36" t="n">
        <v>203.0</v>
      </c>
      <c r="AE36" t="n">
        <v>3.0</v>
      </c>
      <c r="AF36" t="n">
        <v>0.0</v>
      </c>
      <c r="AG36" t="n">
        <v>2.0</v>
      </c>
      <c r="AH36" t="n">
        <v>2.0</v>
      </c>
      <c r="AI36" t="n">
        <v>1.0</v>
      </c>
      <c r="AJ36" t="n">
        <v>0.0</v>
      </c>
      <c r="AK36" t="n">
        <v>17.261083743842363</v>
      </c>
      <c r="AL36" t="inlineStr">
        <is>
          <t/>
        </is>
      </c>
    </row>
    <row r="37">
      <c r="A37" t="inlineStr">
        <is>
          <t>100来块实现头籽甜虾自由！</t>
        </is>
      </c>
      <c r="B37" t="inlineStr">
        <is>
          <t>69801642000000000c037ccf</t>
        </is>
      </c>
      <c r="C37" s="36" t="n">
        <f>HYPERLINK("https://www.xiaohongshu.com/explore/69801642000000000c037ccf?xsec_token=TBZp4EcwSVhJKyeKQt7CpumT7nPWGviQDYckcsRNc5U4Q=&amp;xsec_source=pc_trdark","https://www.xiaohongshu.com/explore/69801642000000000c037ccf?xsec_token=TBZp4EcwSVhJKyeKQt7CpumT7nPWGviQDYckcsRNc5U4Q=&amp;xsec_source=pc_trdark")</f>
        <v>0.0</v>
      </c>
      <c r="D37" t="inlineStr">
        <is>
          <t>鲜水湾甄选</t>
        </is>
      </c>
      <c r="E37" t="inlineStr">
        <is>
          <t>27401929161</t>
        </is>
      </c>
      <c r="F37" t="inlineStr">
        <is>
          <t>2026-02-02 11:13:06</t>
        </is>
      </c>
      <c r="G37" t="inlineStr">
        <is>
          <t>图文</t>
        </is>
      </c>
      <c r="H37" t="inlineStr">
        <is>
          <t>北极甜虾头籽甜虾元宝虾北极熊冰虾孕妈妈宝宝辅食顺丰</t>
        </is>
      </c>
      <c r="I37" t="inlineStr">
        <is>
          <t>6953717eb8f0bb000115158d</t>
        </is>
      </c>
      <c r="J37" t="inlineStr">
        <is>
          <t/>
        </is>
      </c>
      <c r="K37" t="n">
        <v>0.0</v>
      </c>
      <c r="L37" t="n">
        <v>0.0</v>
      </c>
      <c r="M37" t="n">
        <v>45.0</v>
      </c>
      <c r="N37" t="inlineStr">
        <is>
          <t>0.22388059701492538</t>
        </is>
      </c>
      <c r="O37" t="n">
        <v>41.0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inlineStr">
        <is>
          <t/>
        </is>
      </c>
      <c r="X37" t="n">
        <v>0.0</v>
      </c>
      <c r="Y37" t="n">
        <v>8.0</v>
      </c>
      <c r="Z37" t="n">
        <v>5.0</v>
      </c>
      <c r="AA37" t="n">
        <v>0.0</v>
      </c>
      <c r="AB37" t="n">
        <v>0.0</v>
      </c>
      <c r="AC37" t="n">
        <v>0.0</v>
      </c>
      <c r="AD37" t="n">
        <v>201.0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8.059701492537313</v>
      </c>
      <c r="AL37" t="inlineStr">
        <is>
          <t/>
        </is>
      </c>
    </row>
    <row r="38">
      <c r="A38" t="inlineStr">
        <is>
          <t>这么大的生蚝你能吃几个？</t>
        </is>
      </c>
      <c r="B38" t="inlineStr">
        <is>
          <t>6923f964000000001e027c8f</t>
        </is>
      </c>
      <c r="C38" s="37" t="n">
        <f>HYPERLINK("https://www.xiaohongshu.com/explore/6923f964000000001e027c8f?xsec_token=TBBxL79LDzc6WqpUNHJD-EhWwcY2GgAg9WSXeLoqYOhgc=&amp;xsec_source=pc_trdark","https://www.xiaohongshu.com/explore/6923f964000000001e027c8f?xsec_token=TBBxL79LDzc6WqpUNHJD-EhWwcY2GgAg9WSXeLoqYOhgc=&amp;xsec_source=pc_trdark")</f>
        <v>0.0</v>
      </c>
      <c r="D38" t="inlineStr">
        <is>
          <t>婉婉上班吃什么</t>
        </is>
      </c>
      <c r="E38" t="inlineStr">
        <is>
          <t>11434449706</t>
        </is>
      </c>
      <c r="F38" t="inlineStr">
        <is>
          <t>2025-11-24 14:21:24</t>
        </is>
      </c>
      <c r="G38" t="inlineStr">
        <is>
          <t>视频</t>
        </is>
      </c>
      <c r="H38" t="inlineStr">
        <is>
          <t>生蚝乳山生蚝海蛎子顺丰包邮</t>
        </is>
      </c>
      <c r="I38" t="inlineStr">
        <is>
          <t>690c70971b787900010866cc</t>
        </is>
      </c>
      <c r="J38" t="n">
        <v>16.0</v>
      </c>
      <c r="K38" t="n">
        <v>0.0</v>
      </c>
      <c r="L38" t="n">
        <v>0.0</v>
      </c>
      <c r="M38" t="n">
        <v>1.0</v>
      </c>
      <c r="N38" t="inlineStr">
        <is>
          <t>0.005154639175257732</t>
        </is>
      </c>
      <c r="O38" t="n">
        <v>1.0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inlineStr">
        <is>
          <t/>
        </is>
      </c>
      <c r="X38" t="n">
        <v>0.0</v>
      </c>
      <c r="Y38" t="n">
        <v>0.0</v>
      </c>
      <c r="Z38" t="n">
        <v>1.0</v>
      </c>
      <c r="AA38" t="n">
        <v>0.0</v>
      </c>
      <c r="AB38" t="n">
        <v>0.0</v>
      </c>
      <c r="AC38" t="n">
        <v>0.0</v>
      </c>
      <c r="AD38" t="n">
        <v>194.0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10.417525773195877</v>
      </c>
      <c r="AL38" t="n">
        <v>0.3107569721115538</v>
      </c>
    </row>
    <row r="39">
      <c r="A39" t="inlineStr">
        <is>
          <t>准爸爸吃完这一口又幸福了</t>
        </is>
      </c>
      <c r="B39" t="inlineStr">
        <is>
          <t>6942543a000000001f00d14c</t>
        </is>
      </c>
      <c r="C39" s="38" t="n">
        <f>HYPERLINK("https://www.xiaohongshu.com/explore/6942543a000000001f00d14c?xsec_token=TB0tDM60Z2n8tclFaINyevIV8AAGDWKFpC6kzdoIaSBkY=&amp;xsec_source=pc_trdark","https://www.xiaohongshu.com/explore/6942543a000000001f00d14c?xsec_token=TB0tDM60Z2n8tclFaINyevIV8AAGDWKFpC6kzdoIaSBkY=&amp;xsec_source=pc_trdark")</f>
        <v>0.0</v>
      </c>
      <c r="D39" t="inlineStr">
        <is>
          <t>婉婉上班吃什么</t>
        </is>
      </c>
      <c r="E39" t="inlineStr">
        <is>
          <t>11434449706</t>
        </is>
      </c>
      <c r="F39" t="inlineStr">
        <is>
          <t>2025-12-17 14:56:58</t>
        </is>
      </c>
      <c r="G39" t="inlineStr">
        <is>
          <t>视频</t>
        </is>
      </c>
      <c r="H39" t="inlineStr">
        <is>
          <t>生蚝乳山生蚝海蛎子顺丰包邮</t>
        </is>
      </c>
      <c r="I39" t="inlineStr">
        <is>
          <t>690c70971b787900010866cc</t>
        </is>
      </c>
      <c r="J39" t="n">
        <v>26.0</v>
      </c>
      <c r="K39" t="n">
        <v>0.0</v>
      </c>
      <c r="L39" t="n">
        <v>0.0</v>
      </c>
      <c r="M39" t="n">
        <v>14.0</v>
      </c>
      <c r="N39" t="n">
        <v>0.0748663101604278</v>
      </c>
      <c r="O39" t="n">
        <v>11.0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inlineStr">
        <is>
          <t/>
        </is>
      </c>
      <c r="X39" t="n">
        <v>0.0</v>
      </c>
      <c r="Y39" t="n">
        <v>1.0</v>
      </c>
      <c r="Z39" t="n">
        <v>7.0</v>
      </c>
      <c r="AA39" t="n">
        <v>0.0</v>
      </c>
      <c r="AB39" t="n">
        <v>0.0</v>
      </c>
      <c r="AC39" t="n">
        <v>0.0</v>
      </c>
      <c r="AD39" t="n">
        <v>187.0</v>
      </c>
      <c r="AE39" t="n">
        <v>1.0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9.165775401069519</v>
      </c>
      <c r="AL39" t="inlineStr">
        <is>
          <t>0.11059907834101383</t>
        </is>
      </c>
    </row>
    <row r="40">
      <c r="A40" t="inlineStr">
        <is>
          <t>唯一缺点：每年冬天才能吃到巅峰状态！</t>
        </is>
      </c>
      <c r="B40" t="inlineStr">
        <is>
          <t>6965fec9000000001a02b1ff</t>
        </is>
      </c>
      <c r="C40" s="39" t="n">
        <f>HYPERLINK("https://www.xiaohongshu.com/explore/6965fec9000000001a02b1ff?xsec_token=TBE9WU_urHEsXnQ8_LNO6gIQDV7v5DHA9yxliHE0F7npA=&amp;xsec_source=pc_trdark","https://www.xiaohongshu.com/explore/6965fec9000000001a02b1ff?xsec_token=TBE9WU_urHEsXnQ8_LNO6gIQDV7v5DHA9yxliHE0F7npA=&amp;xsec_source=pc_trdark")</f>
        <v>0.0</v>
      </c>
      <c r="D40" t="inlineStr">
        <is>
          <t>婉婉上班吃什么</t>
        </is>
      </c>
      <c r="E40" t="inlineStr">
        <is>
          <t>11434449706</t>
        </is>
      </c>
      <c r="F40" t="inlineStr">
        <is>
          <t>2026-01-13 16:14:01</t>
        </is>
      </c>
      <c r="G40" t="inlineStr">
        <is>
          <t>视频</t>
        </is>
      </c>
      <c r="H40" t="inlineStr">
        <is>
          <t>生蚝乳山生蚝海蛎子顺丰包邮</t>
        </is>
      </c>
      <c r="I40" t="inlineStr">
        <is>
          <t>690c70971b787900010866cc</t>
        </is>
      </c>
      <c r="J40" t="n">
        <v>23.0</v>
      </c>
      <c r="K40" t="n">
        <v>0.0</v>
      </c>
      <c r="L40" t="n">
        <v>0.0</v>
      </c>
      <c r="M40" t="n">
        <v>4.0</v>
      </c>
      <c r="N40" t="n">
        <v>0.0223463687150838</v>
      </c>
      <c r="O40" t="n">
        <v>4.0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inlineStr">
        <is>
          <t/>
        </is>
      </c>
      <c r="X40" t="n">
        <v>0.0</v>
      </c>
      <c r="Y40" t="n">
        <v>0.0</v>
      </c>
      <c r="Z40" t="n">
        <v>2.0</v>
      </c>
      <c r="AA40" t="n">
        <v>0.0</v>
      </c>
      <c r="AB40" t="n">
        <v>0.0</v>
      </c>
      <c r="AC40" t="n">
        <v>0.0</v>
      </c>
      <c r="AD40" t="n">
        <v>179.0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4.307262569832402</v>
      </c>
      <c r="AL40" t="inlineStr">
        <is>
          <t>0.047872340425531915</t>
        </is>
      </c>
    </row>
    <row r="41">
      <c r="A41" t="inlineStr">
        <is>
          <t>新年送礼被问爆！整条三文鱼礼盒太有面了</t>
        </is>
      </c>
      <c r="B41" t="inlineStr">
        <is>
          <t>698197600000000028021a81</t>
        </is>
      </c>
      <c r="C41" s="40" t="n">
        <f>HYPERLINK("https://www.xiaohongshu.com/explore/698197600000000028021a81?xsec_token=TBCSP6T6xotiZWoIZvuSKQiBW6fQAyJUVJP04K6Tt2nJw=&amp;xsec_source=pc_trdark","https://www.xiaohongshu.com/explore/698197600000000028021a81?xsec_token=TBCSP6T6xotiZWoIZvuSKQiBW6fQAyJUVJP04K6Tt2nJw=&amp;xsec_source=pc_trdark")</f>
        <v>0.0</v>
      </c>
      <c r="D41" t="inlineStr">
        <is>
          <t>鲜水湾</t>
        </is>
      </c>
      <c r="E41" t="inlineStr">
        <is>
          <t>49316638994</t>
        </is>
      </c>
      <c r="F41" t="inlineStr">
        <is>
          <t>2026-02-03 14:36:16</t>
        </is>
      </c>
      <c r="G41" t="inlineStr">
        <is>
          <t>图文</t>
        </is>
      </c>
      <c r="H41" t="inlineStr">
        <is>
          <t>智利三文鱼切块·整条三文鱼·深海鱼一人食健康饮食</t>
        </is>
      </c>
      <c r="I41" t="inlineStr">
        <is>
          <t>691ac562a524ee0001b51d7b</t>
        </is>
      </c>
      <c r="J41" t="inlineStr">
        <is>
          <t/>
        </is>
      </c>
      <c r="K41" t="n">
        <v>1452.0</v>
      </c>
      <c r="L41" t="n">
        <v>3.0</v>
      </c>
      <c r="M41" t="n">
        <v>37.0</v>
      </c>
      <c r="N41" t="n">
        <v>0.2138728323699422</v>
      </c>
      <c r="O41" t="n">
        <v>33.0</v>
      </c>
      <c r="P41" t="n">
        <v>3.0</v>
      </c>
      <c r="Q41" t="inlineStr">
        <is>
          <t>0.08108108108108109</t>
        </is>
      </c>
      <c r="R41" t="inlineStr">
        <is>
          <t>0.09090909090909091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8.0</v>
      </c>
      <c r="Z41" t="n">
        <v>10.0</v>
      </c>
      <c r="AA41" t="n">
        <v>0.0</v>
      </c>
      <c r="AB41" t="n">
        <v>0.0</v>
      </c>
      <c r="AC41" t="n">
        <v>0.0</v>
      </c>
      <c r="AD41" t="n">
        <v>173.0</v>
      </c>
      <c r="AE41" t="n">
        <v>0.0</v>
      </c>
      <c r="AF41" t="n">
        <v>1.0</v>
      </c>
      <c r="AG41" t="n">
        <v>0.0</v>
      </c>
      <c r="AH41" t="n">
        <v>2.0</v>
      </c>
      <c r="AI41" t="n">
        <v>1.0</v>
      </c>
      <c r="AJ41" t="n">
        <v>0.0</v>
      </c>
      <c r="AK41" t="n">
        <v>10.115606936416185</v>
      </c>
      <c r="AL41" t="inlineStr">
        <is>
          <t/>
        </is>
      </c>
    </row>
    <row r="42">
      <c r="A42" t="inlineStr">
        <is>
          <t>从青岛发过来的！被爸妈夸了一整天</t>
        </is>
      </c>
      <c r="B42" t="inlineStr">
        <is>
          <t>69870401000000000e00c0fc</t>
        </is>
      </c>
      <c r="C42" s="41" t="n">
        <f>HYPERLINK("https://www.xiaohongshu.com/explore/69870401000000000e00c0fc?xsec_token=TB5RfIaoHWaf_5AWlHC-0CsayumAhvzJp-HbcAYghSoic=&amp;xsec_source=pc_trdark","https://www.xiaohongshu.com/explore/69870401000000000e00c0fc?xsec_token=TB5RfIaoHWaf_5AWlHC-0CsayumAhvzJp-HbcAYghSoic=&amp;xsec_source=pc_trdark")</f>
        <v>0.0</v>
      </c>
      <c r="D42" t="inlineStr">
        <is>
          <t>鲜水湾</t>
        </is>
      </c>
      <c r="E42" t="inlineStr">
        <is>
          <t>49316638994</t>
        </is>
      </c>
      <c r="F42" t="inlineStr">
        <is>
          <t>2026-02-07 17:21:05</t>
        </is>
      </c>
      <c r="G42" t="inlineStr">
        <is>
          <t>图文</t>
        </is>
      </c>
      <c r="H42" t="inlineStr">
        <is>
          <t>大虾基围虾王牌大虾厄瓜多尔白虾盐冻虾仁海洋大虾送礼顺丰包邮</t>
        </is>
      </c>
      <c r="I42" t="inlineStr">
        <is>
          <t>690aeb7be379430001e686ac</t>
        </is>
      </c>
      <c r="J42" t="inlineStr">
        <is>
          <t/>
        </is>
      </c>
      <c r="K42" t="n">
        <v>257.0</v>
      </c>
      <c r="L42" t="n">
        <v>2.0</v>
      </c>
      <c r="M42" t="n">
        <v>36.0</v>
      </c>
      <c r="N42" t="n">
        <v>0.2155688622754491</v>
      </c>
      <c r="O42" t="n">
        <v>27.0</v>
      </c>
      <c r="P42" t="n">
        <v>2.0</v>
      </c>
      <c r="Q42" t="inlineStr">
        <is>
          <t>0.05555555555555555</t>
        </is>
      </c>
      <c r="R42" t="inlineStr">
        <is>
          <t>0.07407407407407407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5.0</v>
      </c>
      <c r="Z42" t="n">
        <v>15.0</v>
      </c>
      <c r="AA42" t="n">
        <v>0.0</v>
      </c>
      <c r="AB42" t="n">
        <v>0.0</v>
      </c>
      <c r="AC42" t="n">
        <v>0.0</v>
      </c>
      <c r="AD42" t="n">
        <v>167.0</v>
      </c>
      <c r="AE42" t="n">
        <v>2.0</v>
      </c>
      <c r="AF42" t="n">
        <v>0.0</v>
      </c>
      <c r="AG42" t="n">
        <v>0.0</v>
      </c>
      <c r="AH42" t="n">
        <v>2.0</v>
      </c>
      <c r="AI42" t="n">
        <v>0.0</v>
      </c>
      <c r="AJ42" t="n">
        <v>0.0</v>
      </c>
      <c r="AK42" t="n">
        <v>11.10179640718563</v>
      </c>
      <c r="AL42" t="inlineStr">
        <is>
          <t/>
        </is>
      </c>
    </row>
    <row r="43">
      <c r="A43" t="inlineStr">
        <is>
          <t>适合年后打工人的干净碳水出现了</t>
        </is>
      </c>
      <c r="B43" t="inlineStr">
        <is>
          <t>699e52ff000000000d00b62c</t>
        </is>
      </c>
      <c r="C43" s="42" t="n">
        <f>HYPERLINK("https://www.xiaohongshu.com/explore/699e52ff000000000d00b62c?xsec_token=TBggKgSP0tIUAtqBAPfP3mLbkFIcSncH0gYVbsSgMIb-4=&amp;xsec_source=pc_trdark","https://www.xiaohongshu.com/explore/699e52ff000000000d00b62c?xsec_token=TBggKgSP0tIUAtqBAPfP3mLbkFIcSncH0gYVbsSgMIb-4=&amp;xsec_source=pc_trdark")</f>
        <v>0.0</v>
      </c>
      <c r="D43" t="inlineStr">
        <is>
          <t>鲜水湾</t>
        </is>
      </c>
      <c r="E43" t="inlineStr">
        <is>
          <t>49316638994</t>
        </is>
      </c>
      <c r="F43" t="inlineStr">
        <is>
          <t>2026-02-25 09:40:15</t>
        </is>
      </c>
      <c r="G43" t="inlineStr">
        <is>
          <t>图文</t>
        </is>
      </c>
      <c r="H43" t="inlineStr">
        <is>
          <t>大虾基围虾王牌大虾厄瓜多尔白虾盐冻虾仁海洋大虾送礼顺丰包邮</t>
        </is>
      </c>
      <c r="I43" t="inlineStr">
        <is>
          <t>690aeb7be379430001e686ac</t>
        </is>
      </c>
      <c r="J43" t="inlineStr">
        <is>
          <t/>
        </is>
      </c>
      <c r="K43" t="n">
        <v>79.0</v>
      </c>
      <c r="L43" t="n">
        <v>1.0</v>
      </c>
      <c r="M43" t="n">
        <v>12.0</v>
      </c>
      <c r="N43" t="inlineStr">
        <is>
          <t>0.07272727272727272</t>
        </is>
      </c>
      <c r="O43" t="n">
        <v>12.0</v>
      </c>
      <c r="P43" t="n">
        <v>1.0</v>
      </c>
      <c r="Q43" t="inlineStr">
        <is>
          <t>0.08333333333333333</t>
        </is>
      </c>
      <c r="R43" t="inlineStr">
        <is>
          <t>0.08333333333333333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4.0</v>
      </c>
      <c r="Z43" t="n">
        <v>2.0</v>
      </c>
      <c r="AA43" t="n">
        <v>0.0</v>
      </c>
      <c r="AB43" t="n">
        <v>0.0</v>
      </c>
      <c r="AC43" t="n">
        <v>0.0</v>
      </c>
      <c r="AD43" t="n">
        <v>165.0</v>
      </c>
      <c r="AE43" t="n">
        <v>0.0</v>
      </c>
      <c r="AF43" t="n">
        <v>0.0</v>
      </c>
      <c r="AG43" t="n">
        <v>1.0</v>
      </c>
      <c r="AH43" t="n">
        <v>2.0</v>
      </c>
      <c r="AI43" t="n">
        <v>0.0</v>
      </c>
      <c r="AJ43" t="n">
        <v>0.0</v>
      </c>
      <c r="AK43" t="n">
        <v>7.5636363636363635</v>
      </c>
      <c r="AL43" t="inlineStr">
        <is>
          <t/>
        </is>
      </c>
    </row>
    <row r="44">
      <c r="A44" t="inlineStr">
        <is>
          <t>青岛发过来的，被爸妈夸了一整天</t>
        </is>
      </c>
      <c r="B44" t="inlineStr">
        <is>
          <t>698937ad000000000b009bb0</t>
        </is>
      </c>
      <c r="C44" s="43" t="n">
        <f>HYPERLINK("https://www.xiaohongshu.com/explore/698937ad000000000b009bb0?xsec_token=TBeAeWMkLJ9etYlFDlK3pguRQ81OSHz-Arl4bPUNqa1vE=&amp;xsec_source=pc_trdark","https://www.xiaohongshu.com/explore/698937ad000000000b009bb0?xsec_token=TBeAeWMkLJ9etYlFDlK3pguRQ81OSHz-Arl4bPUNqa1vE=&amp;xsec_source=pc_trdark")</f>
        <v>0.0</v>
      </c>
      <c r="D44" t="inlineStr">
        <is>
          <t>鲜水湾甄选</t>
        </is>
      </c>
      <c r="E44" t="inlineStr">
        <is>
          <t>27401929161</t>
        </is>
      </c>
      <c r="F44" t="inlineStr">
        <is>
          <t>2026-02-09 09:26:06</t>
        </is>
      </c>
      <c r="G44" t="inlineStr">
        <is>
          <t>图文</t>
        </is>
      </c>
      <c r="H44" t="inlineStr">
        <is>
          <t>智利三文鱼切块·整条三文鱼·深海鱼一人食健康饮食</t>
        </is>
      </c>
      <c r="I44" t="inlineStr">
        <is>
          <t>691ac562a524ee0001b51d7b</t>
        </is>
      </c>
      <c r="J44" t="inlineStr">
        <is>
          <t/>
        </is>
      </c>
      <c r="K44" t="n">
        <v>1094.0</v>
      </c>
      <c r="L44" t="n">
        <v>3.0</v>
      </c>
      <c r="M44" t="n">
        <v>27.0</v>
      </c>
      <c r="N44" t="inlineStr">
        <is>
          <t>0.16463414634146342</t>
        </is>
      </c>
      <c r="O44" t="n">
        <v>20.0</v>
      </c>
      <c r="P44" t="n">
        <v>3.0</v>
      </c>
      <c r="Q44" t="n">
        <v>0.1111111111111111</v>
      </c>
      <c r="R44" t="n">
        <v>0.15</v>
      </c>
      <c r="S44" t="n">
        <v>1094.0</v>
      </c>
      <c r="T44" t="n">
        <v>3.0</v>
      </c>
      <c r="U44" t="n">
        <v>3.0</v>
      </c>
      <c r="V44" t="n">
        <v>1094.0</v>
      </c>
      <c r="W44" t="n">
        <v>1.0</v>
      </c>
      <c r="X44" t="n">
        <v>3.0</v>
      </c>
      <c r="Y44" t="n">
        <v>4.0</v>
      </c>
      <c r="Z44" t="n">
        <v>10.0</v>
      </c>
      <c r="AA44" t="n">
        <v>0.0</v>
      </c>
      <c r="AB44" t="n">
        <v>0.0</v>
      </c>
      <c r="AC44" t="n">
        <v>0.0</v>
      </c>
      <c r="AD44" t="n">
        <v>164.0</v>
      </c>
      <c r="AE44" t="n">
        <v>2.0</v>
      </c>
      <c r="AF44" t="n">
        <v>0.0</v>
      </c>
      <c r="AG44" t="n">
        <v>0.0</v>
      </c>
      <c r="AH44" t="n">
        <v>1.0</v>
      </c>
      <c r="AI44" t="n">
        <v>0.0</v>
      </c>
      <c r="AJ44" t="n">
        <v>0.0</v>
      </c>
      <c r="AK44" t="n">
        <v>15.439024390243903</v>
      </c>
      <c r="AL44" t="inlineStr">
        <is>
          <t/>
        </is>
      </c>
    </row>
    <row r="45">
      <c r="A45" t="inlineStr">
        <is>
          <t>买了一整条三文鱼回家过年🧨</t>
        </is>
      </c>
      <c r="B45" t="inlineStr">
        <is>
          <t>698a9b64000000001a02c083</t>
        </is>
      </c>
      <c r="C45" s="44" t="n">
        <f>HYPERLINK("https://www.xiaohongshu.com/explore/698a9b64000000001a02c083?xsec_token=TBG0mKfxVH0N0QJz26OSUyhYFzyb4Pc8wYmcr0of-957U=&amp;xsec_source=pc_trdark","https://www.xiaohongshu.com/explore/698a9b64000000001a02c083?xsec_token=TBG0mKfxVH0N0QJz26OSUyhYFzyb4Pc8wYmcr0of-957U=&amp;xsec_source=pc_trdark")</f>
        <v>0.0</v>
      </c>
      <c r="D45" t="inlineStr">
        <is>
          <t>鲜水湾</t>
        </is>
      </c>
      <c r="E45" t="inlineStr">
        <is>
          <t>49316638994</t>
        </is>
      </c>
      <c r="F45" t="inlineStr">
        <is>
          <t>2026-02-10 10:43:48</t>
        </is>
      </c>
      <c r="G45" t="inlineStr">
        <is>
          <t>图文</t>
        </is>
      </c>
      <c r="H45" t="inlineStr">
        <is>
          <t>智利三文鱼切块·整条三文鱼·深海鱼一人食健康饮食</t>
        </is>
      </c>
      <c r="I45" t="inlineStr">
        <is>
          <t>691ac562a524ee0001b51d7b</t>
        </is>
      </c>
      <c r="J45" t="inlineStr">
        <is>
          <t/>
        </is>
      </c>
      <c r="K45" t="n">
        <v>0.0</v>
      </c>
      <c r="L45" t="n">
        <v>0.0</v>
      </c>
      <c r="M45" t="n">
        <v>17.0</v>
      </c>
      <c r="N45" t="inlineStr">
        <is>
          <t>0.10493827160493827</t>
        </is>
      </c>
      <c r="O45" t="n">
        <v>16.0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inlineStr">
        <is>
          <t/>
        </is>
      </c>
      <c r="X45" t="n">
        <v>0.0</v>
      </c>
      <c r="Y45" t="n">
        <v>3.0</v>
      </c>
      <c r="Z45" t="n">
        <v>3.0</v>
      </c>
      <c r="AA45" t="n">
        <v>0.0</v>
      </c>
      <c r="AB45" t="n">
        <v>0.0</v>
      </c>
      <c r="AC45" t="n">
        <v>0.0</v>
      </c>
      <c r="AD45" t="n">
        <v>162.0</v>
      </c>
      <c r="AE45" t="n">
        <v>2.0</v>
      </c>
      <c r="AF45" t="n">
        <v>0.0</v>
      </c>
      <c r="AG45" t="n">
        <v>0.0</v>
      </c>
      <c r="AH45" t="n">
        <v>2.0</v>
      </c>
      <c r="AI45" t="n">
        <v>0.0</v>
      </c>
      <c r="AJ45" t="n">
        <v>0.0</v>
      </c>
      <c r="AK45" t="n">
        <v>14.376543209876543</v>
      </c>
      <c r="AL45" t="inlineStr">
        <is>
          <t/>
        </is>
      </c>
    </row>
    <row r="46">
      <c r="A46" t="inlineStr">
        <is>
          <t>建议十二月狠狠吃生蚝，40+一箱的生蚝真嫩~</t>
        </is>
      </c>
      <c r="B46" t="inlineStr">
        <is>
          <t>693a3eff000000001d03cdbe</t>
        </is>
      </c>
      <c r="C46" s="45" t="n">
        <f>HYPERLINK("https://www.xiaohongshu.com/explore/693a3eff000000001d03cdbe?xsec_token=TBSe-eT4tPFhzXSmwZAcjHHzmieHTnjkTL_S03ZMh_jG0=&amp;xsec_source=pc_trdark","https://www.xiaohongshu.com/explore/693a3eff000000001d03cdbe?xsec_token=TBSe-eT4tPFhzXSmwZAcjHHzmieHTnjkTL_S03ZMh_jG0=&amp;xsec_source=pc_trdark")</f>
        <v>0.0</v>
      </c>
      <c r="D46" t="inlineStr">
        <is>
          <t>婉婉上班吃什么</t>
        </is>
      </c>
      <c r="E46" t="inlineStr">
        <is>
          <t>11434449706</t>
        </is>
      </c>
      <c r="F46" t="inlineStr">
        <is>
          <t>2025-12-11 11:48:15</t>
        </is>
      </c>
      <c r="G46" t="inlineStr">
        <is>
          <t>视频</t>
        </is>
      </c>
      <c r="H46" t="inlineStr">
        <is>
          <t>生蚝乳山生蚝海蛎子顺丰包邮</t>
        </is>
      </c>
      <c r="I46" t="inlineStr">
        <is>
          <t>690c70971b787900010866cc</t>
        </is>
      </c>
      <c r="J46" t="n">
        <v>25.0</v>
      </c>
      <c r="K46" t="n">
        <v>0.0</v>
      </c>
      <c r="L46" t="n">
        <v>0.0</v>
      </c>
      <c r="M46" t="n">
        <v>12.0</v>
      </c>
      <c r="N46" t="inlineStr">
        <is>
          <t>0.07407407407407407</t>
        </is>
      </c>
      <c r="O46" t="n">
        <v>11.0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inlineStr">
        <is>
          <t/>
        </is>
      </c>
      <c r="X46" t="n">
        <v>0.0</v>
      </c>
      <c r="Y46" t="n">
        <v>0.0</v>
      </c>
      <c r="Z46" t="n">
        <v>9.0</v>
      </c>
      <c r="AA46" t="n">
        <v>0.0</v>
      </c>
      <c r="AB46" t="n">
        <v>0.0</v>
      </c>
      <c r="AC46" t="n">
        <v>0.0</v>
      </c>
      <c r="AD46" t="n">
        <v>162.0</v>
      </c>
      <c r="AE46" t="n">
        <v>0.0</v>
      </c>
      <c r="AF46" t="n">
        <v>0.0</v>
      </c>
      <c r="AG46" t="n">
        <v>0.0</v>
      </c>
      <c r="AH46" t="n">
        <v>1.0</v>
      </c>
      <c r="AI46" t="n">
        <v>0.0</v>
      </c>
      <c r="AJ46" t="n">
        <v>0.0</v>
      </c>
      <c r="AK46" t="n">
        <v>8.012345679012345</v>
      </c>
      <c r="AL46" t="inlineStr">
        <is>
          <t>0.10471204188481675</t>
        </is>
      </c>
    </row>
    <row r="47">
      <c r="A47" t="inlineStr">
        <is>
          <t>爱你老己 又给老己买到好吃的大生蚝了🥹</t>
        </is>
      </c>
      <c r="B47" t="inlineStr">
        <is>
          <t>696b31e6000000001a0368ed</t>
        </is>
      </c>
      <c r="C47" s="46" t="n">
        <f>HYPERLINK("https://www.xiaohongshu.com/explore/696b31e6000000001a0368ed?xsec_token=TByNwaULKQbwsz_w7rWk61uPHiiktQq8xclHCWQOqg6YU=&amp;xsec_source=pc_trdark","https://www.xiaohongshu.com/explore/696b31e6000000001a0368ed?xsec_token=TByNwaULKQbwsz_w7rWk61uPHiiktQq8xclHCWQOqg6YU=&amp;xsec_source=pc_trdark")</f>
        <v>0.0</v>
      </c>
      <c r="D47" t="inlineStr">
        <is>
          <t>婉婉上班吃什么</t>
        </is>
      </c>
      <c r="E47" t="inlineStr">
        <is>
          <t>11434449706</t>
        </is>
      </c>
      <c r="F47" t="inlineStr">
        <is>
          <t>2026-01-17 14:53:26</t>
        </is>
      </c>
      <c r="G47" t="inlineStr">
        <is>
          <t>视频</t>
        </is>
      </c>
      <c r="H47" t="inlineStr">
        <is>
          <t>生蚝乳山生蚝海蛎子顺丰包邮</t>
        </is>
      </c>
      <c r="I47" t="inlineStr">
        <is>
          <t>690c70971b787900010866cc</t>
        </is>
      </c>
      <c r="J47" t="n">
        <v>22.0</v>
      </c>
      <c r="K47" t="n">
        <v>0.0</v>
      </c>
      <c r="L47" t="n">
        <v>0.0</v>
      </c>
      <c r="M47" t="n">
        <v>1.0</v>
      </c>
      <c r="N47" t="n">
        <v>0.00625</v>
      </c>
      <c r="O47" t="n">
        <v>1.0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inlineStr">
        <is>
          <t/>
        </is>
      </c>
      <c r="X47" t="n">
        <v>0.0</v>
      </c>
      <c r="Y47" t="n">
        <v>0.0</v>
      </c>
      <c r="Z47" t="n">
        <v>1.0</v>
      </c>
      <c r="AA47" t="n">
        <v>0.0</v>
      </c>
      <c r="AB47" t="n">
        <v>0.0</v>
      </c>
      <c r="AC47" t="n">
        <v>0.0</v>
      </c>
      <c r="AD47" t="n">
        <v>160.0</v>
      </c>
      <c r="AE47" t="n">
        <v>0.0</v>
      </c>
      <c r="AF47" t="n">
        <v>0.0</v>
      </c>
      <c r="AG47" t="n">
        <v>0.0</v>
      </c>
      <c r="AH47" t="n">
        <v>0.0</v>
      </c>
      <c r="AI47" t="n">
        <v>1.0</v>
      </c>
      <c r="AJ47" t="n">
        <v>0.0</v>
      </c>
      <c r="AK47" t="n">
        <v>4.45625</v>
      </c>
      <c r="AL47" t="inlineStr">
        <is>
          <t>0.06432748538011696</t>
        </is>
      </c>
    </row>
    <row r="48">
      <c r="A48" t="inlineStr">
        <is>
          <t>重新定义10多块钱的购买力！</t>
        </is>
      </c>
      <c r="B48" t="inlineStr">
        <is>
          <t>696f47ec000000001a0210c5</t>
        </is>
      </c>
      <c r="C48" s="47" t="n">
        <f>HYPERLINK("https://www.xiaohongshu.com/explore/696f47ec000000001a0210c5?xsec_token=TBhNblbQcUsDvO_PJ-ZmFokkoRIXnWkHX1a6mUqLdCJ5s=&amp;xsec_source=pc_trdark","https://www.xiaohongshu.com/explore/696f47ec000000001a0210c5?xsec_token=TBhNblbQcUsDvO_PJ-ZmFokkoRIXnWkHX1a6mUqLdCJ5s=&amp;xsec_source=pc_trdark")</f>
        <v>0.0</v>
      </c>
      <c r="D48" t="inlineStr">
        <is>
          <t>婉婉上班吃什么</t>
        </is>
      </c>
      <c r="E48" t="inlineStr">
        <is>
          <t>11434449706</t>
        </is>
      </c>
      <c r="F48" t="inlineStr">
        <is>
          <t>2026-01-20 17:16:28</t>
        </is>
      </c>
      <c r="G48" t="inlineStr">
        <is>
          <t>视频</t>
        </is>
      </c>
      <c r="H48" t="inlineStr">
        <is>
          <t>生蚝乳山生蚝海蛎子顺丰包邮</t>
        </is>
      </c>
      <c r="I48" t="inlineStr">
        <is>
          <t>690c70971b787900010866cc</t>
        </is>
      </c>
      <c r="J48" t="n">
        <v>13.0</v>
      </c>
      <c r="K48" t="n">
        <v>0.0</v>
      </c>
      <c r="L48" t="n">
        <v>0.0</v>
      </c>
      <c r="M48" t="n">
        <v>5.0</v>
      </c>
      <c r="N48" t="inlineStr">
        <is>
          <t>0.031446540880503145</t>
        </is>
      </c>
      <c r="O48" t="n">
        <v>5.0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inlineStr">
        <is>
          <t/>
        </is>
      </c>
      <c r="X48" t="n">
        <v>0.0</v>
      </c>
      <c r="Y48" t="n">
        <v>1.0</v>
      </c>
      <c r="Z48" t="n">
        <v>1.0</v>
      </c>
      <c r="AA48" t="n">
        <v>0.0</v>
      </c>
      <c r="AB48" t="n">
        <v>0.0</v>
      </c>
      <c r="AC48" t="n">
        <v>0.0</v>
      </c>
      <c r="AD48" t="n">
        <v>159.0</v>
      </c>
      <c r="AE48" t="n">
        <v>0.0</v>
      </c>
      <c r="AF48" t="n">
        <v>0.0</v>
      </c>
      <c r="AG48" t="n">
        <v>0.0</v>
      </c>
      <c r="AH48" t="n">
        <v>1.0</v>
      </c>
      <c r="AI48" t="n">
        <v>0.0</v>
      </c>
      <c r="AJ48" t="n">
        <v>0.0</v>
      </c>
      <c r="AK48" t="n">
        <v>6.1257861635220126</v>
      </c>
      <c r="AL48" t="inlineStr">
        <is>
          <t>0.22950819672131148</t>
        </is>
      </c>
    </row>
    <row r="49">
      <c r="A49" t="inlineStr">
        <is>
          <t>100元的购买力，真的让我目瞪口呆</t>
        </is>
      </c>
      <c r="B49" t="inlineStr">
        <is>
          <t>69a133e4000000001a01c1a9</t>
        </is>
      </c>
      <c r="C49" s="48" t="n">
        <f>HYPERLINK("https://www.xiaohongshu.com/explore/69a133e4000000001a01c1a9?xsec_token=TBk7Tu9foWGIsieMmGc2tlwigPKcyoIgvUztRQx_4edtE=&amp;xsec_source=pc_trdark","https://www.xiaohongshu.com/explore/69a133e4000000001a01c1a9?xsec_token=TBk7Tu9foWGIsieMmGc2tlwigPKcyoIgvUztRQx_4edtE=&amp;xsec_source=pc_trdark")</f>
        <v>0.0</v>
      </c>
      <c r="D49" t="inlineStr">
        <is>
          <t>鲜水湾</t>
        </is>
      </c>
      <c r="E49" t="inlineStr">
        <is>
          <t>49316638994</t>
        </is>
      </c>
      <c r="F49" t="inlineStr">
        <is>
          <t>2026-02-27 14:04:20</t>
        </is>
      </c>
      <c r="G49" t="inlineStr">
        <is>
          <t>图文</t>
        </is>
      </c>
      <c r="H49" t="inlineStr">
        <is>
          <t>智利三文鱼切块·整条三文鱼·深海鱼一人食健康饮食</t>
        </is>
      </c>
      <c r="I49" t="inlineStr">
        <is>
          <t>691ac562a524ee0001b51d7b</t>
        </is>
      </c>
      <c r="J49" t="inlineStr">
        <is>
          <t/>
        </is>
      </c>
      <c r="K49" t="n">
        <v>68.0</v>
      </c>
      <c r="L49" t="n">
        <v>1.0</v>
      </c>
      <c r="M49" t="n">
        <v>30.0</v>
      </c>
      <c r="N49" t="inlineStr">
        <is>
          <t>0.19230769230769232</t>
        </is>
      </c>
      <c r="O49" t="n">
        <v>29.0</v>
      </c>
      <c r="P49" t="n">
        <v>1.0</v>
      </c>
      <c r="Q49" t="inlineStr">
        <is>
          <t>0.03333333333333333</t>
        </is>
      </c>
      <c r="R49" t="inlineStr">
        <is>
          <t>0.034482758620689655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4.0</v>
      </c>
      <c r="Z49" t="n">
        <v>7.0</v>
      </c>
      <c r="AA49" t="n">
        <v>0.0</v>
      </c>
      <c r="AB49" t="n">
        <v>0.0</v>
      </c>
      <c r="AC49" t="n">
        <v>0.0</v>
      </c>
      <c r="AD49" t="n">
        <v>156.0</v>
      </c>
      <c r="AE49" t="n">
        <v>1.0</v>
      </c>
      <c r="AF49" t="n">
        <v>0.0</v>
      </c>
      <c r="AG49" t="n">
        <v>1.0</v>
      </c>
      <c r="AH49" t="n">
        <v>2.0</v>
      </c>
      <c r="AI49" t="n">
        <v>1.0</v>
      </c>
      <c r="AJ49" t="n">
        <v>0.0</v>
      </c>
      <c r="AK49" t="n">
        <v>10.147435897435898</v>
      </c>
      <c r="AL49" t="inlineStr">
        <is>
          <t/>
        </is>
      </c>
    </row>
    <row r="50">
      <c r="A50" t="inlineStr">
        <is>
          <t>这么大的生蚝你能吃几个？</t>
        </is>
      </c>
      <c r="B50" t="inlineStr">
        <is>
          <t>691fc5ba000000000d00dc1c</t>
        </is>
      </c>
      <c r="C50" s="49" t="n">
        <f>HYPERLINK("https://www.xiaohongshu.com/explore/691fc5ba000000000d00dc1c?xsec_token=TB9t7o6BDguR_qahx6dS5pPXFWnUerXqHlE57ibpG65j0=&amp;xsec_source=pc_trdark","https://www.xiaohongshu.com/explore/691fc5ba000000000d00dc1c?xsec_token=TB9t7o6BDguR_qahx6dS5pPXFWnUerXqHlE57ibpG65j0=&amp;xsec_source=pc_trdark")</f>
        <v>0.0</v>
      </c>
      <c r="D50" t="inlineStr">
        <is>
          <t>婉婉上班吃什么</t>
        </is>
      </c>
      <c r="E50" t="inlineStr">
        <is>
          <t>11434449706</t>
        </is>
      </c>
      <c r="F50" t="inlineStr">
        <is>
          <t>2025-11-21 09:51:54</t>
        </is>
      </c>
      <c r="G50" t="inlineStr">
        <is>
          <t>视频</t>
        </is>
      </c>
      <c r="H50" t="inlineStr">
        <is>
          <t>生蚝乳山生蚝海蛎子顺丰包邮</t>
        </is>
      </c>
      <c r="I50" t="inlineStr">
        <is>
          <t>690c70971b787900010866cc</t>
        </is>
      </c>
      <c r="J50" t="n">
        <v>16.0</v>
      </c>
      <c r="K50" t="n">
        <v>0.0</v>
      </c>
      <c r="L50" t="n">
        <v>0.0</v>
      </c>
      <c r="M50" t="n">
        <v>3.0</v>
      </c>
      <c r="N50" t="inlineStr">
        <is>
          <t>0.019230769230769232</t>
        </is>
      </c>
      <c r="O50" t="n">
        <v>3.0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inlineStr">
        <is>
          <t/>
        </is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156.0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18.724358974358974</v>
      </c>
      <c r="AL50" t="n">
        <v>0.4592833876221498</v>
      </c>
    </row>
    <row r="51">
      <c r="A51" t="inlineStr">
        <is>
          <t>立马回购6箱，家附近超市的再也看不上了</t>
        </is>
      </c>
      <c r="B51" t="inlineStr">
        <is>
          <t>698ae7930000000028022c8a</t>
        </is>
      </c>
      <c r="C51" s="50" t="n">
        <f>HYPERLINK("https://www.xiaohongshu.com/explore/698ae7930000000028022c8a?xsec_token=TBG0mKfxVH0N0QJz26OSUyhZ7H5IKS63UVmRrfyUe6O8I=&amp;xsec_source=pc_trdark","https://www.xiaohongshu.com/explore/698ae7930000000028022c8a?xsec_token=TBG0mKfxVH0N0QJz26OSUyhZ7H5IKS63UVmRrfyUe6O8I=&amp;xsec_source=pc_trdark")</f>
        <v>0.0</v>
      </c>
      <c r="D51" t="inlineStr">
        <is>
          <t>鲜水湾</t>
        </is>
      </c>
      <c r="E51" t="inlineStr">
        <is>
          <t>49316638994</t>
        </is>
      </c>
      <c r="F51" t="inlineStr">
        <is>
          <t>2026-02-10 16:08:51</t>
        </is>
      </c>
      <c r="G51" t="inlineStr">
        <is>
          <t>图文</t>
        </is>
      </c>
      <c r="H51" t="inlineStr">
        <is>
          <t>大虾基围虾王牌大虾厄瓜多尔白虾盐冻虾仁海洋大虾送礼顺丰包邮</t>
        </is>
      </c>
      <c r="I51" t="inlineStr">
        <is>
          <t>690aeb7be379430001e686ac</t>
        </is>
      </c>
      <c r="J51" t="inlineStr">
        <is>
          <t/>
        </is>
      </c>
      <c r="K51" t="n">
        <v>138.0</v>
      </c>
      <c r="L51" t="n">
        <v>2.0</v>
      </c>
      <c r="M51" t="n">
        <v>40.0</v>
      </c>
      <c r="N51" t="inlineStr">
        <is>
          <t>0.26143790849673204</t>
        </is>
      </c>
      <c r="O51" t="n">
        <v>33.0</v>
      </c>
      <c r="P51" t="n">
        <v>2.0</v>
      </c>
      <c r="Q51" t="n">
        <v>0.05</v>
      </c>
      <c r="R51" t="inlineStr">
        <is>
          <t>0.06060606060606061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3.0</v>
      </c>
      <c r="Z51" t="n">
        <v>3.0</v>
      </c>
      <c r="AA51" t="n">
        <v>0.0</v>
      </c>
      <c r="AB51" t="n">
        <v>0.0</v>
      </c>
      <c r="AC51" t="n">
        <v>0.0</v>
      </c>
      <c r="AD51" t="n">
        <v>153.0</v>
      </c>
      <c r="AE51" t="n">
        <v>2.0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8.986928104575163</v>
      </c>
      <c r="AL51" t="inlineStr">
        <is>
          <t/>
        </is>
      </c>
    </row>
    <row r="52">
      <c r="A52" t="inlineStr">
        <is>
          <t>不要低估40多的购买力，敞开吃吧……</t>
        </is>
      </c>
      <c r="B52" t="inlineStr">
        <is>
          <t>693bcf26000000001e0313a0</t>
        </is>
      </c>
      <c r="C52" s="51" t="n">
        <f>HYPERLINK("https://www.xiaohongshu.com/explore/693bcf26000000001e0313a0?xsec_token=TBehUwc4QxLaaQbLqKc-ieHlcU-HjcnOsH6QsqzwjUCYk=&amp;xsec_source=pc_trdark","https://www.xiaohongshu.com/explore/693bcf26000000001e0313a0?xsec_token=TBehUwc4QxLaaQbLqKc-ieHlcU-HjcnOsH6QsqzwjUCYk=&amp;xsec_source=pc_trdark")</f>
        <v>0.0</v>
      </c>
      <c r="D52" t="inlineStr">
        <is>
          <t>婉婉上班吃什么</t>
        </is>
      </c>
      <c r="E52" t="inlineStr">
        <is>
          <t>11434449706</t>
        </is>
      </c>
      <c r="F52" t="inlineStr">
        <is>
          <t>2025-12-12 16:15:34</t>
        </is>
      </c>
      <c r="G52" t="inlineStr">
        <is>
          <t>视频</t>
        </is>
      </c>
      <c r="H52" t="inlineStr">
        <is>
          <t>生蚝乳山生蚝海蛎子顺丰包邮</t>
        </is>
      </c>
      <c r="I52" t="inlineStr">
        <is>
          <t>690c70971b787900010866cc</t>
        </is>
      </c>
      <c r="J52" t="n">
        <v>25.0</v>
      </c>
      <c r="K52" t="n">
        <v>0.0</v>
      </c>
      <c r="L52" t="n">
        <v>0.0</v>
      </c>
      <c r="M52" t="n">
        <v>2.0</v>
      </c>
      <c r="N52" t="inlineStr">
        <is>
          <t>0.013333333333333334</t>
        </is>
      </c>
      <c r="O52" t="n">
        <v>2.0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inlineStr">
        <is>
          <t/>
        </is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150.0</v>
      </c>
      <c r="AE52" t="n">
        <v>0.0</v>
      </c>
      <c r="AF52" t="n">
        <v>0.0</v>
      </c>
      <c r="AG52" t="n">
        <v>0.0</v>
      </c>
      <c r="AH52" t="n">
        <v>1.0</v>
      </c>
      <c r="AI52" t="n">
        <v>0.0</v>
      </c>
      <c r="AJ52" t="n">
        <v>0.0</v>
      </c>
      <c r="AK52" t="n">
        <v>9.233333333333333</v>
      </c>
      <c r="AL52" t="inlineStr">
        <is>
          <t>0.14204545454545456</t>
        </is>
      </c>
    </row>
    <row r="53">
      <c r="A53" t="inlineStr">
        <is>
          <t>立马回购6箱，家附近超市的再也看不上了</t>
        </is>
      </c>
      <c r="B53" t="inlineStr">
        <is>
          <t>698b3b1d000000000a03221b</t>
        </is>
      </c>
      <c r="C53" s="52" t="n">
        <f>HYPERLINK("https://www.xiaohongshu.com/explore/698b3b1d000000000a03221b?xsec_token=TBaxNaL0i9x3ULjrtJNOAFMYrarouGMHyN9XZ3dvMrzZQ=&amp;xsec_source=pc_trdark","https://www.xiaohongshu.com/explore/698b3b1d000000000a03221b?xsec_token=TBaxNaL0i9x3ULjrtJNOAFMYrarouGMHyN9XZ3dvMrzZQ=&amp;xsec_source=pc_trdark")</f>
        <v>0.0</v>
      </c>
      <c r="D53" t="inlineStr">
        <is>
          <t>鲜水湾甄选</t>
        </is>
      </c>
      <c r="E53" t="inlineStr">
        <is>
          <t>27401929161</t>
        </is>
      </c>
      <c r="F53" t="inlineStr">
        <is>
          <t>2026-02-10 22:05:17</t>
        </is>
      </c>
      <c r="G53" t="inlineStr">
        <is>
          <t>图文</t>
        </is>
      </c>
      <c r="H53" t="inlineStr">
        <is>
          <t>大虾基围虾王牌大虾厄瓜多尔白虾盐冻虾仁海洋大虾送礼顺丰包邮</t>
        </is>
      </c>
      <c r="I53" t="inlineStr">
        <is>
          <t>690aeb7be379430001e686ac</t>
        </is>
      </c>
      <c r="J53" t="inlineStr">
        <is>
          <t/>
        </is>
      </c>
      <c r="K53" t="n">
        <v>0.0</v>
      </c>
      <c r="L53" t="n">
        <v>0.0</v>
      </c>
      <c r="M53" t="n">
        <v>27.0</v>
      </c>
      <c r="N53" t="inlineStr">
        <is>
          <t>0.18620689655172415</t>
        </is>
      </c>
      <c r="O53" t="n">
        <v>22.0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inlineStr">
        <is>
          <t/>
        </is>
      </c>
      <c r="X53" t="n">
        <v>0.0</v>
      </c>
      <c r="Y53" t="n">
        <v>1.0</v>
      </c>
      <c r="Z53" t="n">
        <v>7.0</v>
      </c>
      <c r="AA53" t="n">
        <v>0.0</v>
      </c>
      <c r="AB53" t="n">
        <v>0.0</v>
      </c>
      <c r="AC53" t="n">
        <v>0.0</v>
      </c>
      <c r="AD53" t="n">
        <v>145.0</v>
      </c>
      <c r="AE53" t="n">
        <v>0.0</v>
      </c>
      <c r="AF53" t="n">
        <v>0.0</v>
      </c>
      <c r="AG53" t="n">
        <v>0.0</v>
      </c>
      <c r="AH53" t="n">
        <v>1.0</v>
      </c>
      <c r="AI53" t="n">
        <v>0.0</v>
      </c>
      <c r="AJ53" t="n">
        <v>0.0</v>
      </c>
      <c r="AK53" t="n">
        <v>5.758620689655173</v>
      </c>
      <c r="AL53" t="inlineStr">
        <is>
          <t/>
        </is>
      </c>
    </row>
    <row r="54">
      <c r="A54" t="inlineStr">
        <is>
          <t>这乳山生蚝49.9一箱光是口感就赢麻了</t>
        </is>
      </c>
      <c r="B54" t="inlineStr">
        <is>
          <t>696a474d000000001a02c985</t>
        </is>
      </c>
      <c r="C54" s="53" t="n">
        <f>HYPERLINK("https://www.xiaohongshu.com/explore/696a474d000000001a02c985?xsec_token=TB0eXhepDH8HSHhoc_PkmgA4xaPxro562b0unkESVDxtg=&amp;xsec_source=pc_trdark","https://www.xiaohongshu.com/explore/696a474d000000001a02c985?xsec_token=TB0eXhepDH8HSHhoc_PkmgA4xaPxro562b0unkESVDxtg=&amp;xsec_source=pc_trdark")</f>
        <v>0.0</v>
      </c>
      <c r="D54" t="inlineStr">
        <is>
          <t>婉婉上班吃什么</t>
        </is>
      </c>
      <c r="E54" t="inlineStr">
        <is>
          <t>11434449706</t>
        </is>
      </c>
      <c r="F54" t="inlineStr">
        <is>
          <t>2026-01-16 22:12:29</t>
        </is>
      </c>
      <c r="G54" t="inlineStr">
        <is>
          <t>视频</t>
        </is>
      </c>
      <c r="H54" t="inlineStr">
        <is>
          <t>生蚝乳山生蚝海蛎子顺丰包邮</t>
        </is>
      </c>
      <c r="I54" t="inlineStr">
        <is>
          <t>690c70971b787900010866cc</t>
        </is>
      </c>
      <c r="J54" t="n">
        <v>13.0</v>
      </c>
      <c r="K54" t="n">
        <v>109.9</v>
      </c>
      <c r="L54" t="n">
        <v>1.0</v>
      </c>
      <c r="M54" t="n">
        <v>5.0</v>
      </c>
      <c r="N54" t="inlineStr">
        <is>
          <t>0.034482758620689655</t>
        </is>
      </c>
      <c r="O54" t="n">
        <v>5.0</v>
      </c>
      <c r="P54" t="n">
        <v>1.0</v>
      </c>
      <c r="Q54" t="n">
        <v>0.2</v>
      </c>
      <c r="R54" t="n">
        <v>0.2</v>
      </c>
      <c r="S54" t="n">
        <v>109.9</v>
      </c>
      <c r="T54" t="n">
        <v>1.0</v>
      </c>
      <c r="U54" t="n">
        <v>1.0</v>
      </c>
      <c r="V54" t="n">
        <v>109.9</v>
      </c>
      <c r="W54" t="n">
        <v>1.0</v>
      </c>
      <c r="X54" t="n">
        <v>1.0</v>
      </c>
      <c r="Y54" t="n">
        <v>0.0</v>
      </c>
      <c r="Z54" t="n">
        <v>1.0</v>
      </c>
      <c r="AA54" t="n">
        <v>0.0</v>
      </c>
      <c r="AB54" t="n">
        <v>0.0</v>
      </c>
      <c r="AC54" t="n">
        <v>0.0</v>
      </c>
      <c r="AD54" t="n">
        <v>145.0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4.489655172413793</v>
      </c>
      <c r="AL54" t="inlineStr">
        <is>
          <t>0.14193548387096774</t>
        </is>
      </c>
    </row>
    <row r="55">
      <c r="A55" t="inlineStr">
        <is>
          <t>给孩子买了一整条三文鱼补营养！</t>
        </is>
      </c>
      <c r="B55" t="inlineStr">
        <is>
          <t>698aa5f5000000000903b245</t>
        </is>
      </c>
      <c r="C55" s="54" t="n">
        <f>HYPERLINK("https://www.xiaohongshu.com/explore/698aa5f5000000000903b245?xsec_token=TBG0mKfxVH0N0QJz26OSUyhYnNDz9X11dGMwAn1wQfsDs=&amp;xsec_source=pc_trdark","https://www.xiaohongshu.com/explore/698aa5f5000000000903b245?xsec_token=TBG0mKfxVH0N0QJz26OSUyhYnNDz9X11dGMwAn1wQfsDs=&amp;xsec_source=pc_trdark")</f>
        <v>0.0</v>
      </c>
      <c r="D55" t="inlineStr">
        <is>
          <t>鲜水湾甄选</t>
        </is>
      </c>
      <c r="E55" t="inlineStr">
        <is>
          <t>27401929161</t>
        </is>
      </c>
      <c r="F55" t="inlineStr">
        <is>
          <t>2026-02-10 11:28:53</t>
        </is>
      </c>
      <c r="G55" t="inlineStr">
        <is>
          <t>图文</t>
        </is>
      </c>
      <c r="H55" t="inlineStr">
        <is>
          <t>智利三文鱼切块·整条三文鱼·深海鱼一人食健康饮食</t>
        </is>
      </c>
      <c r="I55" t="inlineStr">
        <is>
          <t>691ac562a524ee0001b51d7b</t>
        </is>
      </c>
      <c r="J55" t="inlineStr">
        <is>
          <t/>
        </is>
      </c>
      <c r="K55" t="n">
        <v>0.0</v>
      </c>
      <c r="L55" t="n">
        <v>0.0</v>
      </c>
      <c r="M55" t="n">
        <v>13.0</v>
      </c>
      <c r="N55" t="inlineStr">
        <is>
          <t>0.09352517985611511</t>
        </is>
      </c>
      <c r="O55" t="n">
        <v>11.0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inlineStr">
        <is>
          <t/>
        </is>
      </c>
      <c r="X55" t="n">
        <v>0.0</v>
      </c>
      <c r="Y55" t="n">
        <v>2.0</v>
      </c>
      <c r="Z55" t="n">
        <v>2.0</v>
      </c>
      <c r="AA55" t="n">
        <v>0.0</v>
      </c>
      <c r="AB55" t="n">
        <v>0.0</v>
      </c>
      <c r="AC55" t="n">
        <v>0.0</v>
      </c>
      <c r="AD55" t="n">
        <v>139.0</v>
      </c>
      <c r="AE55" t="n">
        <v>1.0</v>
      </c>
      <c r="AF55" t="n">
        <v>1.0</v>
      </c>
      <c r="AG55" t="n">
        <v>0.0</v>
      </c>
      <c r="AH55" t="n">
        <v>1.0</v>
      </c>
      <c r="AI55" t="n">
        <v>0.0</v>
      </c>
      <c r="AJ55" t="n">
        <v>0.0</v>
      </c>
      <c r="AK55" t="n">
        <v>8.244604316546763</v>
      </c>
      <c r="AL55" t="inlineStr">
        <is>
          <t/>
        </is>
      </c>
    </row>
    <row r="56">
      <c r="A56" t="inlineStr">
        <is>
          <t>真心建议男人过了30，多吃生蚝🦪</t>
        </is>
      </c>
      <c r="B56" t="inlineStr">
        <is>
          <t>6958d1f4000000001f005398</t>
        </is>
      </c>
      <c r="C56" s="55" t="n">
        <f>HYPERLINK("https://www.xiaohongshu.com/explore/6958d1f4000000001f005398?xsec_token=TBVWL7hy7ogZOv9P5VB1V6xwFILWsG_UatsLFAOiwl6-4=&amp;xsec_source=pc_trdark","https://www.xiaohongshu.com/explore/6958d1f4000000001f005398?xsec_token=TBVWL7hy7ogZOv9P5VB1V6xwFILWsG_UatsLFAOiwl6-4=&amp;xsec_source=pc_trdark")</f>
        <v>0.0</v>
      </c>
      <c r="D56" t="inlineStr">
        <is>
          <t>鲜水湾</t>
        </is>
      </c>
      <c r="E56" t="inlineStr">
        <is>
          <t>49316638994</t>
        </is>
      </c>
      <c r="F56" t="inlineStr">
        <is>
          <t>2026-01-03 16:23:16</t>
        </is>
      </c>
      <c r="G56" t="inlineStr">
        <is>
          <t>图文</t>
        </is>
      </c>
      <c r="H56" t="inlineStr">
        <is>
          <t>生蚝乳山生蚝海蛎子顺丰包邮</t>
        </is>
      </c>
      <c r="I56" t="inlineStr">
        <is>
          <t>690c70971b787900010866cc</t>
        </is>
      </c>
      <c r="J56" t="inlineStr">
        <is>
          <t/>
        </is>
      </c>
      <c r="K56" t="n">
        <v>0.0</v>
      </c>
      <c r="L56" t="n">
        <v>0.0</v>
      </c>
      <c r="M56" t="n">
        <v>2.0</v>
      </c>
      <c r="N56" t="inlineStr">
        <is>
          <t>0.014388489208633094</t>
        </is>
      </c>
      <c r="O56" t="n">
        <v>2.0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inlineStr">
        <is>
          <t/>
        </is>
      </c>
      <c r="X56" t="n">
        <v>0.0</v>
      </c>
      <c r="Y56" t="n">
        <v>0.0</v>
      </c>
      <c r="Z56" t="n">
        <v>1.0</v>
      </c>
      <c r="AA56" t="n">
        <v>0.0</v>
      </c>
      <c r="AB56" t="n">
        <v>0.0</v>
      </c>
      <c r="AC56" t="n">
        <v>0.0</v>
      </c>
      <c r="AD56" t="n">
        <v>139.0</v>
      </c>
      <c r="AE56" t="n">
        <v>0.0</v>
      </c>
      <c r="AF56" t="n">
        <v>1.0</v>
      </c>
      <c r="AG56" t="n">
        <v>0.0</v>
      </c>
      <c r="AH56" t="n">
        <v>0.0</v>
      </c>
      <c r="AI56" t="n">
        <v>0.0</v>
      </c>
      <c r="AJ56" t="n">
        <v>0.0</v>
      </c>
      <c r="AK56" t="n">
        <v>9.316546762589928</v>
      </c>
      <c r="AL56" t="inlineStr">
        <is>
          <t/>
        </is>
      </c>
    </row>
    <row r="57">
      <c r="A57" t="inlineStr">
        <is>
          <t>其实，300块能吃一个月的三文鱼😎</t>
        </is>
      </c>
      <c r="B57" t="inlineStr">
        <is>
          <t>69456f51000000001f006a7b</t>
        </is>
      </c>
      <c r="C57" s="56" t="n">
        <f>HYPERLINK("https://www.xiaohongshu.com/explore/69456f51000000001f006a7b?xsec_token=TB7p1vWXvB33zoX2lon7HfpbhaeUpox4g5KLr6HjX1WtA=&amp;xsec_source=pc_trdark","https://www.xiaohongshu.com/explore/69456f51000000001f006a7b?xsec_token=TB7p1vWXvB33zoX2lon7HfpbhaeUpox4g5KLr6HjX1WtA=&amp;xsec_source=pc_trdark")</f>
        <v>0.0</v>
      </c>
      <c r="D57" t="inlineStr">
        <is>
          <t>鲜水湾</t>
        </is>
      </c>
      <c r="E57" t="inlineStr">
        <is>
          <t>49316638994</t>
        </is>
      </c>
      <c r="F57" t="inlineStr">
        <is>
          <t>2025-12-19 23:29:21</t>
        </is>
      </c>
      <c r="G57" t="inlineStr">
        <is>
          <t>图文</t>
        </is>
      </c>
      <c r="H57" t="inlineStr">
        <is>
          <t>智利三文鱼切块·整条三文鱼·深海鱼一人食健康饮食</t>
        </is>
      </c>
      <c r="I57" t="inlineStr">
        <is>
          <t>691ac562a524ee0001b51d7b</t>
        </is>
      </c>
      <c r="J57" t="inlineStr">
        <is>
          <t/>
        </is>
      </c>
      <c r="K57" t="n">
        <v>68.0</v>
      </c>
      <c r="L57" t="n">
        <v>1.0</v>
      </c>
      <c r="M57" t="n">
        <v>25.0</v>
      </c>
      <c r="N57" t="inlineStr">
        <is>
          <t>0.18796992481203006</t>
        </is>
      </c>
      <c r="O57" t="n">
        <v>23.0</v>
      </c>
      <c r="P57" t="n">
        <v>1.0</v>
      </c>
      <c r="Q57" t="n">
        <v>0.04</v>
      </c>
      <c r="R57" t="inlineStr">
        <is>
          <t>0.043478260869565216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2.0</v>
      </c>
      <c r="Z57" t="n">
        <v>1.0</v>
      </c>
      <c r="AA57" t="n">
        <v>0.0</v>
      </c>
      <c r="AB57" t="n">
        <v>0.0</v>
      </c>
      <c r="AC57" t="n">
        <v>0.0</v>
      </c>
      <c r="AD57" t="n">
        <v>133.0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11.586466165413533</v>
      </c>
      <c r="AL57" t="inlineStr">
        <is>
          <t/>
        </is>
      </c>
    </row>
    <row r="58">
      <c r="A58" t="inlineStr">
        <is>
          <t>成功代替车厘子在我心中的地位……</t>
        </is>
      </c>
      <c r="B58" t="inlineStr">
        <is>
          <t>6980641a000000000c034ea0</t>
        </is>
      </c>
      <c r="C58" s="57" t="n">
        <f>HYPERLINK("https://www.xiaohongshu.com/explore/6980641a000000000c034ea0?xsec_token=TBZp4EcwSVhJKyeKQt7CpumeF_oKqtnRQDv-nG9X5gfZ0=&amp;xsec_source=pc_trdark","https://www.xiaohongshu.com/explore/6980641a000000000c034ea0?xsec_token=TBZp4EcwSVhJKyeKQt7CpumeF_oKqtnRQDv-nG9X5gfZ0=&amp;xsec_source=pc_trdark")</f>
        <v>0.0</v>
      </c>
      <c r="D58" t="inlineStr">
        <is>
          <t>鲜水湾甄选</t>
        </is>
      </c>
      <c r="E58" t="inlineStr">
        <is>
          <t>27401929161</t>
        </is>
      </c>
      <c r="F58" t="inlineStr">
        <is>
          <t>2026-02-02 16:45:14</t>
        </is>
      </c>
      <c r="G58" t="inlineStr">
        <is>
          <t>图文</t>
        </is>
      </c>
      <c r="H58" t="inlineStr">
        <is>
          <t>北极甜虾头籽甜虾元宝虾北极熊冰虾孕妈妈宝宝辅食顺丰</t>
        </is>
      </c>
      <c r="I58" t="inlineStr">
        <is>
          <t>6953717eb8f0bb000115158d</t>
        </is>
      </c>
      <c r="J58" t="inlineStr">
        <is>
          <t/>
        </is>
      </c>
      <c r="K58" t="n">
        <v>0.0</v>
      </c>
      <c r="L58" t="n">
        <v>0.0</v>
      </c>
      <c r="M58" t="n">
        <v>24.0</v>
      </c>
      <c r="N58" t="inlineStr">
        <is>
          <t>0.18181818181818182</t>
        </is>
      </c>
      <c r="O58" t="n">
        <v>23.0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inlineStr">
        <is>
          <t/>
        </is>
      </c>
      <c r="X58" t="n">
        <v>0.0</v>
      </c>
      <c r="Y58" t="n">
        <v>2.0</v>
      </c>
      <c r="Z58" t="n">
        <v>3.0</v>
      </c>
      <c r="AA58" t="n">
        <v>0.0</v>
      </c>
      <c r="AB58" t="n">
        <v>0.0</v>
      </c>
      <c r="AC58" t="n">
        <v>0.0</v>
      </c>
      <c r="AD58" t="n">
        <v>132.0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6.636363636363637</v>
      </c>
      <c r="AL58" t="inlineStr">
        <is>
          <t/>
        </is>
      </c>
    </row>
    <row r="59">
      <c r="A59" t="inlineStr">
        <is>
          <t>59.9r到手5斤，大小一个价，喜欢的来尝尝</t>
        </is>
      </c>
      <c r="B59" t="inlineStr">
        <is>
          <t>69255a3e000000001e02599d</t>
        </is>
      </c>
      <c r="C59" s="58" t="n">
        <f>HYPERLINK("https://www.xiaohongshu.com/explore/69255a3e000000001e02599d?xsec_token=TBVx22ZAFho_bBgysCIliGP2XtefPNSKlizIM-CsqTrj0=&amp;xsec_source=pc_trdark","https://www.xiaohongshu.com/explore/69255a3e000000001e02599d?xsec_token=TBVx22ZAFho_bBgysCIliGP2XtefPNSKlizIM-CsqTrj0=&amp;xsec_source=pc_trdark")</f>
        <v>0.0</v>
      </c>
      <c r="D59" t="inlineStr">
        <is>
          <t>婉婉上班吃什么</t>
        </is>
      </c>
      <c r="E59" t="inlineStr">
        <is>
          <t>11434449706</t>
        </is>
      </c>
      <c r="F59" t="inlineStr">
        <is>
          <t>2025-11-25 15:26:54</t>
        </is>
      </c>
      <c r="G59" t="inlineStr">
        <is>
          <t>视频</t>
        </is>
      </c>
      <c r="H59" t="inlineStr">
        <is>
          <t>生蚝乳山生蚝海蛎子顺丰包邮</t>
        </is>
      </c>
      <c r="I59" t="inlineStr">
        <is>
          <t>690c70971b787900010866cc</t>
        </is>
      </c>
      <c r="J59" t="n">
        <v>28.0</v>
      </c>
      <c r="K59" t="n">
        <v>0.0</v>
      </c>
      <c r="L59" t="n">
        <v>0.0</v>
      </c>
      <c r="M59" t="n">
        <v>14.0</v>
      </c>
      <c r="N59" t="inlineStr">
        <is>
          <t>0.10852713178294573</t>
        </is>
      </c>
      <c r="O59" t="n">
        <v>13.0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inlineStr">
        <is>
          <t/>
        </is>
      </c>
      <c r="X59" t="n">
        <v>0.0</v>
      </c>
      <c r="Y59" t="n">
        <v>1.0</v>
      </c>
      <c r="Z59" t="n">
        <v>0.0</v>
      </c>
      <c r="AA59" t="n">
        <v>0.0</v>
      </c>
      <c r="AB59" t="n">
        <v>0.0</v>
      </c>
      <c r="AC59" t="n">
        <v>0.0</v>
      </c>
      <c r="AD59" t="n">
        <v>129.0</v>
      </c>
      <c r="AE59" t="n">
        <v>1.0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13.914728682170542</v>
      </c>
      <c r="AL59" t="n">
        <v>0.1464968152866242</v>
      </c>
    </row>
    <row r="60">
      <c r="A60" t="inlineStr">
        <is>
          <t>5分钟搞定!香煎三文鱼0失败教程</t>
        </is>
      </c>
      <c r="B60" t="inlineStr">
        <is>
          <t>69830046000000002802359e</t>
        </is>
      </c>
      <c r="C60" s="59" t="n">
        <f>HYPERLINK("https://www.xiaohongshu.com/explore/69830046000000002802359e?xsec_token=TBHM0ni7GCKw8SLk8lnMVR2vzoswijjoZ_8GfLU4VJNGY=&amp;xsec_source=pc_trdark","https://www.xiaohongshu.com/explore/69830046000000002802359e?xsec_token=TBHM0ni7GCKw8SLk8lnMVR2vzoswijjoZ_8GfLU4VJNGY=&amp;xsec_source=pc_trdark")</f>
        <v>0.0</v>
      </c>
      <c r="D60" t="inlineStr">
        <is>
          <t>鲜水湾</t>
        </is>
      </c>
      <c r="E60" t="inlineStr">
        <is>
          <t>49316638994</t>
        </is>
      </c>
      <c r="F60" t="inlineStr">
        <is>
          <t>2026-02-04 16:16:06</t>
        </is>
      </c>
      <c r="G60" t="inlineStr">
        <is>
          <t>图文</t>
        </is>
      </c>
      <c r="H60" t="inlineStr">
        <is>
          <t>智利三文鱼切块·整条三文鱼·深海鱼一人食健康饮食</t>
        </is>
      </c>
      <c r="I60" t="inlineStr">
        <is>
          <t>691ac562a524ee0001b51d7b</t>
        </is>
      </c>
      <c r="J60" t="inlineStr">
        <is>
          <t/>
        </is>
      </c>
      <c r="K60" t="n">
        <v>375.0</v>
      </c>
      <c r="L60" t="n">
        <v>1.0</v>
      </c>
      <c r="M60" t="n">
        <v>18.0</v>
      </c>
      <c r="N60" t="n">
        <v>0.140625</v>
      </c>
      <c r="O60" t="n">
        <v>12.0</v>
      </c>
      <c r="P60" t="n">
        <v>1.0</v>
      </c>
      <c r="Q60" t="inlineStr">
        <is>
          <t>0.05555555555555555</t>
        </is>
      </c>
      <c r="R60" t="inlineStr">
        <is>
          <t>0.08333333333333333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4.0</v>
      </c>
      <c r="Z60" t="n">
        <v>2.0</v>
      </c>
      <c r="AA60" t="n">
        <v>0.0</v>
      </c>
      <c r="AB60" t="n">
        <v>0.0</v>
      </c>
      <c r="AC60" t="n">
        <v>0.0</v>
      </c>
      <c r="AD60" t="n">
        <v>128.0</v>
      </c>
      <c r="AE60" t="n">
        <v>3.0</v>
      </c>
      <c r="AF60" t="n">
        <v>0.0</v>
      </c>
      <c r="AG60" t="n">
        <v>0.0</v>
      </c>
      <c r="AH60" t="n">
        <v>6.0</v>
      </c>
      <c r="AI60" t="n">
        <v>0.0</v>
      </c>
      <c r="AJ60" t="n">
        <v>0.0</v>
      </c>
      <c r="AK60" t="n">
        <v>20.546875</v>
      </c>
      <c r="AL60" t="inlineStr">
        <is>
          <t/>
        </is>
      </c>
    </row>
    <row r="61">
      <c r="A61" t="inlineStr">
        <is>
          <t>老吃家才懂得快乐！寿司甜虾太好吃啦</t>
        </is>
      </c>
      <c r="B61" t="inlineStr">
        <is>
          <t>699fd8ca000000002303929a</t>
        </is>
      </c>
      <c r="C61" s="60" t="n">
        <f>HYPERLINK("https://www.xiaohongshu.com/explore/699fd8ca000000002303929a?xsec_token=TBmPrNsEp7sytnt8BzCMtNTZj2EATODNkWEDVdNJV_P3A=&amp;xsec_source=pc_trdark","https://www.xiaohongshu.com/explore/699fd8ca000000002303929a?xsec_token=TBmPrNsEp7sytnt8BzCMtNTZj2EATODNkWEDVdNJV_P3A=&amp;xsec_source=pc_trdark")</f>
        <v>0.0</v>
      </c>
      <c r="D61" t="inlineStr">
        <is>
          <t>鲜水湾甄选</t>
        </is>
      </c>
      <c r="E61" t="inlineStr">
        <is>
          <t>27401929161</t>
        </is>
      </c>
      <c r="F61" t="inlineStr">
        <is>
          <t>2026-02-26 13:23:22</t>
        </is>
      </c>
      <c r="G61" t="inlineStr">
        <is>
          <t>图文</t>
        </is>
      </c>
      <c r="H61" t="inlineStr">
        <is>
          <t>北极甜虾头籽甜虾元宝虾北极熊冰虾孕妈妈宝宝辅食顺丰</t>
        </is>
      </c>
      <c r="I61" t="inlineStr">
        <is>
          <t>6953717eb8f0bb000115158d</t>
        </is>
      </c>
      <c r="J61" t="inlineStr">
        <is>
          <t/>
        </is>
      </c>
      <c r="K61" t="n">
        <v>0.0</v>
      </c>
      <c r="L61" t="n">
        <v>0.0</v>
      </c>
      <c r="M61" t="n">
        <v>20.0</v>
      </c>
      <c r="N61" t="inlineStr">
        <is>
          <t>0.15748031496062992</t>
        </is>
      </c>
      <c r="O61" t="n">
        <v>13.0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inlineStr">
        <is>
          <t/>
        </is>
      </c>
      <c r="X61" t="n">
        <v>0.0</v>
      </c>
      <c r="Y61" t="n">
        <v>1.0</v>
      </c>
      <c r="Z61" t="n">
        <v>2.0</v>
      </c>
      <c r="AA61" t="n">
        <v>0.0</v>
      </c>
      <c r="AB61" t="n">
        <v>0.0</v>
      </c>
      <c r="AC61" t="n">
        <v>0.0</v>
      </c>
      <c r="AD61" t="n">
        <v>127.0</v>
      </c>
      <c r="AE61" t="n">
        <v>5.0</v>
      </c>
      <c r="AF61" t="n">
        <v>0.0</v>
      </c>
      <c r="AG61" t="n">
        <v>0.0</v>
      </c>
      <c r="AH61" t="n">
        <v>2.0</v>
      </c>
      <c r="AI61" t="n">
        <v>0.0</v>
      </c>
      <c r="AJ61" t="n">
        <v>0.0</v>
      </c>
      <c r="AK61" t="n">
        <v>7.834645669291339</v>
      </c>
      <c r="AL61" t="inlineStr">
        <is>
          <t/>
        </is>
      </c>
    </row>
    <row r="62">
      <c r="A62" t="inlineStr">
        <is>
          <t>建议12月狠狠吃生蚝，40+一箱的生蚝真好吃</t>
        </is>
      </c>
      <c r="B62" t="inlineStr">
        <is>
          <t>693cce7e000000001e03b55b</t>
        </is>
      </c>
      <c r="C62" s="61" t="n">
        <f>HYPERLINK("https://www.xiaohongshu.com/explore/693cce7e000000001e03b55b?xsec_token=TBby_8TUlAJfj-jHsmZvLUDY0L7dhLBoa4eNU39m3lyug=&amp;xsec_source=pc_trdark","https://www.xiaohongshu.com/explore/693cce7e000000001e03b55b?xsec_token=TBby_8TUlAJfj-jHsmZvLUDY0L7dhLBoa4eNU39m3lyug=&amp;xsec_source=pc_trdark")</f>
        <v>0.0</v>
      </c>
      <c r="D62" t="inlineStr">
        <is>
          <t>婉婉上班吃什么</t>
        </is>
      </c>
      <c r="E62" t="inlineStr">
        <is>
          <t>11434449706</t>
        </is>
      </c>
      <c r="F62" t="inlineStr">
        <is>
          <t>2025-12-13 10:25:02</t>
        </is>
      </c>
      <c r="G62" t="inlineStr">
        <is>
          <t>视频</t>
        </is>
      </c>
      <c r="H62" t="inlineStr">
        <is>
          <t>生蚝乳山生蚝海蛎子顺丰包邮</t>
        </is>
      </c>
      <c r="I62" t="inlineStr">
        <is>
          <t>690c70971b787900010866cc</t>
        </is>
      </c>
      <c r="J62" t="n">
        <v>26.0</v>
      </c>
      <c r="K62" t="n">
        <v>0.0</v>
      </c>
      <c r="L62" t="n">
        <v>0.0</v>
      </c>
      <c r="M62" t="n">
        <v>1.0</v>
      </c>
      <c r="N62" t="inlineStr">
        <is>
          <t>0.007874015748031496</t>
        </is>
      </c>
      <c r="O62" t="n">
        <v>1.0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inlineStr">
        <is>
          <t/>
        </is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127.0</v>
      </c>
      <c r="AE62" t="n">
        <v>0.0</v>
      </c>
      <c r="AF62" t="n">
        <v>0.0</v>
      </c>
      <c r="AG62" t="n">
        <v>0.0</v>
      </c>
      <c r="AH62" t="n">
        <v>0.0</v>
      </c>
      <c r="AI62" t="n">
        <v>1.0</v>
      </c>
      <c r="AJ62" t="n">
        <v>0.0</v>
      </c>
      <c r="AK62" t="n">
        <v>10.68503937007874</v>
      </c>
      <c r="AL62" t="n">
        <v>0.18125</v>
      </c>
    </row>
    <row r="63">
      <c r="A63" t="inlineStr">
        <is>
          <t>和老爸商量好了，49.9一箱先给你们都尝尝</t>
        </is>
      </c>
      <c r="B63" t="inlineStr">
        <is>
          <t>69699aeb000000000e03dd8f</t>
        </is>
      </c>
      <c r="C63" s="62" t="n">
        <f>HYPERLINK("https://www.xiaohongshu.com/explore/69699aeb000000000e03dd8f?xsec_token=TBrfrRU4wM2w5bDKUviah5Tz1joafWrrSlCKGYqUnyWSs=&amp;xsec_source=pc_trdark","https://www.xiaohongshu.com/explore/69699aeb000000000e03dd8f?xsec_token=TBrfrRU4wM2w5bDKUviah5Tz1joafWrrSlCKGYqUnyWSs=&amp;xsec_source=pc_trdark")</f>
        <v>0.0</v>
      </c>
      <c r="D63" t="inlineStr">
        <is>
          <t>婉婉上班吃什么</t>
        </is>
      </c>
      <c r="E63" t="inlineStr">
        <is>
          <t>11434449706</t>
        </is>
      </c>
      <c r="F63" t="inlineStr">
        <is>
          <t>2026-01-16 09:56:59</t>
        </is>
      </c>
      <c r="G63" t="inlineStr">
        <is>
          <t>视频</t>
        </is>
      </c>
      <c r="H63" t="inlineStr">
        <is>
          <t>生蚝乳山生蚝海蛎子顺丰包邮</t>
        </is>
      </c>
      <c r="I63" t="inlineStr">
        <is>
          <t>690c70971b787900010866cc</t>
        </is>
      </c>
      <c r="J63" t="n">
        <v>20.0</v>
      </c>
      <c r="K63" t="n">
        <v>0.0</v>
      </c>
      <c r="L63" t="n">
        <v>0.0</v>
      </c>
      <c r="M63" t="n">
        <v>3.0</v>
      </c>
      <c r="N63" t="n">
        <v>0.024</v>
      </c>
      <c r="O63" t="n">
        <v>3.0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inlineStr">
        <is>
          <t/>
        </is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125.0</v>
      </c>
      <c r="AE63" t="n">
        <v>0.0</v>
      </c>
      <c r="AF63" t="n">
        <v>0.0</v>
      </c>
      <c r="AG63" t="n">
        <v>0.0</v>
      </c>
      <c r="AH63" t="n">
        <v>1.0</v>
      </c>
      <c r="AI63" t="n">
        <v>0.0</v>
      </c>
      <c r="AJ63" t="n">
        <v>0.0</v>
      </c>
      <c r="AK63" t="n">
        <v>3.792</v>
      </c>
      <c r="AL63" t="inlineStr">
        <is>
          <t>0.058823529411764705</t>
        </is>
      </c>
    </row>
    <row r="64">
      <c r="A64" t="inlineStr">
        <is>
          <t>不愧是山东网友推荐的🥹好好吃</t>
        </is>
      </c>
      <c r="B64" t="inlineStr">
        <is>
          <t>6968b1ae000000000e03ffe8</t>
        </is>
      </c>
      <c r="C64" s="63" t="n">
        <f>HYPERLINK("https://www.xiaohongshu.com/explore/6968b1ae000000000e03ffe8?xsec_token=TBt4r6uOUj4MiyxIfh9PpR4G5rZMOyvDGuB3IOlwRartU=&amp;xsec_source=pc_trdark","https://www.xiaohongshu.com/explore/6968b1ae000000000e03ffe8?xsec_token=TBt4r6uOUj4MiyxIfh9PpR4G5rZMOyvDGuB3IOlwRartU=&amp;xsec_source=pc_trdark")</f>
        <v>0.0</v>
      </c>
      <c r="D64" t="inlineStr">
        <is>
          <t>婉婉上班吃什么</t>
        </is>
      </c>
      <c r="E64" t="inlineStr">
        <is>
          <t>11434449706</t>
        </is>
      </c>
      <c r="F64" t="inlineStr">
        <is>
          <t>2026-01-15 17:21:50</t>
        </is>
      </c>
      <c r="G64" t="inlineStr">
        <is>
          <t>视频</t>
        </is>
      </c>
      <c r="H64" t="inlineStr">
        <is>
          <t>生蚝乳山生蚝海蛎子顺丰包邮</t>
        </is>
      </c>
      <c r="I64" t="inlineStr">
        <is>
          <t>690c70971b787900010866cc</t>
        </is>
      </c>
      <c r="J64" t="n">
        <v>27.0</v>
      </c>
      <c r="K64" t="n">
        <v>0.0</v>
      </c>
      <c r="L64" t="n">
        <v>0.0</v>
      </c>
      <c r="M64" t="n">
        <v>1.0</v>
      </c>
      <c r="N64" t="inlineStr">
        <is>
          <t>0.008064516129032258</t>
        </is>
      </c>
      <c r="O64" t="n">
        <v>1.0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inlineStr">
        <is>
          <t/>
        </is>
      </c>
      <c r="X64" t="n">
        <v>0.0</v>
      </c>
      <c r="Y64" t="n">
        <v>0.0</v>
      </c>
      <c r="Z64" t="n">
        <v>1.0</v>
      </c>
      <c r="AA64" t="n">
        <v>0.0</v>
      </c>
      <c r="AB64" t="n">
        <v>0.0</v>
      </c>
      <c r="AC64" t="n">
        <v>0.0</v>
      </c>
      <c r="AD64" t="n">
        <v>124.0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4.161290322580645</v>
      </c>
      <c r="AL64" t="inlineStr">
        <is>
          <t>0.03597122302158273</t>
        </is>
      </c>
    </row>
    <row r="65">
      <c r="A65" t="inlineStr">
        <is>
          <t>甜虾脑袋表示这一碗很满足！</t>
        </is>
      </c>
      <c r="B65" t="inlineStr">
        <is>
          <t>69a145ef000000002602fa15</t>
        </is>
      </c>
      <c r="C65" s="64" t="n">
        <f>HYPERLINK("https://www.xiaohongshu.com/explore/69a145ef000000002602fa15?xsec_token=TBk7Tu9foWGIsieMmGc2tlwht6OnSE4kkOsOYjo1eAMaE=&amp;xsec_source=pc_trdark","https://www.xiaohongshu.com/explore/69a145ef000000002602fa15?xsec_token=TBk7Tu9foWGIsieMmGc2tlwht6OnSE4kkOsOYjo1eAMaE=&amp;xsec_source=pc_trdark")</f>
        <v>0.0</v>
      </c>
      <c r="D65" t="inlineStr">
        <is>
          <t>鲜水湾甄选</t>
        </is>
      </c>
      <c r="E65" t="inlineStr">
        <is>
          <t>27401929161</t>
        </is>
      </c>
      <c r="F65" t="inlineStr">
        <is>
          <t>2026-02-27 15:21:19</t>
        </is>
      </c>
      <c r="G65" t="inlineStr">
        <is>
          <t>图文</t>
        </is>
      </c>
      <c r="H65" t="inlineStr">
        <is>
          <t>北极甜虾头籽甜虾元宝虾北极熊冰虾孕妈妈宝宝辅食顺丰</t>
        </is>
      </c>
      <c r="I65" t="inlineStr">
        <is>
          <t>6953717eb8f0bb000115158d</t>
        </is>
      </c>
      <c r="J65" t="inlineStr">
        <is>
          <t/>
        </is>
      </c>
      <c r="K65" t="n">
        <v>0.0</v>
      </c>
      <c r="L65" t="n">
        <v>0.0</v>
      </c>
      <c r="M65" t="n">
        <v>13.0</v>
      </c>
      <c r="N65" t="inlineStr">
        <is>
          <t>0.10569105691056911</t>
        </is>
      </c>
      <c r="O65" t="n">
        <v>12.0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inlineStr">
        <is>
          <t/>
        </is>
      </c>
      <c r="X65" t="n">
        <v>0.0</v>
      </c>
      <c r="Y65" t="n">
        <v>3.0</v>
      </c>
      <c r="Z65" t="n">
        <v>2.0</v>
      </c>
      <c r="AA65" t="n">
        <v>0.0</v>
      </c>
      <c r="AB65" t="n">
        <v>0.0</v>
      </c>
      <c r="AC65" t="n">
        <v>0.0</v>
      </c>
      <c r="AD65" t="n">
        <v>123.0</v>
      </c>
      <c r="AE65" t="n">
        <v>1.0</v>
      </c>
      <c r="AF65" t="n">
        <v>0.0</v>
      </c>
      <c r="AG65" t="n">
        <v>0.0</v>
      </c>
      <c r="AH65" t="n">
        <v>3.0</v>
      </c>
      <c r="AI65" t="n">
        <v>0.0</v>
      </c>
      <c r="AJ65" t="n">
        <v>0.0</v>
      </c>
      <c r="AK65" t="n">
        <v>12.479674796747968</v>
      </c>
      <c r="AL65" t="inlineStr">
        <is>
          <t/>
        </is>
      </c>
    </row>
    <row r="66">
      <c r="A66" t="inlineStr">
        <is>
          <t>威海发过来的！被爸妈夸了一整天！</t>
        </is>
      </c>
      <c r="B66" t="inlineStr">
        <is>
          <t>698af796000000000e00e89c</t>
        </is>
      </c>
      <c r="C66" s="65" t="n">
        <f>HYPERLINK("https://www.xiaohongshu.com/explore/698af796000000000e00e89c?xsec_token=TBG0mKfxVH0N0QJz26OSUyhYk527tJDzH_EA7rtS3MCmk=&amp;xsec_source=pc_trdark","https://www.xiaohongshu.com/explore/698af796000000000e00e89c?xsec_token=TBG0mKfxVH0N0QJz26OSUyhYk527tJDzH_EA7rtS3MCmk=&amp;xsec_source=pc_trdark")</f>
        <v>0.0</v>
      </c>
      <c r="D66" t="inlineStr">
        <is>
          <t>鲜水湾</t>
        </is>
      </c>
      <c r="E66" t="inlineStr">
        <is>
          <t>49316638994</t>
        </is>
      </c>
      <c r="F66" t="inlineStr">
        <is>
          <t>2026-02-10 17:17:10</t>
        </is>
      </c>
      <c r="G66" t="inlineStr">
        <is>
          <t>图文</t>
        </is>
      </c>
      <c r="H66" t="inlineStr">
        <is>
          <t>生蚝乳山生蚝海蛎子顺丰包邮</t>
        </is>
      </c>
      <c r="I66" t="inlineStr">
        <is>
          <t>690c70971b787900010866cc</t>
        </is>
      </c>
      <c r="J66" t="inlineStr">
        <is>
          <t/>
        </is>
      </c>
      <c r="K66" t="n">
        <v>109.9</v>
      </c>
      <c r="L66" t="n">
        <v>1.0</v>
      </c>
      <c r="M66" t="n">
        <v>21.0</v>
      </c>
      <c r="N66" t="n">
        <v>0.1826086956521739</v>
      </c>
      <c r="O66" t="n">
        <v>16.0</v>
      </c>
      <c r="P66" t="n">
        <v>1.0</v>
      </c>
      <c r="Q66" t="inlineStr">
        <is>
          <t>0.047619047619047616</t>
        </is>
      </c>
      <c r="R66" t="n">
        <v>0.0625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2.0</v>
      </c>
      <c r="Z66" t="n">
        <v>4.0</v>
      </c>
      <c r="AA66" t="n">
        <v>0.0</v>
      </c>
      <c r="AB66" t="n">
        <v>0.0</v>
      </c>
      <c r="AC66" t="n">
        <v>0.0</v>
      </c>
      <c r="AD66" t="n">
        <v>115.0</v>
      </c>
      <c r="AE66" t="n">
        <v>0.0</v>
      </c>
      <c r="AF66" t="n">
        <v>0.0</v>
      </c>
      <c r="AG66" t="n">
        <v>0.0</v>
      </c>
      <c r="AH66" t="n">
        <v>2.0</v>
      </c>
      <c r="AI66" t="n">
        <v>0.0</v>
      </c>
      <c r="AJ66" t="n">
        <v>0.0</v>
      </c>
      <c r="AK66" t="n">
        <v>9.695652173913043</v>
      </c>
      <c r="AL66" t="inlineStr">
        <is>
          <t/>
        </is>
      </c>
    </row>
    <row r="67">
      <c r="A67" t="inlineStr">
        <is>
          <t>建议12月份狠狠吃生蚝</t>
        </is>
      </c>
      <c r="B67" t="inlineStr">
        <is>
          <t>6950fcf3000000001e02024c</t>
        </is>
      </c>
      <c r="C67" s="66" t="n">
        <f>HYPERLINK("https://www.xiaohongshu.com/explore/6950fcf3000000001e02024c?xsec_token=TBZlsVk_u522I8N-JhGtRMDi3af6HM4e_Vff8HFWibHfQ=&amp;xsec_source=pc_trdark","https://www.xiaohongshu.com/explore/6950fcf3000000001e02024c?xsec_token=TBZlsVk_u522I8N-JhGtRMDi3af6HM4e_Vff8HFWibHfQ=&amp;xsec_source=pc_trdark")</f>
        <v>0.0</v>
      </c>
      <c r="D67" t="inlineStr">
        <is>
          <t>婉婉上班吃什么</t>
        </is>
      </c>
      <c r="E67" t="inlineStr">
        <is>
          <t>11434449706</t>
        </is>
      </c>
      <c r="F67" t="inlineStr">
        <is>
          <t>2025-12-28 17:48:35</t>
        </is>
      </c>
      <c r="G67" t="inlineStr">
        <is>
          <t>视频</t>
        </is>
      </c>
      <c r="H67" t="inlineStr">
        <is>
          <t>生蚝乳山生蚝海蛎子顺丰包邮</t>
        </is>
      </c>
      <c r="I67" t="inlineStr">
        <is>
          <t>690c70971b787900010866cc</t>
        </is>
      </c>
      <c r="J67" t="n">
        <v>20.0</v>
      </c>
      <c r="K67" t="n">
        <v>0.0</v>
      </c>
      <c r="L67" t="n">
        <v>0.0</v>
      </c>
      <c r="M67" t="n">
        <v>4.0</v>
      </c>
      <c r="N67" t="inlineStr">
        <is>
          <t>0.034782608695652174</t>
        </is>
      </c>
      <c r="O67" t="n">
        <v>2.0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inlineStr">
        <is>
          <t/>
        </is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115.0</v>
      </c>
      <c r="AE67" t="n">
        <v>1.0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4.51304347826087</v>
      </c>
      <c r="AL67" t="n">
        <v>0.088</v>
      </c>
    </row>
    <row r="68">
      <c r="A68" t="inlineStr">
        <is>
          <t>男朋友过了30岁一定要狠狠吃生蚝🦪</t>
        </is>
      </c>
      <c r="B68" t="inlineStr">
        <is>
          <t>694df88b000000001e0268bb</t>
        </is>
      </c>
      <c r="C68" s="67" t="n">
        <f>HYPERLINK("https://www.xiaohongshu.com/explore/694df88b000000001e0268bb?xsec_token=TBtwDoStOWWrqIzqfvN9e2OYyToUoER25h8rN7gSce8D8=&amp;xsec_source=pc_trdark","https://www.xiaohongshu.com/explore/694df88b000000001e0268bb?xsec_token=TBtwDoStOWWrqIzqfvN9e2OYyToUoER25h8rN7gSce8D8=&amp;xsec_source=pc_trdark")</f>
        <v>0.0</v>
      </c>
      <c r="D68" t="inlineStr">
        <is>
          <t>鲜水湾</t>
        </is>
      </c>
      <c r="E68" t="inlineStr">
        <is>
          <t>49316638994</t>
        </is>
      </c>
      <c r="F68" t="inlineStr">
        <is>
          <t>2025-12-26 10:52:59</t>
        </is>
      </c>
      <c r="G68" t="inlineStr">
        <is>
          <t>图文</t>
        </is>
      </c>
      <c r="H68" t="inlineStr">
        <is>
          <t>生蚝乳山生蚝海蛎子顺丰包邮</t>
        </is>
      </c>
      <c r="I68" t="inlineStr">
        <is>
          <t>690c70971b787900010866cc</t>
        </is>
      </c>
      <c r="J68" t="inlineStr">
        <is>
          <t/>
        </is>
      </c>
      <c r="K68" t="n">
        <v>0.0</v>
      </c>
      <c r="L68" t="n">
        <v>0.0</v>
      </c>
      <c r="M68" t="n">
        <v>7.0</v>
      </c>
      <c r="N68" t="inlineStr">
        <is>
          <t>0.06086956521739131</t>
        </is>
      </c>
      <c r="O68" t="n">
        <v>6.0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inlineStr">
        <is>
          <t/>
        </is>
      </c>
      <c r="X68" t="n">
        <v>0.0</v>
      </c>
      <c r="Y68" t="n">
        <v>0.0</v>
      </c>
      <c r="Z68" t="n">
        <v>3.0</v>
      </c>
      <c r="AA68" t="n">
        <v>0.0</v>
      </c>
      <c r="AB68" t="n">
        <v>0.0</v>
      </c>
      <c r="AC68" t="n">
        <v>0.0</v>
      </c>
      <c r="AD68" t="n">
        <v>115.0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8.356521739130434</v>
      </c>
      <c r="AL68" t="inlineStr">
        <is>
          <t/>
        </is>
      </c>
    </row>
    <row r="69">
      <c r="A69" t="inlineStr">
        <is>
          <t>不愧是10w网友认证过的乳山生蚝 ?太绝了！</t>
        </is>
      </c>
      <c r="B69" t="inlineStr">
        <is>
          <t>691a79eb0000000007021690</t>
        </is>
      </c>
      <c r="C69" s="68" t="n">
        <f>HYPERLINK("https://www.xiaohongshu.com/explore/691a79eb0000000007021690?xsec_token=TB7_xX17zVvyJQL8hbcdzoIH0Hg5sHUedXiVWPK2J0n74=&amp;xsec_source=pc_trdark","https://www.xiaohongshu.com/explore/691a79eb0000000007021690?xsec_token=TB7_xX17zVvyJQL8hbcdzoIH0Hg5sHUedXiVWPK2J0n74=&amp;xsec_source=pc_trdark")</f>
        <v>0.0</v>
      </c>
      <c r="D69" t="inlineStr">
        <is>
          <t>婉婉上班吃什么</t>
        </is>
      </c>
      <c r="E69" t="inlineStr">
        <is>
          <t>11434449706</t>
        </is>
      </c>
      <c r="F69" t="inlineStr">
        <is>
          <t>2025-11-17 09:27:07</t>
        </is>
      </c>
      <c r="G69" t="inlineStr">
        <is>
          <t>视频</t>
        </is>
      </c>
      <c r="H69" t="inlineStr">
        <is>
          <t>生蚝乳山生蚝海蛎子顺丰包邮</t>
        </is>
      </c>
      <c r="I69" t="inlineStr">
        <is>
          <t>690c70971b787900010866cc</t>
        </is>
      </c>
      <c r="J69" t="n">
        <v>25.0</v>
      </c>
      <c r="K69" t="n">
        <v>0.0</v>
      </c>
      <c r="L69" t="n">
        <v>0.0</v>
      </c>
      <c r="M69" t="n">
        <v>6.0</v>
      </c>
      <c r="N69" t="inlineStr">
        <is>
          <t>0.05217391304347826</t>
        </is>
      </c>
      <c r="O69" t="n">
        <v>6.0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inlineStr">
        <is>
          <t/>
        </is>
      </c>
      <c r="X69" t="n">
        <v>0.0</v>
      </c>
      <c r="Y69" t="n">
        <v>3.0</v>
      </c>
      <c r="Z69" t="n">
        <v>0.0</v>
      </c>
      <c r="AA69" t="n">
        <v>0.0</v>
      </c>
      <c r="AB69" t="n">
        <v>0.0</v>
      </c>
      <c r="AC69" t="n">
        <v>0.0</v>
      </c>
      <c r="AD69" t="n">
        <v>115.0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13.269565217391305</v>
      </c>
      <c r="AL69" t="inlineStr">
        <is>
          <t>0.18543046357615894</t>
        </is>
      </c>
    </row>
    <row r="70">
      <c r="A70" t="inlineStr">
        <is>
          <t>青岛🚗整条三文鱼礼盒已经 next level</t>
        </is>
      </c>
      <c r="B70" t="inlineStr">
        <is>
          <t>6986f477000000002800b5b6</t>
        </is>
      </c>
      <c r="C70" s="69" t="n">
        <f>HYPERLINK("https://www.xiaohongshu.com/explore/6986f477000000002800b5b6?xsec_token=TB-LsRJw2UEyjZbU1RZqmjvp12LbpoqBwvz9mnH2XZzV8=&amp;xsec_source=pc_trdark","https://www.xiaohongshu.com/explore/6986f477000000002800b5b6?xsec_token=TB-LsRJw2UEyjZbU1RZqmjvp12LbpoqBwvz9mnH2XZzV8=&amp;xsec_source=pc_trdark")</f>
        <v>0.0</v>
      </c>
      <c r="D70" t="inlineStr">
        <is>
          <t>鲜水湾</t>
        </is>
      </c>
      <c r="E70" t="inlineStr">
        <is>
          <t>49316638994</t>
        </is>
      </c>
      <c r="F70" t="inlineStr">
        <is>
          <t>2026-02-07 16:14:47</t>
        </is>
      </c>
      <c r="G70" t="inlineStr">
        <is>
          <t>图文</t>
        </is>
      </c>
      <c r="H70" t="inlineStr">
        <is>
          <t>智利三文鱼切块·整条三文鱼·深海鱼一人食健康饮食</t>
        </is>
      </c>
      <c r="I70" t="inlineStr">
        <is>
          <t>691ac562a524ee0001b51d7b</t>
        </is>
      </c>
      <c r="J70" t="inlineStr">
        <is>
          <t/>
        </is>
      </c>
      <c r="K70" t="n">
        <v>368.0</v>
      </c>
      <c r="L70" t="n">
        <v>1.0</v>
      </c>
      <c r="M70" t="n">
        <v>24.0</v>
      </c>
      <c r="N70" t="inlineStr">
        <is>
          <t>0.21052631578947367</t>
        </is>
      </c>
      <c r="O70" t="n">
        <v>23.0</v>
      </c>
      <c r="P70" t="n">
        <v>1.0</v>
      </c>
      <c r="Q70" t="inlineStr">
        <is>
          <t>0.041666666666666664</t>
        </is>
      </c>
      <c r="R70" t="inlineStr">
        <is>
          <t>0.043478260869565216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3.0</v>
      </c>
      <c r="Z70" t="n">
        <v>6.0</v>
      </c>
      <c r="AA70" t="n">
        <v>0.0</v>
      </c>
      <c r="AB70" t="n">
        <v>0.0</v>
      </c>
      <c r="AC70" t="n">
        <v>0.0</v>
      </c>
      <c r="AD70" t="n">
        <v>114.0</v>
      </c>
      <c r="AE70" t="n">
        <v>2.0</v>
      </c>
      <c r="AF70" t="n">
        <v>1.0</v>
      </c>
      <c r="AG70" t="n">
        <v>0.0</v>
      </c>
      <c r="AH70" t="n">
        <v>4.0</v>
      </c>
      <c r="AI70" t="n">
        <v>0.0</v>
      </c>
      <c r="AJ70" t="n">
        <v>0.0</v>
      </c>
      <c r="AK70" t="n">
        <v>12.587719298245615</v>
      </c>
      <c r="AL70" t="inlineStr">
        <is>
          <t/>
        </is>
      </c>
    </row>
    <row r="71">
      <c r="A71" t="inlineStr">
        <is>
          <t>威海文旅你到是抓紧宣传啊！已经口感巅峰期</t>
        </is>
      </c>
      <c r="B71" t="inlineStr">
        <is>
          <t>698bee7a000000002801ec1a</t>
        </is>
      </c>
      <c r="C71" s="70" t="n">
        <f>HYPERLINK("https://www.xiaohongshu.com/explore/698bee7a000000002801ec1a?xsec_token=TBaxNaL0i9x3ULjrtJNOAFMStkSnnx91LwVE8ICrMdnKs=&amp;xsec_source=pc_trdark","https://www.xiaohongshu.com/explore/698bee7a000000002801ec1a?xsec_token=TBaxNaL0i9x3ULjrtJNOAFMStkSnnx91LwVE8ICrMdnKs=&amp;xsec_source=pc_trdark")</f>
        <v>0.0</v>
      </c>
      <c r="D71" t="inlineStr">
        <is>
          <t>婉婉上班吃什么</t>
        </is>
      </c>
      <c r="E71" t="inlineStr">
        <is>
          <t>11434449706</t>
        </is>
      </c>
      <c r="F71" t="inlineStr">
        <is>
          <t>2026-02-11 10:50:34</t>
        </is>
      </c>
      <c r="G71" t="inlineStr">
        <is>
          <t>图文</t>
        </is>
      </c>
      <c r="H71" t="inlineStr">
        <is>
          <t>生蚝乳山生蚝海蛎子顺丰包邮</t>
        </is>
      </c>
      <c r="I71" t="inlineStr">
        <is>
          <t>690c70971b787900010866cc</t>
        </is>
      </c>
      <c r="J71" t="inlineStr">
        <is>
          <t/>
        </is>
      </c>
      <c r="K71" t="n">
        <v>0.0</v>
      </c>
      <c r="L71" t="n">
        <v>0.0</v>
      </c>
      <c r="M71" t="n">
        <v>13.0</v>
      </c>
      <c r="N71" t="inlineStr">
        <is>
          <t>0.11504424778761062</t>
        </is>
      </c>
      <c r="O71" t="n">
        <v>12.0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inlineStr">
        <is>
          <t/>
        </is>
      </c>
      <c r="X71" t="n">
        <v>0.0</v>
      </c>
      <c r="Y71" t="n">
        <v>1.0</v>
      </c>
      <c r="Z71" t="n">
        <v>2.0</v>
      </c>
      <c r="AA71" t="n">
        <v>0.0</v>
      </c>
      <c r="AB71" t="n">
        <v>0.0</v>
      </c>
      <c r="AC71" t="n">
        <v>0.0</v>
      </c>
      <c r="AD71" t="n">
        <v>113.0</v>
      </c>
      <c r="AE71" t="n">
        <v>0.0</v>
      </c>
      <c r="AF71" t="n">
        <v>0.0</v>
      </c>
      <c r="AG71" t="n">
        <v>0.0</v>
      </c>
      <c r="AH71" t="n">
        <v>2.0</v>
      </c>
      <c r="AI71" t="n">
        <v>0.0</v>
      </c>
      <c r="AJ71" t="n">
        <v>0.0</v>
      </c>
      <c r="AK71" t="n">
        <v>7.849557522123894</v>
      </c>
      <c r="AL71" t="inlineStr">
        <is>
          <t/>
        </is>
      </c>
    </row>
    <row r="72">
      <c r="A72" t="inlineStr">
        <is>
          <t>40+一箱的乳山生蚝，真的太好吃了</t>
        </is>
      </c>
      <c r="B72" t="inlineStr">
        <is>
          <t>6950fd77000000001e006b0f</t>
        </is>
      </c>
      <c r="C72" s="71" t="n">
        <f>HYPERLINK("https://www.xiaohongshu.com/explore/6950fd77000000001e006b0f?xsec_token=TBZlsVk_u522I8N-JhGtRMDlspmLxc7mxjuSVFWQkqHe0=&amp;xsec_source=pc_trdark","https://www.xiaohongshu.com/explore/6950fd77000000001e006b0f?xsec_token=TBZlsVk_u522I8N-JhGtRMDlspmLxc7mxjuSVFWQkqHe0=&amp;xsec_source=pc_trdark")</f>
        <v>0.0</v>
      </c>
      <c r="D72" t="inlineStr">
        <is>
          <t>婉婉上班吃什么</t>
        </is>
      </c>
      <c r="E72" t="inlineStr">
        <is>
          <t>11434449706</t>
        </is>
      </c>
      <c r="F72" t="inlineStr">
        <is>
          <t>2025-12-28 18:50:46</t>
        </is>
      </c>
      <c r="G72" t="inlineStr">
        <is>
          <t>视频</t>
        </is>
      </c>
      <c r="H72" t="inlineStr">
        <is>
          <t>生蚝乳山生蚝海蛎子顺丰包邮</t>
        </is>
      </c>
      <c r="I72" t="inlineStr">
        <is>
          <t>690c70971b787900010866cc</t>
        </is>
      </c>
      <c r="J72" t="n">
        <v>24.0</v>
      </c>
      <c r="K72" t="n">
        <v>0.0</v>
      </c>
      <c r="L72" t="n">
        <v>0.0</v>
      </c>
      <c r="M72" t="n">
        <v>3.0</v>
      </c>
      <c r="N72" t="inlineStr">
        <is>
          <t>0.02727272727272727</t>
        </is>
      </c>
      <c r="O72" t="n">
        <v>2.0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inlineStr">
        <is>
          <t/>
        </is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110.0</v>
      </c>
      <c r="AE72" t="n">
        <v>0.0</v>
      </c>
      <c r="AF72" t="n">
        <v>0.0</v>
      </c>
      <c r="AG72" t="n">
        <v>1.0</v>
      </c>
      <c r="AH72" t="n">
        <v>0.0</v>
      </c>
      <c r="AI72" t="n">
        <v>0.0</v>
      </c>
      <c r="AJ72" t="n">
        <v>0.0</v>
      </c>
      <c r="AK72" t="n">
        <v>6.381818181818182</v>
      </c>
      <c r="AL72" t="n">
        <v>0.0962962962962963</v>
      </c>
    </row>
    <row r="73">
      <c r="A73" t="inlineStr">
        <is>
          <t>这么来上一碗真是惬意🥹</t>
        </is>
      </c>
      <c r="B73" t="inlineStr">
        <is>
          <t>69a29461000000002303bafd</t>
        </is>
      </c>
      <c r="C73" s="72" t="n">
        <f>HYPERLINK("https://www.xiaohongshu.com/explore/69a29461000000002303bafd?xsec_token=TBUws-qSGfQm7WfIK5gxFwZ8sejI1ODrburauKiQhKO1g=&amp;xsec_source=pc_trdark","https://www.xiaohongshu.com/explore/69a29461000000002303bafd?xsec_token=TBUws-qSGfQm7WfIK5gxFwZ8sejI1ODrburauKiQhKO1g=&amp;xsec_source=pc_trdark")</f>
        <v>0.0</v>
      </c>
      <c r="D73" t="inlineStr">
        <is>
          <t>鲜水湾甄选</t>
        </is>
      </c>
      <c r="E73" t="inlineStr">
        <is>
          <t>27401929161</t>
        </is>
      </c>
      <c r="F73" t="inlineStr">
        <is>
          <t>2026-02-28 15:08:17</t>
        </is>
      </c>
      <c r="G73" t="inlineStr">
        <is>
          <t>图文</t>
        </is>
      </c>
      <c r="H73" t="inlineStr">
        <is>
          <t>北极甜虾头籽甜虾元宝虾北极熊冰虾孕妈妈宝宝辅食顺丰</t>
        </is>
      </c>
      <c r="I73" t="inlineStr">
        <is>
          <t>6953717eb8f0bb000115158d</t>
        </is>
      </c>
      <c r="J73" t="inlineStr">
        <is>
          <t/>
        </is>
      </c>
      <c r="K73" t="n">
        <v>0.0</v>
      </c>
      <c r="L73" t="n">
        <v>0.0</v>
      </c>
      <c r="M73" t="n">
        <v>12.0</v>
      </c>
      <c r="N73" t="inlineStr">
        <is>
          <t>0.11214953271028037</t>
        </is>
      </c>
      <c r="O73" t="n">
        <v>12.0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inlineStr">
        <is>
          <t/>
        </is>
      </c>
      <c r="X73" t="n">
        <v>0.0</v>
      </c>
      <c r="Y73" t="n">
        <v>2.0</v>
      </c>
      <c r="Z73" t="n">
        <v>1.0</v>
      </c>
      <c r="AA73" t="n">
        <v>0.0</v>
      </c>
      <c r="AB73" t="n">
        <v>0.0</v>
      </c>
      <c r="AC73" t="n">
        <v>0.0</v>
      </c>
      <c r="AD73" t="n">
        <v>107.0</v>
      </c>
      <c r="AE73" t="n">
        <v>1.0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5.88785046728972</v>
      </c>
      <c r="AL73" t="inlineStr">
        <is>
          <t/>
        </is>
      </c>
    </row>
    <row r="74">
      <c r="A74" t="inlineStr">
        <is>
          <t>年前买北极甜虾的！年后都来回购了🤤</t>
        </is>
      </c>
      <c r="B74" t="inlineStr">
        <is>
          <t>699d4f80000000000b0134d4</t>
        </is>
      </c>
      <c r="C74" s="73" t="n">
        <f>HYPERLINK("https://www.xiaohongshu.com/explore/699d4f80000000000b0134d4?xsec_token=TBeFZqWudA4ECFcaumXjqu0Il1B7A1a0D94UGunWJ0iX8=&amp;xsec_source=pc_trdark","https://www.xiaohongshu.com/explore/699d4f80000000000b0134d4?xsec_token=TBeFZqWudA4ECFcaumXjqu0Il1B7A1a0D94UGunWJ0iX8=&amp;xsec_source=pc_trdark")</f>
        <v>0.0</v>
      </c>
      <c r="D74" t="inlineStr">
        <is>
          <t>鲜水湾甄选</t>
        </is>
      </c>
      <c r="E74" t="inlineStr">
        <is>
          <t>27401929161</t>
        </is>
      </c>
      <c r="F74" t="inlineStr">
        <is>
          <t>2026-02-24 15:13:04</t>
        </is>
      </c>
      <c r="G74" t="inlineStr">
        <is>
          <t>图文</t>
        </is>
      </c>
      <c r="H74" t="inlineStr">
        <is>
          <t>北极甜虾头籽甜虾元宝虾北极熊冰虾孕妈妈宝宝辅食顺丰</t>
        </is>
      </c>
      <c r="I74" t="inlineStr">
        <is>
          <t>6953717eb8f0bb000115158d</t>
        </is>
      </c>
      <c r="J74" t="inlineStr">
        <is>
          <t/>
        </is>
      </c>
      <c r="K74" t="n">
        <v>0.0</v>
      </c>
      <c r="L74" t="n">
        <v>0.0</v>
      </c>
      <c r="M74" t="n">
        <v>19.0</v>
      </c>
      <c r="N74" t="n">
        <v>0.1792452830188679</v>
      </c>
      <c r="O74" t="n">
        <v>17.0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inlineStr">
        <is>
          <t/>
        </is>
      </c>
      <c r="X74" t="n">
        <v>0.0</v>
      </c>
      <c r="Y74" t="n">
        <v>3.0</v>
      </c>
      <c r="Z74" t="n">
        <v>1.0</v>
      </c>
      <c r="AA74" t="n">
        <v>0.0</v>
      </c>
      <c r="AB74" t="n">
        <v>0.0</v>
      </c>
      <c r="AC74" t="n">
        <v>0.0</v>
      </c>
      <c r="AD74" t="n">
        <v>106.0</v>
      </c>
      <c r="AE74" t="n">
        <v>2.0</v>
      </c>
      <c r="AF74" t="n">
        <v>0.0</v>
      </c>
      <c r="AG74" t="n">
        <v>0.0</v>
      </c>
      <c r="AH74" t="n">
        <v>3.0</v>
      </c>
      <c r="AI74" t="n">
        <v>0.0</v>
      </c>
      <c r="AJ74" t="n">
        <v>0.0</v>
      </c>
      <c r="AK74" t="n">
        <v>13.575471698113208</v>
      </c>
      <c r="AL74" t="inlineStr">
        <is>
          <t/>
        </is>
      </c>
    </row>
    <row r="75">
      <c r="A75" t="inlineStr">
        <is>
          <t>第一次直观感受到 70 块钱的威力</t>
        </is>
      </c>
      <c r="B75" t="inlineStr">
        <is>
          <t>699ec416000000001a03214d</t>
        </is>
      </c>
      <c r="C75" s="74" t="n">
        <f>HYPERLINK("https://www.xiaohongshu.com/explore/699ec416000000001a03214d?xsec_token=TBggKgSP0tIUAtqBAPfP3mLfAUR-Rz_K3CwxcaHMVC0-E=&amp;xsec_source=pc_trdark","https://www.xiaohongshu.com/explore/699ec416000000001a03214d?xsec_token=TBggKgSP0tIUAtqBAPfP3mLfAUR-Rz_K3CwxcaHMVC0-E=&amp;xsec_source=pc_trdark")</f>
        <v>0.0</v>
      </c>
      <c r="D75" t="inlineStr">
        <is>
          <t>鲜水湾</t>
        </is>
      </c>
      <c r="E75" t="inlineStr">
        <is>
          <t>49316638994</t>
        </is>
      </c>
      <c r="F75" t="inlineStr">
        <is>
          <t>2026-02-25 17:42:46</t>
        </is>
      </c>
      <c r="G75" t="inlineStr">
        <is>
          <t>图文</t>
        </is>
      </c>
      <c r="H75" t="inlineStr">
        <is>
          <t>大虾基围虾王牌大虾厄瓜多尔白虾盐冻虾仁海洋大虾送礼顺丰包邮</t>
        </is>
      </c>
      <c r="I75" t="inlineStr">
        <is>
          <t>690aeb7be379430001e686ac</t>
        </is>
      </c>
      <c r="J75" t="inlineStr">
        <is>
          <t/>
        </is>
      </c>
      <c r="K75" t="n">
        <v>69.0</v>
      </c>
      <c r="L75" t="n">
        <v>1.0</v>
      </c>
      <c r="M75" t="n">
        <v>18.0</v>
      </c>
      <c r="N75" t="inlineStr">
        <is>
          <t>0.17307692307692307</t>
        </is>
      </c>
      <c r="O75" t="n">
        <v>17.0</v>
      </c>
      <c r="P75" t="n">
        <v>1.0</v>
      </c>
      <c r="Q75" t="inlineStr">
        <is>
          <t>0.05555555555555555</t>
        </is>
      </c>
      <c r="R75" t="inlineStr">
        <is>
          <t>0.058823529411764705</t>
        </is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1.0</v>
      </c>
      <c r="Z75" t="n">
        <v>2.0</v>
      </c>
      <c r="AA75" t="n">
        <v>0.0</v>
      </c>
      <c r="AB75" t="n">
        <v>0.0</v>
      </c>
      <c r="AC75" t="n">
        <v>0.0</v>
      </c>
      <c r="AD75" t="n">
        <v>104.0</v>
      </c>
      <c r="AE75" t="n">
        <v>0.0</v>
      </c>
      <c r="AF75" t="n">
        <v>0.0</v>
      </c>
      <c r="AG75" t="n">
        <v>0.0</v>
      </c>
      <c r="AH75" t="n">
        <v>2.0</v>
      </c>
      <c r="AI75" t="n">
        <v>0.0</v>
      </c>
      <c r="AJ75" t="n">
        <v>0.0</v>
      </c>
      <c r="AK75" t="n">
        <v>9.98076923076923</v>
      </c>
      <c r="AL75" t="inlineStr">
        <is>
          <t/>
        </is>
      </c>
    </row>
    <row r="76">
      <c r="A76" t="inlineStr">
        <is>
          <t>这么大的生蚝你能吃几个？</t>
        </is>
      </c>
      <c r="B76" t="inlineStr">
        <is>
          <t>69267780000000001e00ebe8</t>
        </is>
      </c>
      <c r="C76" s="75" t="n">
        <f>HYPERLINK("https://www.xiaohongshu.com/explore/69267780000000001e00ebe8?xsec_token=TBFGqkDRGUjajy3y4pB3XfUk7gFCFbQ7a9uJhZbleSDnM=&amp;xsec_source=pc_trdark","https://www.xiaohongshu.com/explore/69267780000000001e00ebe8?xsec_token=TBFGqkDRGUjajy3y4pB3XfUk7gFCFbQ7a9uJhZbleSDnM=&amp;xsec_source=pc_trdark")</f>
        <v>0.0</v>
      </c>
      <c r="D76" t="inlineStr">
        <is>
          <t>婉婉上班吃什么</t>
        </is>
      </c>
      <c r="E76" t="inlineStr">
        <is>
          <t>11434449706</t>
        </is>
      </c>
      <c r="F76" t="inlineStr">
        <is>
          <t>2025-11-26 11:44:00</t>
        </is>
      </c>
      <c r="G76" t="inlineStr">
        <is>
          <t>视频</t>
        </is>
      </c>
      <c r="H76" t="inlineStr">
        <is>
          <t>生蚝乳山生蚝海蛎子顺丰包邮</t>
        </is>
      </c>
      <c r="I76" t="inlineStr">
        <is>
          <t>690c70971b787900010866cc</t>
        </is>
      </c>
      <c r="J76" t="n">
        <v>16.0</v>
      </c>
      <c r="K76" t="n">
        <v>0.0</v>
      </c>
      <c r="L76" t="n">
        <v>0.0</v>
      </c>
      <c r="M76" t="n">
        <v>1.0</v>
      </c>
      <c r="N76" t="inlineStr">
        <is>
          <t>0.009615384615384616</t>
        </is>
      </c>
      <c r="O76" t="n">
        <v>1.0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inlineStr">
        <is>
          <t/>
        </is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104.0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13.528846153846153</v>
      </c>
      <c r="AL76" t="n">
        <v>0.3806818181818182</v>
      </c>
    </row>
    <row r="77">
      <c r="A77" t="inlineStr">
        <is>
          <t>以为69元没多少，结果够我吃一周的了</t>
        </is>
      </c>
      <c r="B77" t="inlineStr">
        <is>
          <t>697eae4d000000001a02fc41</t>
        </is>
      </c>
      <c r="C77" s="76" t="n">
        <f>HYPERLINK("https://www.xiaohongshu.com/explore/697eae4d000000001a02fc41?xsec_token=TB7jwFOfZJsihjbpJtFT0dVm-n_OXKhmGM1UaGd2I0iGQ=&amp;xsec_source=pc_trdark","https://www.xiaohongshu.com/explore/697eae4d000000001a02fc41?xsec_token=TB7jwFOfZJsihjbpJtFT0dVm-n_OXKhmGM1UaGd2I0iGQ=&amp;xsec_source=pc_trdark")</f>
        <v>0.0</v>
      </c>
      <c r="D77" t="inlineStr">
        <is>
          <t>鲜水湾</t>
        </is>
      </c>
      <c r="E77" t="inlineStr">
        <is>
          <t>49316638994</t>
        </is>
      </c>
      <c r="F77" t="inlineStr">
        <is>
          <t>2026-02-01 09:37:17</t>
        </is>
      </c>
      <c r="G77" t="inlineStr">
        <is>
          <t>图文</t>
        </is>
      </c>
      <c r="H77" t="inlineStr">
        <is>
          <t>大虾基围虾王牌大虾厄瓜多尔白虾盐冻虾仁海洋大虾送礼顺丰包邮</t>
        </is>
      </c>
      <c r="I77" t="inlineStr">
        <is>
          <t>690aeb7be379430001e686ac</t>
        </is>
      </c>
      <c r="J77" t="inlineStr">
        <is>
          <t/>
        </is>
      </c>
      <c r="K77" t="n">
        <v>0.0</v>
      </c>
      <c r="L77" t="n">
        <v>0.0</v>
      </c>
      <c r="M77" t="n">
        <v>24.0</v>
      </c>
      <c r="N77" t="inlineStr">
        <is>
          <t>0.24242424242424243</t>
        </is>
      </c>
      <c r="O77" t="n">
        <v>19.0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inlineStr">
        <is>
          <t/>
        </is>
      </c>
      <c r="X77" t="n">
        <v>0.0</v>
      </c>
      <c r="Y77" t="n">
        <v>4.0</v>
      </c>
      <c r="Z77" t="n">
        <v>5.0</v>
      </c>
      <c r="AA77" t="n">
        <v>0.0</v>
      </c>
      <c r="AB77" t="n">
        <v>0.0</v>
      </c>
      <c r="AC77" t="n">
        <v>0.0</v>
      </c>
      <c r="AD77" t="n">
        <v>99.0</v>
      </c>
      <c r="AE77" t="n">
        <v>1.0</v>
      </c>
      <c r="AF77" t="n">
        <v>0.0</v>
      </c>
      <c r="AG77" t="n">
        <v>0.0</v>
      </c>
      <c r="AH77" t="n">
        <v>2.0</v>
      </c>
      <c r="AI77" t="n">
        <v>0.0</v>
      </c>
      <c r="AJ77" t="n">
        <v>0.0</v>
      </c>
      <c r="AK77" t="n">
        <v>8.333333333333334</v>
      </c>
      <c r="AL77" t="inlineStr">
        <is>
          <t/>
        </is>
      </c>
    </row>
    <row r="78">
      <c r="A78" t="inlineStr">
        <is>
          <t>冬天的生蚝最肥了，40来块就能买到5斤生蚝</t>
        </is>
      </c>
      <c r="B78" t="inlineStr">
        <is>
          <t>6971eb71000000001a02cb37</t>
        </is>
      </c>
      <c r="C78" s="77" t="n">
        <f>HYPERLINK("https://www.xiaohongshu.com/explore/6971eb71000000001a02cb37?xsec_token=TBzmPvyXtzq1znB7VIOlNhUVitPuw4hRaGEZjQ7Y527pE=&amp;xsec_source=pc_trdark","https://www.xiaohongshu.com/explore/6971eb71000000001a02cb37?xsec_token=TBzmPvyXtzq1znB7VIOlNhUVitPuw4hRaGEZjQ7Y527pE=&amp;xsec_source=pc_trdark")</f>
        <v>0.0</v>
      </c>
      <c r="D78" t="inlineStr">
        <is>
          <t>婉婉上班吃什么</t>
        </is>
      </c>
      <c r="E78" t="inlineStr">
        <is>
          <t>11434449706</t>
        </is>
      </c>
      <c r="F78" t="inlineStr">
        <is>
          <t>2026-01-22 17:18:41</t>
        </is>
      </c>
      <c r="G78" t="inlineStr">
        <is>
          <t>视频</t>
        </is>
      </c>
      <c r="H78" t="inlineStr">
        <is>
          <t>生蚝乳山生蚝海蛎子顺丰包邮</t>
        </is>
      </c>
      <c r="I78" t="inlineStr">
        <is>
          <t>690c70971b787900010866cc</t>
        </is>
      </c>
      <c r="J78" t="n">
        <v>12.0</v>
      </c>
      <c r="K78" t="n">
        <v>0.0</v>
      </c>
      <c r="L78" t="n">
        <v>0.0</v>
      </c>
      <c r="M78" t="n">
        <v>5.0</v>
      </c>
      <c r="N78" t="inlineStr">
        <is>
          <t>0.05263157894736842</t>
        </is>
      </c>
      <c r="O78" t="n">
        <v>4.0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inlineStr">
        <is>
          <t/>
        </is>
      </c>
      <c r="X78" t="n">
        <v>0.0</v>
      </c>
      <c r="Y78" t="n">
        <v>0.0</v>
      </c>
      <c r="Z78" t="n">
        <v>3.0</v>
      </c>
      <c r="AA78" t="n">
        <v>0.0</v>
      </c>
      <c r="AB78" t="n">
        <v>0.0</v>
      </c>
      <c r="AC78" t="n">
        <v>0.0</v>
      </c>
      <c r="AD78" t="n">
        <v>95.0</v>
      </c>
      <c r="AE78" t="n">
        <v>1.0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4.494736842105263</v>
      </c>
      <c r="AL78" t="n">
        <v>0.1935483870967742</v>
      </c>
    </row>
    <row r="79">
      <c r="A79" t="inlineStr">
        <is>
          <t>买不到好的生蚝就来找我！包肥的</t>
        </is>
      </c>
      <c r="B79" t="inlineStr">
        <is>
          <t>697b140a000000002801f272</t>
        </is>
      </c>
      <c r="C79" s="78" t="n">
        <f>HYPERLINK("https://www.xiaohongshu.com/explore/697b140a000000002801f272?xsec_token=TBx0gf9xFBuo-Uf0_oTJMkRAe5zNebA4cCCzNoT7itunA=&amp;xsec_source=pc_trdark","https://www.xiaohongshu.com/explore/697b140a000000002801f272?xsec_token=TBx0gf9xFBuo-Uf0_oTJMkRAe5zNebA4cCCzNoT7itunA=&amp;xsec_source=pc_trdark")</f>
        <v>0.0</v>
      </c>
      <c r="D79" t="inlineStr">
        <is>
          <t>鲜水湾</t>
        </is>
      </c>
      <c r="E79" t="inlineStr">
        <is>
          <t>49316638994</t>
        </is>
      </c>
      <c r="F79" t="inlineStr">
        <is>
          <t>2026-01-29 16:02:18</t>
        </is>
      </c>
      <c r="G79" t="inlineStr">
        <is>
          <t>图文</t>
        </is>
      </c>
      <c r="H79" t="inlineStr">
        <is>
          <t>生蚝乳山生蚝海蛎子顺丰包邮</t>
        </is>
      </c>
      <c r="I79" t="inlineStr">
        <is>
          <t>690c70971b787900010866cc</t>
        </is>
      </c>
      <c r="J79" t="inlineStr">
        <is>
          <t/>
        </is>
      </c>
      <c r="K79" t="n">
        <v>0.0</v>
      </c>
      <c r="L79" t="n">
        <v>0.0</v>
      </c>
      <c r="M79" t="n">
        <v>19.0</v>
      </c>
      <c r="N79" t="inlineStr">
        <is>
          <t>0.20212765957446807</t>
        </is>
      </c>
      <c r="O79" t="n">
        <v>19.0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inlineStr">
        <is>
          <t/>
        </is>
      </c>
      <c r="X79" t="n">
        <v>0.0</v>
      </c>
      <c r="Y79" t="n">
        <v>2.0</v>
      </c>
      <c r="Z79" t="n">
        <v>6.0</v>
      </c>
      <c r="AA79" t="n">
        <v>0.0</v>
      </c>
      <c r="AB79" t="n">
        <v>0.0</v>
      </c>
      <c r="AC79" t="n">
        <v>0.0</v>
      </c>
      <c r="AD79" t="n">
        <v>94.0</v>
      </c>
      <c r="AE79" t="n">
        <v>1.0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10.48936170212766</v>
      </c>
      <c r="AL79" t="inlineStr">
        <is>
          <t/>
        </is>
      </c>
    </row>
    <row r="80">
      <c r="A80" t="inlineStr">
        <is>
          <t>误以为很贵，实际40多五斤生蚝真的过瘾！</t>
        </is>
      </c>
      <c r="B80" t="inlineStr">
        <is>
          <t>6930088b000000001f006225</t>
        </is>
      </c>
      <c r="C80" s="79" t="n">
        <f>HYPERLINK("https://www.xiaohongshu.com/explore/6930088b000000001f006225?xsec_token=TBXTxn9EZjzobZQSnyFe1Ge_xt-0aEw_uXRIkU64CkQBc=&amp;xsec_source=pc_trdark","https://www.xiaohongshu.com/explore/6930088b000000001f006225?xsec_token=TBXTxn9EZjzobZQSnyFe1Ge_xt-0aEw_uXRIkU64CkQBc=&amp;xsec_source=pc_trdark")</f>
        <v>0.0</v>
      </c>
      <c r="D80" t="inlineStr">
        <is>
          <t>婉婉上班吃什么</t>
        </is>
      </c>
      <c r="E80" t="inlineStr">
        <is>
          <t>11434449706</t>
        </is>
      </c>
      <c r="F80" t="inlineStr">
        <is>
          <t>2025-12-03 17:53:15</t>
        </is>
      </c>
      <c r="G80" t="inlineStr">
        <is>
          <t>视频</t>
        </is>
      </c>
      <c r="H80" t="inlineStr">
        <is>
          <t>生蚝乳山生蚝海蛎子顺丰包邮</t>
        </is>
      </c>
      <c r="I80" t="inlineStr">
        <is>
          <t>690c70971b787900010866cc</t>
        </is>
      </c>
      <c r="J80" t="n">
        <v>30.0</v>
      </c>
      <c r="K80" t="n">
        <v>0.0</v>
      </c>
      <c r="L80" t="n">
        <v>0.0</v>
      </c>
      <c r="M80" t="n">
        <v>4.0</v>
      </c>
      <c r="N80" t="n">
        <v>0.0425531914893617</v>
      </c>
      <c r="O80" t="n">
        <v>4.0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inlineStr">
        <is>
          <t/>
        </is>
      </c>
      <c r="X80" t="n">
        <v>0.0</v>
      </c>
      <c r="Y80" t="n">
        <v>1.0</v>
      </c>
      <c r="Z80" t="n">
        <v>0.0</v>
      </c>
      <c r="AA80" t="n">
        <v>0.0</v>
      </c>
      <c r="AB80" t="n">
        <v>0.0</v>
      </c>
      <c r="AC80" t="n">
        <v>0.0</v>
      </c>
      <c r="AD80" t="n">
        <v>94.0</v>
      </c>
      <c r="AE80" t="n">
        <v>0.0</v>
      </c>
      <c r="AF80" t="n">
        <v>1.0</v>
      </c>
      <c r="AG80" t="n">
        <v>0.0</v>
      </c>
      <c r="AH80" t="n">
        <v>1.0</v>
      </c>
      <c r="AI80" t="n">
        <v>0.0</v>
      </c>
      <c r="AJ80" t="n">
        <v>0.0</v>
      </c>
      <c r="AK80" t="n">
        <v>13.138297872340425</v>
      </c>
      <c r="AL80" t="inlineStr">
        <is>
          <t>0.16129032258064516</t>
        </is>
      </c>
    </row>
    <row r="81">
      <c r="A81" t="inlineStr">
        <is>
          <t>青岛发过来的！被爸妈夸了一整天</t>
        </is>
      </c>
      <c r="B81" t="inlineStr">
        <is>
          <t>698ebc83000000000e00cad5</t>
        </is>
      </c>
      <c r="C81" s="80" t="n">
        <f>HYPERLINK("https://www.xiaohongshu.com/explore/698ebc83000000000e00cad5?xsec_token=TBNIhd8Wg4_l-WeAs5DLBNd3MDxm99LsgWpFOMllYrtqk=&amp;xsec_source=pc_trdark","https://www.xiaohongshu.com/explore/698ebc83000000000e00cad5?xsec_token=TBNIhd8Wg4_l-WeAs5DLBNd3MDxm99LsgWpFOMllYrtqk=&amp;xsec_source=pc_trdark")</f>
        <v>0.0</v>
      </c>
      <c r="D81" t="inlineStr">
        <is>
          <t>鲜水湾</t>
        </is>
      </c>
      <c r="E81" t="inlineStr">
        <is>
          <t>49316638994</t>
        </is>
      </c>
      <c r="F81" t="inlineStr">
        <is>
          <t>2026-02-13 13:54:11</t>
        </is>
      </c>
      <c r="G81" t="inlineStr">
        <is>
          <t>图文</t>
        </is>
      </c>
      <c r="H81" t="inlineStr">
        <is>
          <t>智利三文鱼切块·整条三文鱼·深海鱼一人食健康饮食</t>
        </is>
      </c>
      <c r="I81" t="inlineStr">
        <is>
          <t>691ac562a524ee0001b51d7b</t>
        </is>
      </c>
      <c r="J81" t="inlineStr">
        <is>
          <t/>
        </is>
      </c>
      <c r="K81" t="n">
        <v>338.0</v>
      </c>
      <c r="L81" t="n">
        <v>1.0</v>
      </c>
      <c r="M81" t="n">
        <v>11.0</v>
      </c>
      <c r="N81" t="inlineStr">
        <is>
          <t>0.11827956989247312</t>
        </is>
      </c>
      <c r="O81" t="n">
        <v>9.0</v>
      </c>
      <c r="P81" t="n">
        <v>1.0</v>
      </c>
      <c r="Q81" t="inlineStr">
        <is>
          <t>0.09090909090909091</t>
        </is>
      </c>
      <c r="R81" t="n">
        <v>0.1111111111111111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1.0</v>
      </c>
      <c r="Z81" t="n">
        <v>2.0</v>
      </c>
      <c r="AA81" t="n">
        <v>0.0</v>
      </c>
      <c r="AB81" t="n">
        <v>0.0</v>
      </c>
      <c r="AC81" t="n">
        <v>0.0</v>
      </c>
      <c r="AD81" t="n">
        <v>93.0</v>
      </c>
      <c r="AE81" t="n">
        <v>1.0</v>
      </c>
      <c r="AF81" t="n">
        <v>0.0</v>
      </c>
      <c r="AG81" t="n">
        <v>0.0</v>
      </c>
      <c r="AH81" t="n">
        <v>2.0</v>
      </c>
      <c r="AI81" t="n">
        <v>0.0</v>
      </c>
      <c r="AJ81" t="n">
        <v>0.0</v>
      </c>
      <c r="AK81" t="n">
        <v>10.612903225806452</v>
      </c>
      <c r="AL81" t="inlineStr">
        <is>
          <t/>
        </is>
      </c>
    </row>
    <row r="82">
      <c r="A82" t="inlineStr">
        <is>
          <t>热量比鸡胸肉还低，年后控体就吃它！</t>
        </is>
      </c>
      <c r="B82" t="inlineStr">
        <is>
          <t>699e9161000000001a02a851</t>
        </is>
      </c>
      <c r="C82" s="81" t="n">
        <f>HYPERLINK("https://www.xiaohongshu.com/explore/699e9161000000001a02a851?xsec_token=TBggKgSP0tIUAtqBAPfP3mLfen2SEZ9nxre24UDSyJD2g=&amp;xsec_source=pc_trdark","https://www.xiaohongshu.com/explore/699e9161000000001a02a851?xsec_token=TBggKgSP0tIUAtqBAPfP3mLfen2SEZ9nxre24UDSyJD2g=&amp;xsec_source=pc_trdark")</f>
        <v>0.0</v>
      </c>
      <c r="D82" t="inlineStr">
        <is>
          <t>鲜水湾</t>
        </is>
      </c>
      <c r="E82" t="inlineStr">
        <is>
          <t>49316638994</t>
        </is>
      </c>
      <c r="F82" t="inlineStr">
        <is>
          <t>2026-02-25 14:06:25</t>
        </is>
      </c>
      <c r="G82" t="inlineStr">
        <is>
          <t>图文</t>
        </is>
      </c>
      <c r="H82" t="inlineStr">
        <is>
          <t>大虾基围虾王牌大虾厄瓜多尔白虾盐冻虾仁海洋大虾送礼顺丰包邮</t>
        </is>
      </c>
      <c r="I82" t="inlineStr">
        <is>
          <t>690aeb7be379430001e686ac</t>
        </is>
      </c>
      <c r="J82" t="inlineStr">
        <is>
          <t/>
        </is>
      </c>
      <c r="K82" t="n">
        <v>0.0</v>
      </c>
      <c r="L82" t="n">
        <v>0.0</v>
      </c>
      <c r="M82" t="n">
        <v>13.0</v>
      </c>
      <c r="N82" t="inlineStr">
        <is>
          <t>0.14130434782608695</t>
        </is>
      </c>
      <c r="O82" t="n">
        <v>10.0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inlineStr">
        <is>
          <t/>
        </is>
      </c>
      <c r="X82" t="n">
        <v>0.0</v>
      </c>
      <c r="Y82" t="n">
        <v>0.0</v>
      </c>
      <c r="Z82" t="n">
        <v>3.0</v>
      </c>
      <c r="AA82" t="n">
        <v>0.0</v>
      </c>
      <c r="AB82" t="n">
        <v>0.0</v>
      </c>
      <c r="AC82" t="n">
        <v>0.0</v>
      </c>
      <c r="AD82" t="n">
        <v>92.0</v>
      </c>
      <c r="AE82" t="n">
        <v>3.0</v>
      </c>
      <c r="AF82" t="n">
        <v>0.0</v>
      </c>
      <c r="AG82" t="n">
        <v>3.0</v>
      </c>
      <c r="AH82" t="n">
        <v>2.0</v>
      </c>
      <c r="AI82" t="n">
        <v>0.0</v>
      </c>
      <c r="AJ82" t="n">
        <v>0.0</v>
      </c>
      <c r="AK82" t="n">
        <v>8.673913043478262</v>
      </c>
      <c r="AL82" t="inlineStr">
        <is>
          <t/>
        </is>
      </c>
    </row>
    <row r="83">
      <c r="A83" t="inlineStr">
        <is>
          <t>继续回购，区区69就搞定一周减脂餐～</t>
        </is>
      </c>
      <c r="B83" t="inlineStr">
        <is>
          <t>699d3bed000000000e03d6a7</t>
        </is>
      </c>
      <c r="C83" s="82" t="n">
        <f>HYPERLINK("https://www.xiaohongshu.com/explore/699d3bed000000000e03d6a7?xsec_token=TBeFZqWudA4ECFcaumXjqu0PN5vvK74rRMyla_lNUiTZI=&amp;xsec_source=pc_trdark","https://www.xiaohongshu.com/explore/699d3bed000000000e03d6a7?xsec_token=TBeFZqWudA4ECFcaumXjqu0PN5vvK74rRMyla_lNUiTZI=&amp;xsec_source=pc_trdark")</f>
        <v>0.0</v>
      </c>
      <c r="D83" t="inlineStr">
        <is>
          <t>鲜水湾</t>
        </is>
      </c>
      <c r="E83" t="inlineStr">
        <is>
          <t>49316638994</t>
        </is>
      </c>
      <c r="F83" t="inlineStr">
        <is>
          <t>2026-02-24 13:49:33</t>
        </is>
      </c>
      <c r="G83" t="inlineStr">
        <is>
          <t>图文</t>
        </is>
      </c>
      <c r="H83" t="inlineStr">
        <is>
          <t>大虾基围虾王牌大虾厄瓜多尔白虾盐冻虾仁海洋大虾送礼顺丰包邮</t>
        </is>
      </c>
      <c r="I83" t="inlineStr">
        <is>
          <t>690aeb7be379430001e686ac</t>
        </is>
      </c>
      <c r="J83" t="inlineStr">
        <is>
          <t/>
        </is>
      </c>
      <c r="K83" t="n">
        <v>0.0</v>
      </c>
      <c r="L83" t="n">
        <v>0.0</v>
      </c>
      <c r="M83" t="n">
        <v>29.0</v>
      </c>
      <c r="N83" t="inlineStr">
        <is>
          <t>0.31521739130434784</t>
        </is>
      </c>
      <c r="O83" t="n">
        <v>26.0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inlineStr">
        <is>
          <t/>
        </is>
      </c>
      <c r="X83" t="n">
        <v>0.0</v>
      </c>
      <c r="Y83" t="n">
        <v>3.0</v>
      </c>
      <c r="Z83" t="n">
        <v>5.0</v>
      </c>
      <c r="AA83" t="n">
        <v>0.0</v>
      </c>
      <c r="AB83" t="n">
        <v>0.0</v>
      </c>
      <c r="AC83" t="n">
        <v>0.0</v>
      </c>
      <c r="AD83" t="n">
        <v>92.0</v>
      </c>
      <c r="AE83" t="n">
        <v>1.0</v>
      </c>
      <c r="AF83" t="n">
        <v>0.0</v>
      </c>
      <c r="AG83" t="n">
        <v>0.0</v>
      </c>
      <c r="AH83" t="n">
        <v>2.0</v>
      </c>
      <c r="AI83" t="n">
        <v>0.0</v>
      </c>
      <c r="AJ83" t="n">
        <v>0.0</v>
      </c>
      <c r="AK83" t="n">
        <v>11.902173913043478</v>
      </c>
      <c r="AL83" t="inlineStr">
        <is>
          <t/>
        </is>
      </c>
    </row>
    <row r="84">
      <c r="A84" t="inlineStr">
        <is>
          <t>从此西餐厅别想赚我一分钱！</t>
        </is>
      </c>
      <c r="B84" t="inlineStr">
        <is>
          <t>69a1b573000000001a0340c8</t>
        </is>
      </c>
      <c r="C84" s="83" t="n">
        <f>HYPERLINK("https://www.xiaohongshu.com/explore/69a1b573000000001a0340c8?xsec_token=TBk7Tu9foWGIsieMmGc2tlwncyOwrgcJ6OMGqntCl6zgg=&amp;xsec_source=pc_trdark","https://www.xiaohongshu.com/explore/69a1b573000000001a0340c8?xsec_token=TBk7Tu9foWGIsieMmGc2tlwncyOwrgcJ6OMGqntCl6zgg=&amp;xsec_source=pc_trdark")</f>
        <v>0.0</v>
      </c>
      <c r="D84" t="inlineStr">
        <is>
          <t>鲜水湾</t>
        </is>
      </c>
      <c r="E84" t="inlineStr">
        <is>
          <t>49316638994</t>
        </is>
      </c>
      <c r="F84" t="inlineStr">
        <is>
          <t>2026-02-27 23:17:07</t>
        </is>
      </c>
      <c r="G84" t="inlineStr">
        <is>
          <t>图文</t>
        </is>
      </c>
      <c r="H84" t="inlineStr">
        <is>
          <t>智利三文鱼切块·整条三文鱼·深海鱼一人食健康饮食</t>
        </is>
      </c>
      <c r="I84" t="inlineStr">
        <is>
          <t>691ac562a524ee0001b51d7b</t>
        </is>
      </c>
      <c r="J84" t="inlineStr">
        <is>
          <t/>
        </is>
      </c>
      <c r="K84" t="n">
        <v>0.0</v>
      </c>
      <c r="L84" t="n">
        <v>0.0</v>
      </c>
      <c r="M84" t="n">
        <v>18.0</v>
      </c>
      <c r="N84" t="n">
        <v>0.1978021978021978</v>
      </c>
      <c r="O84" t="n">
        <v>18.0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inlineStr">
        <is>
          <t/>
        </is>
      </c>
      <c r="X84" t="n">
        <v>0.0</v>
      </c>
      <c r="Y84" t="n">
        <v>2.0</v>
      </c>
      <c r="Z84" t="n">
        <v>1.0</v>
      </c>
      <c r="AA84" t="n">
        <v>0.0</v>
      </c>
      <c r="AB84" t="n">
        <v>0.0</v>
      </c>
      <c r="AC84" t="n">
        <v>0.0</v>
      </c>
      <c r="AD84" t="n">
        <v>91.0</v>
      </c>
      <c r="AE84" t="n">
        <v>1.0</v>
      </c>
      <c r="AF84" t="n">
        <v>0.0</v>
      </c>
      <c r="AG84" t="n">
        <v>0.0</v>
      </c>
      <c r="AH84" t="n">
        <v>2.0</v>
      </c>
      <c r="AI84" t="n">
        <v>0.0</v>
      </c>
      <c r="AJ84" t="n">
        <v>0.0</v>
      </c>
      <c r="AK84" t="n">
        <v>17.75824175824176</v>
      </c>
      <c r="AL84" t="inlineStr">
        <is>
          <t/>
        </is>
      </c>
    </row>
    <row r="85">
      <c r="A85" t="inlineStr">
        <is>
          <t>一个月回购3次，这冰虾口感真的赢麻了！</t>
        </is>
      </c>
      <c r="B85" t="inlineStr">
        <is>
          <t>697c460f000000000a02c1c6</t>
        </is>
      </c>
      <c r="C85" s="84" t="n">
        <f>HYPERLINK("https://www.xiaohongshu.com/explore/697c460f000000000a02c1c6?xsec_token=TBV-62_c6Sms9X18ENcOcpiIMy_WRjvnqsFur8P3OLNpw=&amp;xsec_source=pc_trdark","https://www.xiaohongshu.com/explore/697c460f000000000a02c1c6?xsec_token=TBV-62_c6Sms9X18ENcOcpiIMy_WRjvnqsFur8P3OLNpw=&amp;xsec_source=pc_trdark")</f>
        <v>0.0</v>
      </c>
      <c r="D85" t="inlineStr">
        <is>
          <t>鲜水湾甄选</t>
        </is>
      </c>
      <c r="E85" t="inlineStr">
        <is>
          <t>27401929161</t>
        </is>
      </c>
      <c r="F85" t="inlineStr">
        <is>
          <t>2026-01-30 13:47:59</t>
        </is>
      </c>
      <c r="G85" t="inlineStr">
        <is>
          <t>图文</t>
        </is>
      </c>
      <c r="H85" t="inlineStr">
        <is>
          <t>北极甜虾头籽甜虾元宝虾北极熊冰虾孕妈妈宝宝辅食顺丰</t>
        </is>
      </c>
      <c r="I85" t="inlineStr">
        <is>
          <t>6953717eb8f0bb000115158d</t>
        </is>
      </c>
      <c r="J85" t="inlineStr">
        <is>
          <t/>
        </is>
      </c>
      <c r="K85" t="n">
        <v>158.0</v>
      </c>
      <c r="L85" t="n">
        <v>1.0</v>
      </c>
      <c r="M85" t="n">
        <v>29.0</v>
      </c>
      <c r="N85" t="inlineStr">
        <is>
          <t>0.32222222222222224</t>
        </is>
      </c>
      <c r="O85" t="n">
        <v>26.0</v>
      </c>
      <c r="P85" t="n">
        <v>1.0</v>
      </c>
      <c r="Q85" t="inlineStr">
        <is>
          <t>0.034482758620689655</t>
        </is>
      </c>
      <c r="R85" t="inlineStr">
        <is>
          <t>0.038461538461538464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3.0</v>
      </c>
      <c r="Z85" t="n">
        <v>7.0</v>
      </c>
      <c r="AA85" t="n">
        <v>0.0</v>
      </c>
      <c r="AB85" t="n">
        <v>0.0</v>
      </c>
      <c r="AC85" t="n">
        <v>0.0</v>
      </c>
      <c r="AD85" t="n">
        <v>90.0</v>
      </c>
      <c r="AE85" t="n">
        <v>1.0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8.3</v>
      </c>
      <c r="AL85" t="inlineStr">
        <is>
          <t/>
        </is>
      </c>
    </row>
    <row r="86">
      <c r="A86" t="inlineStr">
        <is>
          <t>马上过年了，都来囤我家大虾了</t>
        </is>
      </c>
      <c r="B86" t="inlineStr">
        <is>
          <t>69783035000000000e03e32f</t>
        </is>
      </c>
      <c r="C86" s="85" t="n">
        <f>HYPERLINK("https://www.xiaohongshu.com/explore/69783035000000000e03e32f?xsec_token=TB4uixe4FoDg0vEpIlbspmiqO8CmvC1qYIzvuKZenPR1Q=&amp;xsec_source=pc_trdark","https://www.xiaohongshu.com/explore/69783035000000000e03e32f?xsec_token=TB4uixe4FoDg0vEpIlbspmiqO8CmvC1qYIzvuKZenPR1Q=&amp;xsec_source=pc_trdark")</f>
        <v>0.0</v>
      </c>
      <c r="D86" t="inlineStr">
        <is>
          <t>鲜水湾</t>
        </is>
      </c>
      <c r="E86" t="inlineStr">
        <is>
          <t>49316638994</t>
        </is>
      </c>
      <c r="F86" t="inlineStr">
        <is>
          <t>2026-01-27 11:25:41</t>
        </is>
      </c>
      <c r="G86" t="inlineStr">
        <is>
          <t>图文</t>
        </is>
      </c>
      <c r="H86" t="inlineStr">
        <is>
          <t>王牌大虾鲜冻大虾厄瓜多尔白虾盐冻大虾年货过年送礼顺丰包邮</t>
        </is>
      </c>
      <c r="I86" t="inlineStr">
        <is>
          <t>69782738eb0d9a0001cd8a32</t>
        </is>
      </c>
      <c r="J86" t="inlineStr">
        <is>
          <t/>
        </is>
      </c>
      <c r="K86" t="n">
        <v>0.0</v>
      </c>
      <c r="L86" t="n">
        <v>0.0</v>
      </c>
      <c r="M86" t="n">
        <v>13.0</v>
      </c>
      <c r="N86" t="inlineStr">
        <is>
          <t>0.14444444444444443</t>
        </is>
      </c>
      <c r="O86" t="n">
        <v>10.0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inlineStr">
        <is>
          <t/>
        </is>
      </c>
      <c r="X86" t="n">
        <v>0.0</v>
      </c>
      <c r="Y86" t="n">
        <v>0.0</v>
      </c>
      <c r="Z86" t="n">
        <v>6.0</v>
      </c>
      <c r="AA86" t="n">
        <v>0.0</v>
      </c>
      <c r="AB86" t="n">
        <v>0.0</v>
      </c>
      <c r="AC86" t="n">
        <v>0.0</v>
      </c>
      <c r="AD86" t="n">
        <v>90.0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7.2</v>
      </c>
      <c r="AL86" t="inlineStr">
        <is>
          <t/>
        </is>
      </c>
    </row>
    <row r="87">
      <c r="A87" t="inlineStr">
        <is>
          <t>区区69块，承包了我一周减脂的快乐</t>
        </is>
      </c>
      <c r="B87" t="inlineStr">
        <is>
          <t>69983f10000000001a02347b</t>
        </is>
      </c>
      <c r="C87" s="86" t="n">
        <f>HYPERLINK("https://www.xiaohongshu.com/explore/69983f10000000001a02347b?xsec_token=TBw3dBNyYxHSihInNv0vJoVnDJ8H_ygMIcvJyez0UsWb0=&amp;xsec_source=pc_trdark","https://www.xiaohongshu.com/explore/69983f10000000001a02347b?xsec_token=TBw3dBNyYxHSihInNv0vJoVnDJ8H_ygMIcvJyez0UsWb0=&amp;xsec_source=pc_trdark")</f>
        <v>0.0</v>
      </c>
      <c r="D87" t="inlineStr">
        <is>
          <t>鲜水湾</t>
        </is>
      </c>
      <c r="E87" t="inlineStr">
        <is>
          <t>49316638994</t>
        </is>
      </c>
      <c r="F87" t="inlineStr">
        <is>
          <t>2026-02-20 19:01:36</t>
        </is>
      </c>
      <c r="G87" t="inlineStr">
        <is>
          <t>图文</t>
        </is>
      </c>
      <c r="H87" t="inlineStr">
        <is>
          <t>大虾基围虾王牌大虾厄瓜多尔白虾盐冻虾仁海洋大虾送礼顺丰包邮</t>
        </is>
      </c>
      <c r="I87" t="inlineStr">
        <is>
          <t>690aeb7be379430001e686ac</t>
        </is>
      </c>
      <c r="J87" t="inlineStr">
        <is>
          <t/>
        </is>
      </c>
      <c r="K87" t="n">
        <v>79.0</v>
      </c>
      <c r="L87" t="n">
        <v>1.0</v>
      </c>
      <c r="M87" t="n">
        <v>21.0</v>
      </c>
      <c r="N87" t="n">
        <v>0.2413793103448276</v>
      </c>
      <c r="O87" t="n">
        <v>18.0</v>
      </c>
      <c r="P87" t="n">
        <v>1.0</v>
      </c>
      <c r="Q87" t="inlineStr">
        <is>
          <t>0.047619047619047616</t>
        </is>
      </c>
      <c r="R87" t="inlineStr">
        <is>
          <t>0.05555555555555555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10.0</v>
      </c>
      <c r="AA87" t="n">
        <v>0.0</v>
      </c>
      <c r="AB87" t="n">
        <v>0.0</v>
      </c>
      <c r="AC87" t="n">
        <v>0.0</v>
      </c>
      <c r="AD87" t="n">
        <v>87.0</v>
      </c>
      <c r="AE87" t="n">
        <v>0.0</v>
      </c>
      <c r="AF87" t="n">
        <v>0.0</v>
      </c>
      <c r="AG87" t="n">
        <v>0.0</v>
      </c>
      <c r="AH87" t="n">
        <v>2.0</v>
      </c>
      <c r="AI87" t="n">
        <v>0.0</v>
      </c>
      <c r="AJ87" t="n">
        <v>0.0</v>
      </c>
      <c r="AK87" t="n">
        <v>7.252873563218391</v>
      </c>
      <c r="AL87" t="inlineStr">
        <is>
          <t/>
        </is>
      </c>
    </row>
    <row r="88">
      <c r="A88" t="inlineStr">
        <is>
          <t>发现一个初春食欲稳定的方法</t>
        </is>
      </c>
      <c r="B88" t="inlineStr">
        <is>
          <t>699ea1ef000000002303af25</t>
        </is>
      </c>
      <c r="C88" s="87" t="n">
        <f>HYPERLINK("https://www.xiaohongshu.com/explore/699ea1ef000000002303af25?xsec_token=TBggKgSP0tIUAtqBAPfP3mLU4eiT8nw79kmm873hOptXc=&amp;xsec_source=pc_trdark","https://www.xiaohongshu.com/explore/699ea1ef000000002303af25?xsec_token=TBggKgSP0tIUAtqBAPfP3mLU4eiT8nw79kmm873hOptXc=&amp;xsec_source=pc_trdark")</f>
        <v>0.0</v>
      </c>
      <c r="D88" t="inlineStr">
        <is>
          <t>鲜水湾甄选</t>
        </is>
      </c>
      <c r="E88" t="inlineStr">
        <is>
          <t>27401929161</t>
        </is>
      </c>
      <c r="F88" t="inlineStr">
        <is>
          <t>2026-02-25 15:17:03</t>
        </is>
      </c>
      <c r="G88" t="inlineStr">
        <is>
          <t>图文</t>
        </is>
      </c>
      <c r="H88" t="inlineStr">
        <is>
          <t>大虾基围虾王牌大虾厄瓜多尔白虾盐冻虾仁海洋大虾送礼顺丰包邮</t>
        </is>
      </c>
      <c r="I88" t="inlineStr">
        <is>
          <t>690aeb7be379430001e686ac</t>
        </is>
      </c>
      <c r="J88" t="inlineStr">
        <is>
          <t/>
        </is>
      </c>
      <c r="K88" t="n">
        <v>0.0</v>
      </c>
      <c r="L88" t="n">
        <v>0.0</v>
      </c>
      <c r="M88" t="n">
        <v>9.0</v>
      </c>
      <c r="N88" t="inlineStr">
        <is>
          <t>0.10465116279069768</t>
        </is>
      </c>
      <c r="O88" t="n">
        <v>8.0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inlineStr">
        <is>
          <t/>
        </is>
      </c>
      <c r="X88" t="n">
        <v>0.0</v>
      </c>
      <c r="Y88" t="n">
        <v>1.0</v>
      </c>
      <c r="Z88" t="n">
        <v>5.0</v>
      </c>
      <c r="AA88" t="n">
        <v>0.0</v>
      </c>
      <c r="AB88" t="n">
        <v>0.0</v>
      </c>
      <c r="AC88" t="n">
        <v>0.0</v>
      </c>
      <c r="AD88" t="n">
        <v>86.0</v>
      </c>
      <c r="AE88" t="n">
        <v>0.0</v>
      </c>
      <c r="AF88" t="n">
        <v>1.0</v>
      </c>
      <c r="AG88" t="n">
        <v>1.0</v>
      </c>
      <c r="AH88" t="n">
        <v>1.0</v>
      </c>
      <c r="AI88" t="n">
        <v>0.0</v>
      </c>
      <c r="AJ88" t="n">
        <v>0.0</v>
      </c>
      <c r="AK88" t="n">
        <v>7.8023255813953485</v>
      </c>
      <c r="AL88" t="inlineStr">
        <is>
          <t/>
        </is>
      </c>
    </row>
    <row r="89">
      <c r="A89" t="inlineStr">
        <is>
          <t>真心建议姐妹们尝尝这个三倍体生蚝！</t>
        </is>
      </c>
      <c r="B89" t="inlineStr">
        <is>
          <t>6916983e00000000070142da</t>
        </is>
      </c>
      <c r="C89" s="88" t="n">
        <f>HYPERLINK("https://www.xiaohongshu.com/explore/6916983e00000000070142da?xsec_token=TBHZiehrAOyLGw_5sWYDTDSe4rKUHPLiLaUlfZ0sWdDd0=&amp;xsec_source=pc_trdark","https://www.xiaohongshu.com/explore/6916983e00000000070142da?xsec_token=TBHZiehrAOyLGw_5sWYDTDSe4rKUHPLiLaUlfZ0sWdDd0=&amp;xsec_source=pc_trdark")</f>
        <v>0.0</v>
      </c>
      <c r="D89" t="inlineStr">
        <is>
          <t>婉婉上班吃什么</t>
        </is>
      </c>
      <c r="E89" t="inlineStr">
        <is>
          <t>11434449706</t>
        </is>
      </c>
      <c r="F89" t="inlineStr">
        <is>
          <t>2025-11-14 10:47:26</t>
        </is>
      </c>
      <c r="G89" t="inlineStr">
        <is>
          <t>视频</t>
        </is>
      </c>
      <c r="H89" t="inlineStr">
        <is>
          <t>生蚝乳山生蚝海蛎子顺丰包邮</t>
        </is>
      </c>
      <c r="I89" t="inlineStr">
        <is>
          <t>690c70971b787900010866cc</t>
        </is>
      </c>
      <c r="J89" t="n">
        <v>41.0</v>
      </c>
      <c r="K89" t="n">
        <v>0.0</v>
      </c>
      <c r="L89" t="n">
        <v>0.0</v>
      </c>
      <c r="M89" t="n">
        <v>7.0</v>
      </c>
      <c r="N89" t="inlineStr">
        <is>
          <t>0.08235294117647059</t>
        </is>
      </c>
      <c r="O89" t="n">
        <v>3.0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inlineStr">
        <is>
          <t/>
        </is>
      </c>
      <c r="X89" t="n">
        <v>0.0</v>
      </c>
      <c r="Y89" t="n">
        <v>1.0</v>
      </c>
      <c r="Z89" t="n">
        <v>3.0</v>
      </c>
      <c r="AA89" t="n">
        <v>0.0</v>
      </c>
      <c r="AB89" t="n">
        <v>0.0</v>
      </c>
      <c r="AC89" t="n">
        <v>0.0</v>
      </c>
      <c r="AD89" t="n">
        <v>85.0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9.070588235294117</v>
      </c>
      <c r="AL89" t="inlineStr">
        <is>
          <t>0.05434782608695652</t>
        </is>
      </c>
    </row>
    <row r="90">
      <c r="A90" t="inlineStr">
        <is>
          <t>生蚝一箱也是码头价，运费算我的！</t>
        </is>
      </c>
      <c r="B90" t="inlineStr">
        <is>
          <t>690f0fb000000000040010a4</t>
        </is>
      </c>
      <c r="C90" s="89" t="n">
        <f>HYPERLINK("https://www.xiaohongshu.com/explore/690f0fb000000000040010a4?xsec_token=TBl1ZK_PAsBDZJiqFwt7hIYQszxXJoeWc8SEgNEByDut0=&amp;xsec_source=pc_trdark","https://www.xiaohongshu.com/explore/690f0fb000000000040010a4?xsec_token=TBl1ZK_PAsBDZJiqFwt7hIYQszxXJoeWc8SEgNEByDut0=&amp;xsec_source=pc_trdark")</f>
        <v>0.0</v>
      </c>
      <c r="D90" t="inlineStr">
        <is>
          <t>婉婉上班吃什么</t>
        </is>
      </c>
      <c r="E90" t="inlineStr">
        <is>
          <t>11434449706</t>
        </is>
      </c>
      <c r="F90" t="inlineStr">
        <is>
          <t>2025-11-08 17:38:56</t>
        </is>
      </c>
      <c r="G90" t="inlineStr">
        <is>
          <t>视频</t>
        </is>
      </c>
      <c r="H90" t="inlineStr">
        <is>
          <t>生蚝乳山生蚝海蛎子顺丰包邮</t>
        </is>
      </c>
      <c r="I90" t="inlineStr">
        <is>
          <t>690c70971b787900010866cc</t>
        </is>
      </c>
      <c r="J90" t="n">
        <v>26.0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inlineStr">
        <is>
          <t/>
        </is>
      </c>
      <c r="R90" t="inlineStr">
        <is>
          <t/>
        </is>
      </c>
      <c r="S90" t="n">
        <v>0.0</v>
      </c>
      <c r="T90" t="n">
        <v>0.0</v>
      </c>
      <c r="U90" t="n">
        <v>0.0</v>
      </c>
      <c r="V90" t="n">
        <v>0.0</v>
      </c>
      <c r="W90" t="inlineStr">
        <is>
          <t/>
        </is>
      </c>
      <c r="X90" t="n">
        <v>0.0</v>
      </c>
      <c r="Y90" t="n">
        <v>0.0</v>
      </c>
      <c r="Z90" t="n">
        <v>1.0</v>
      </c>
      <c r="AA90" t="n">
        <v>0.0</v>
      </c>
      <c r="AB90" t="n">
        <v>0.0</v>
      </c>
      <c r="AC90" t="n">
        <v>0.0</v>
      </c>
      <c r="AD90" t="n">
        <v>85.0</v>
      </c>
      <c r="AE90" t="n">
        <v>1.0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11.294117647058824</v>
      </c>
      <c r="AL90" t="inlineStr">
        <is>
          <t>0.18518518518518517</t>
        </is>
      </c>
    </row>
    <row r="91">
      <c r="A91" t="inlineStr">
        <is>
          <t>不要低估了 300 来块的购买力，能买八九斤……</t>
        </is>
      </c>
      <c r="B91" t="inlineStr">
        <is>
          <t>69895362000000000b009467</t>
        </is>
      </c>
      <c r="C91" s="90" t="n">
        <f>HYPERLINK("https://www.xiaohongshu.com/explore/69895362000000000b009467?xsec_token=TBeAeWMkLJ9etYlFDlK3pguRoX2U6nXkTvhuLaEj73L3o=&amp;xsec_source=pc_trdark","https://www.xiaohongshu.com/explore/69895362000000000b009467?xsec_token=TBeAeWMkLJ9etYlFDlK3pguRoX2U6nXkTvhuLaEj73L3o=&amp;xsec_source=pc_trdark")</f>
        <v>0.0</v>
      </c>
      <c r="D91" t="inlineStr">
        <is>
          <t>鲜水湾甄选</t>
        </is>
      </c>
      <c r="E91" t="inlineStr">
        <is>
          <t>27401929161</t>
        </is>
      </c>
      <c r="F91" t="inlineStr">
        <is>
          <t>2026-02-09 11:24:18</t>
        </is>
      </c>
      <c r="G91" t="inlineStr">
        <is>
          <t>图文</t>
        </is>
      </c>
      <c r="H91" t="inlineStr">
        <is>
          <t>智利三文鱼切块·整条三文鱼·深海鱼一人食健康饮食</t>
        </is>
      </c>
      <c r="I91" t="inlineStr">
        <is>
          <t>691ac562a524ee0001b51d7b</t>
        </is>
      </c>
      <c r="J91" t="inlineStr">
        <is>
          <t/>
        </is>
      </c>
      <c r="K91" t="n">
        <v>0.0</v>
      </c>
      <c r="L91" t="n">
        <v>0.0</v>
      </c>
      <c r="M91" t="n">
        <v>13.0</v>
      </c>
      <c r="N91" t="inlineStr">
        <is>
          <t>0.15476190476190477</t>
        </is>
      </c>
      <c r="O91" t="n">
        <v>10.0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inlineStr">
        <is>
          <t/>
        </is>
      </c>
      <c r="X91" t="n">
        <v>0.0</v>
      </c>
      <c r="Y91" t="n">
        <v>1.0</v>
      </c>
      <c r="Z91" t="n">
        <v>3.0</v>
      </c>
      <c r="AA91" t="n">
        <v>0.0</v>
      </c>
      <c r="AB91" t="n">
        <v>0.0</v>
      </c>
      <c r="AC91" t="n">
        <v>0.0</v>
      </c>
      <c r="AD91" t="n">
        <v>84.0</v>
      </c>
      <c r="AE91" t="n">
        <v>1.0</v>
      </c>
      <c r="AF91" t="n">
        <v>0.0</v>
      </c>
      <c r="AG91" t="n">
        <v>0.0</v>
      </c>
      <c r="AH91" t="n">
        <v>1.0</v>
      </c>
      <c r="AI91" t="n">
        <v>0.0</v>
      </c>
      <c r="AJ91" t="n">
        <v>0.0</v>
      </c>
      <c r="AK91" t="n">
        <v>8.142857142857142</v>
      </c>
      <c r="AL91" t="inlineStr">
        <is>
          <t/>
        </is>
      </c>
    </row>
    <row r="92">
      <c r="A92" t="inlineStr">
        <is>
          <t>买了整条三文鱼回家过年🧧</t>
        </is>
      </c>
      <c r="B92" t="inlineStr">
        <is>
          <t>6986eb28000000000e03edae</t>
        </is>
      </c>
      <c r="C92" s="91" t="n">
        <f>HYPERLINK("https://www.xiaohongshu.com/explore/6986eb28000000000e03edae?xsec_token=TB-LsRJw2UEyjZbU1RZqmjvrrcFci_z02KNmmAZSXEn_E=&amp;xsec_source=pc_trdark","https://www.xiaohongshu.com/explore/6986eb28000000000e03edae?xsec_token=TB-LsRJw2UEyjZbU1RZqmjvrrcFci_z02KNmmAZSXEn_E=&amp;xsec_source=pc_trdark")</f>
        <v>0.0</v>
      </c>
      <c r="D92" t="inlineStr">
        <is>
          <t>鲜水湾</t>
        </is>
      </c>
      <c r="E92" t="inlineStr">
        <is>
          <t>49316638994</t>
        </is>
      </c>
      <c r="F92" t="inlineStr">
        <is>
          <t>2026-02-07 15:35:04</t>
        </is>
      </c>
      <c r="G92" t="inlineStr">
        <is>
          <t>图文</t>
        </is>
      </c>
      <c r="H92" t="inlineStr">
        <is>
          <t>智利三文鱼切块·整条三文鱼·深海鱼一人食健康饮食</t>
        </is>
      </c>
      <c r="I92" t="inlineStr">
        <is>
          <t>691ac562a524ee0001b51d7b</t>
        </is>
      </c>
      <c r="J92" t="inlineStr">
        <is>
          <t/>
        </is>
      </c>
      <c r="K92" t="n">
        <v>0.0</v>
      </c>
      <c r="L92" t="n">
        <v>0.0</v>
      </c>
      <c r="M92" t="n">
        <v>9.0</v>
      </c>
      <c r="N92" t="inlineStr">
        <is>
          <t>0.10714285714285714</t>
        </is>
      </c>
      <c r="O92" t="n">
        <v>8.0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inlineStr">
        <is>
          <t/>
        </is>
      </c>
      <c r="X92" t="n">
        <v>0.0</v>
      </c>
      <c r="Y92" t="n">
        <v>0.0</v>
      </c>
      <c r="Z92" t="n">
        <v>2.0</v>
      </c>
      <c r="AA92" t="n">
        <v>0.0</v>
      </c>
      <c r="AB92" t="n">
        <v>0.0</v>
      </c>
      <c r="AC92" t="n">
        <v>0.0</v>
      </c>
      <c r="AD92" t="n">
        <v>84.0</v>
      </c>
      <c r="AE92" t="n">
        <v>0.0</v>
      </c>
      <c r="AF92" t="n">
        <v>0.0</v>
      </c>
      <c r="AG92" t="n">
        <v>0.0</v>
      </c>
      <c r="AH92" t="n">
        <v>2.0</v>
      </c>
      <c r="AI92" t="n">
        <v>0.0</v>
      </c>
      <c r="AJ92" t="n">
        <v>0.0</v>
      </c>
      <c r="AK92" t="n">
        <v>9.761904761904763</v>
      </c>
      <c r="AL92" t="inlineStr">
        <is>
          <t/>
        </is>
      </c>
    </row>
    <row r="93">
      <c r="A93" t="inlineStr">
        <is>
          <t>以为69没多少，但一盒够我吃一周的了🫢</t>
        </is>
      </c>
      <c r="B93" t="inlineStr">
        <is>
          <t>6982e399000000001a02dbc6</t>
        </is>
      </c>
      <c r="C93" s="92" t="n">
        <f>HYPERLINK("https://www.xiaohongshu.com/explore/6982e399000000001a02dbc6?xsec_token=TBRUGO98Ap-B8eSGcZxxfvdJcg1VB0XqQ0k1EbjwPAVgo=&amp;xsec_source=pc_trdark","https://www.xiaohongshu.com/explore/6982e399000000001a02dbc6?xsec_token=TBRUGO98Ap-B8eSGcZxxfvdJcg1VB0XqQ0k1EbjwPAVgo=&amp;xsec_source=pc_trdark")</f>
        <v>0.0</v>
      </c>
      <c r="D93" t="inlineStr">
        <is>
          <t>鲜水湾</t>
        </is>
      </c>
      <c r="E93" t="inlineStr">
        <is>
          <t>49316638994</t>
        </is>
      </c>
      <c r="F93" t="inlineStr">
        <is>
          <t>2026-02-04 14:13:45</t>
        </is>
      </c>
      <c r="G93" t="inlineStr">
        <is>
          <t>图文</t>
        </is>
      </c>
      <c r="H93" t="inlineStr">
        <is>
          <t>大虾基围虾王牌大虾厄瓜多尔白虾盐冻虾仁海洋大虾送礼顺丰包邮</t>
        </is>
      </c>
      <c r="I93" t="inlineStr">
        <is>
          <t>690aeb7be379430001e686ac</t>
        </is>
      </c>
      <c r="J93" t="inlineStr">
        <is>
          <t/>
        </is>
      </c>
      <c r="K93" t="n">
        <v>0.0</v>
      </c>
      <c r="L93" t="n">
        <v>0.0</v>
      </c>
      <c r="M93" t="n">
        <v>23.0</v>
      </c>
      <c r="N93" t="n">
        <v>0.2804878048780488</v>
      </c>
      <c r="O93" t="n">
        <v>20.0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inlineStr">
        <is>
          <t/>
        </is>
      </c>
      <c r="X93" t="n">
        <v>0.0</v>
      </c>
      <c r="Y93" t="n">
        <v>3.0</v>
      </c>
      <c r="Z93" t="n">
        <v>8.0</v>
      </c>
      <c r="AA93" t="n">
        <v>0.0</v>
      </c>
      <c r="AB93" t="n">
        <v>0.0</v>
      </c>
      <c r="AC93" t="n">
        <v>0.0</v>
      </c>
      <c r="AD93" t="n">
        <v>82.0</v>
      </c>
      <c r="AE93" t="n">
        <v>1.0</v>
      </c>
      <c r="AF93" t="n">
        <v>0.0</v>
      </c>
      <c r="AG93" t="n">
        <v>0.0</v>
      </c>
      <c r="AH93" t="n">
        <v>3.0</v>
      </c>
      <c r="AI93" t="n">
        <v>0.0</v>
      </c>
      <c r="AJ93" t="n">
        <v>0.0</v>
      </c>
      <c r="AK93" t="n">
        <v>11.195121951219512</v>
      </c>
      <c r="AL93" t="inlineStr">
        <is>
          <t/>
        </is>
      </c>
    </row>
    <row r="94">
      <c r="A94" t="inlineStr">
        <is>
          <t>在小红书上买到了整条三文鱼…</t>
        </is>
      </c>
      <c r="B94" t="inlineStr">
        <is>
          <t>692e4f1e000000001f007cb8</t>
        </is>
      </c>
      <c r="C94" s="93" t="n">
        <f>HYPERLINK("https://www.xiaohongshu.com/explore/692e4f1e000000001f007cb8?xsec_token=TBhc9WPqfa5dhWfRrPj8DX7W_9aA0Zas4QAmEKpy4qlOU=&amp;xsec_source=pc_trdark","https://www.xiaohongshu.com/explore/692e4f1e000000001f007cb8?xsec_token=TBhc9WPqfa5dhWfRrPj8DX7W_9aA0Zas4QAmEKpy4qlOU=&amp;xsec_source=pc_trdark")</f>
        <v>0.0</v>
      </c>
      <c r="D94" t="inlineStr">
        <is>
          <t>鲜水湾</t>
        </is>
      </c>
      <c r="E94" t="inlineStr">
        <is>
          <t>49316638994</t>
        </is>
      </c>
      <c r="F94" t="inlineStr">
        <is>
          <t>2025-12-02 10:29:50</t>
        </is>
      </c>
      <c r="G94" t="inlineStr">
        <is>
          <t>图文</t>
        </is>
      </c>
      <c r="H94" t="inlineStr">
        <is>
          <t>智利三文鱼切块·整条三文鱼·深海鱼一人食健康饮食</t>
        </is>
      </c>
      <c r="I94" t="inlineStr">
        <is>
          <t>691ac562a524ee0001b51d7b</t>
        </is>
      </c>
      <c r="J94" t="inlineStr">
        <is>
          <t/>
        </is>
      </c>
      <c r="K94" t="n">
        <v>0.0</v>
      </c>
      <c r="L94" t="n">
        <v>0.0</v>
      </c>
      <c r="M94" t="n">
        <v>6.0</v>
      </c>
      <c r="N94" t="inlineStr">
        <is>
          <t>0.07317073170731707</t>
        </is>
      </c>
      <c r="O94" t="n">
        <v>5.0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inlineStr">
        <is>
          <t/>
        </is>
      </c>
      <c r="X94" t="n">
        <v>0.0</v>
      </c>
      <c r="Y94" t="n">
        <v>3.0</v>
      </c>
      <c r="Z94" t="n">
        <v>1.0</v>
      </c>
      <c r="AA94" t="n">
        <v>0.0</v>
      </c>
      <c r="AB94" t="n">
        <v>0.0</v>
      </c>
      <c r="AC94" t="n">
        <v>0.0</v>
      </c>
      <c r="AD94" t="n">
        <v>82.0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6.548780487804878</v>
      </c>
      <c r="AL94" t="inlineStr">
        <is>
          <t/>
        </is>
      </c>
    </row>
    <row r="95">
      <c r="A95" t="inlineStr">
        <is>
          <t>我的老天奶！40多买的乳山生蚝太好吃了！</t>
        </is>
      </c>
      <c r="B95" t="inlineStr">
        <is>
          <t>69367592000000001f00b9d5</t>
        </is>
      </c>
      <c r="C95" s="94" t="n">
        <f>HYPERLINK("https://www.xiaohongshu.com/explore/69367592000000001f00b9d5?xsec_token=TBlR01uRP0dY963Q_AxX8vHHkdu4G-K6XHvFrldCgAvmE=&amp;xsec_source=pc_trdark","https://www.xiaohongshu.com/explore/69367592000000001f00b9d5?xsec_token=TBlR01uRP0dY963Q_AxX8vHHkdu4G-K6XHvFrldCgAvmE=&amp;xsec_source=pc_trdark")</f>
        <v>0.0</v>
      </c>
      <c r="D95" t="inlineStr">
        <is>
          <t>婉婉上班吃什么</t>
        </is>
      </c>
      <c r="E95" t="inlineStr">
        <is>
          <t>11434449706</t>
        </is>
      </c>
      <c r="F95" t="inlineStr">
        <is>
          <t>2025-12-08 14:52:02</t>
        </is>
      </c>
      <c r="G95" t="inlineStr">
        <is>
          <t>视频</t>
        </is>
      </c>
      <c r="H95" t="inlineStr">
        <is>
          <t>生蚝乳山生蚝海蛎子顺丰包邮</t>
        </is>
      </c>
      <c r="I95" t="inlineStr">
        <is>
          <t>690c70971b787900010866cc</t>
        </is>
      </c>
      <c r="J95" t="n">
        <v>37.0</v>
      </c>
      <c r="K95" t="n">
        <v>0.0</v>
      </c>
      <c r="L95" t="n">
        <v>0.0</v>
      </c>
      <c r="M95" t="n">
        <v>3.0</v>
      </c>
      <c r="N95" t="inlineStr">
        <is>
          <t>0.037037037037037035</t>
        </is>
      </c>
      <c r="O95" t="n">
        <v>3.0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inlineStr">
        <is>
          <t/>
        </is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81.0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6.987654320987654</v>
      </c>
      <c r="AL95" t="n">
        <v>0.0449438202247191</v>
      </c>
    </row>
    <row r="96">
      <c r="A96" t="inlineStr">
        <is>
          <t>59.9r到手5斤，大小一个价，喜欢的来尝尝</t>
        </is>
      </c>
      <c r="B96" t="inlineStr">
        <is>
          <t>691a7ea200000000050388b4</t>
        </is>
      </c>
      <c r="C96" s="95" t="n">
        <f>HYPERLINK("https://www.xiaohongshu.com/explore/691a7ea200000000050388b4?xsec_token=TB7_xX17zVvyJQL8hbcdzoIN866HpH48suQ8lZBcFNk0Q=&amp;xsec_source=pc_trdark","https://www.xiaohongshu.com/explore/691a7ea200000000050388b4?xsec_token=TB7_xX17zVvyJQL8hbcdzoIN866HpH48suQ8lZBcFNk0Q=&amp;xsec_source=pc_trdark")</f>
        <v>0.0</v>
      </c>
      <c r="D96" t="inlineStr">
        <is>
          <t>婉婉上班吃什么</t>
        </is>
      </c>
      <c r="E96" t="inlineStr">
        <is>
          <t>11434449706</t>
        </is>
      </c>
      <c r="F96" t="inlineStr">
        <is>
          <t>2025-11-17 11:47:00</t>
        </is>
      </c>
      <c r="G96" t="inlineStr">
        <is>
          <t>视频</t>
        </is>
      </c>
      <c r="H96" t="inlineStr">
        <is>
          <t>生蚝乳山生蚝海蛎子顺丰包邮</t>
        </is>
      </c>
      <c r="I96" t="inlineStr">
        <is>
          <t>690c70971b787900010866cc</t>
        </is>
      </c>
      <c r="J96" t="n">
        <v>28.0</v>
      </c>
      <c r="K96" t="n">
        <v>0.0</v>
      </c>
      <c r="L96" t="n">
        <v>0.0</v>
      </c>
      <c r="M96" t="n">
        <v>2.0</v>
      </c>
      <c r="N96" t="inlineStr">
        <is>
          <t>0.02564102564102564</t>
        </is>
      </c>
      <c r="O96" t="n">
        <v>2.0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inlineStr">
        <is>
          <t/>
        </is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78.0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21.78205128205128</v>
      </c>
      <c r="AL96" t="n">
        <v>0.3064516129032258</v>
      </c>
    </row>
    <row r="97">
      <c r="A97" t="inlineStr">
        <is>
          <t>过度补甲=3倍⬇️秤</t>
        </is>
      </c>
      <c r="B97" t="inlineStr">
        <is>
          <t>698c1bf10000000028009f39</t>
        </is>
      </c>
      <c r="C97" s="96" t="n">
        <f>HYPERLINK("https://www.xiaohongshu.com/explore/698c1bf10000000028009f39?xsec_token=TBpbSmv2Dvzozu0JyB91ReC11sA-jvB6BUUUnSVgVLkdU=&amp;xsec_source=pc_trdark","https://www.xiaohongshu.com/explore/698c1bf10000000028009f39?xsec_token=TBpbSmv2Dvzozu0JyB91ReC11sA-jvB6BUUUnSVgVLkdU=&amp;xsec_source=pc_trdark")</f>
        <v>0.0</v>
      </c>
      <c r="D97" t="inlineStr">
        <is>
          <t>鲜水湾</t>
        </is>
      </c>
      <c r="E97" t="inlineStr">
        <is>
          <t>49316638994</t>
        </is>
      </c>
      <c r="F97" t="inlineStr">
        <is>
          <t>2026-02-11 14:04:33</t>
        </is>
      </c>
      <c r="G97" t="inlineStr">
        <is>
          <t>图文</t>
        </is>
      </c>
      <c r="H97" t="inlineStr">
        <is>
          <t>大虾基围虾王牌大虾厄瓜多尔白虾盐冻虾仁海洋大虾送礼顺丰包邮</t>
        </is>
      </c>
      <c r="I97" t="inlineStr">
        <is>
          <t>690aeb7be379430001e686ac</t>
        </is>
      </c>
      <c r="J97" t="inlineStr">
        <is>
          <t/>
        </is>
      </c>
      <c r="K97" t="n">
        <v>0.0</v>
      </c>
      <c r="L97" t="n">
        <v>0.0</v>
      </c>
      <c r="M97" t="n">
        <v>9.0</v>
      </c>
      <c r="N97" t="inlineStr">
        <is>
          <t>0.11688311688311688</t>
        </is>
      </c>
      <c r="O97" t="n">
        <v>7.0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inlineStr">
        <is>
          <t/>
        </is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77.0</v>
      </c>
      <c r="AE97" t="n">
        <v>0.0</v>
      </c>
      <c r="AF97" t="n">
        <v>0.0</v>
      </c>
      <c r="AG97" t="n">
        <v>0.0</v>
      </c>
      <c r="AH97" t="n">
        <v>2.0</v>
      </c>
      <c r="AI97" t="n">
        <v>0.0</v>
      </c>
      <c r="AJ97" t="n">
        <v>0.0</v>
      </c>
      <c r="AK97" t="n">
        <v>5.766233766233766</v>
      </c>
      <c r="AL97" t="inlineStr">
        <is>
          <t/>
        </is>
      </c>
    </row>
    <row r="98">
      <c r="A98" t="inlineStr">
        <is>
          <t>我妈：过年你就69💰三斤这样卖，别涨价！</t>
        </is>
      </c>
      <c r="B98" t="inlineStr">
        <is>
          <t>697f0ed9000000000e00cb1d</t>
        </is>
      </c>
      <c r="C98" s="97" t="n">
        <f>HYPERLINK("https://www.xiaohongshu.com/explore/697f0ed9000000000e00cb1d?xsec_token=TBGi407i-ri3oYa_7RM3ZIGSmInJPgAtkWE8XOcg0ceZA=&amp;xsec_source=pc_trdark","https://www.xiaohongshu.com/explore/697f0ed9000000000e00cb1d?xsec_token=TBGi407i-ri3oYa_7RM3ZIGSmInJPgAtkWE8XOcg0ceZA=&amp;xsec_source=pc_trdark")</f>
        <v>0.0</v>
      </c>
      <c r="D98" t="inlineStr">
        <is>
          <t>鲜水湾</t>
        </is>
      </c>
      <c r="E98" t="inlineStr">
        <is>
          <t>49316638994</t>
        </is>
      </c>
      <c r="F98" t="inlineStr">
        <is>
          <t>2026-02-01 16:29:13</t>
        </is>
      </c>
      <c r="G98" t="inlineStr">
        <is>
          <t>图文</t>
        </is>
      </c>
      <c r="H98" t="inlineStr">
        <is>
          <t>大虾基围虾王牌大虾厄瓜多尔白虾盐冻虾仁海洋大虾送礼顺丰包邮</t>
        </is>
      </c>
      <c r="I98" t="inlineStr">
        <is>
          <t>690aeb7be379430001e686ac</t>
        </is>
      </c>
      <c r="J98" t="inlineStr">
        <is>
          <t/>
        </is>
      </c>
      <c r="K98" t="n">
        <v>0.0</v>
      </c>
      <c r="L98" t="n">
        <v>0.0</v>
      </c>
      <c r="M98" t="n">
        <v>34.0</v>
      </c>
      <c r="N98" t="inlineStr">
        <is>
          <t>0.44155844155844154</t>
        </is>
      </c>
      <c r="O98" t="n">
        <v>31.0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inlineStr">
        <is>
          <t/>
        </is>
      </c>
      <c r="X98" t="n">
        <v>0.0</v>
      </c>
      <c r="Y98" t="n">
        <v>7.0</v>
      </c>
      <c r="Z98" t="n">
        <v>3.0</v>
      </c>
      <c r="AA98" t="n">
        <v>0.0</v>
      </c>
      <c r="AB98" t="n">
        <v>0.0</v>
      </c>
      <c r="AC98" t="n">
        <v>0.0</v>
      </c>
      <c r="AD98" t="n">
        <v>77.0</v>
      </c>
      <c r="AE98" t="n">
        <v>0.0</v>
      </c>
      <c r="AF98" t="n">
        <v>0.0</v>
      </c>
      <c r="AG98" t="n">
        <v>0.0</v>
      </c>
      <c r="AH98" t="n">
        <v>2.0</v>
      </c>
      <c r="AI98" t="n">
        <v>0.0</v>
      </c>
      <c r="AJ98" t="n">
        <v>0.0</v>
      </c>
      <c r="AK98" t="n">
        <v>9.96103896103896</v>
      </c>
      <c r="AL98" t="inlineStr">
        <is>
          <t/>
        </is>
      </c>
    </row>
    <row r="99">
      <c r="A99" t="inlineStr">
        <is>
          <t>这个整条三文鱼还是太超前了</t>
        </is>
      </c>
      <c r="B99" t="inlineStr">
        <is>
          <t>698c4a7f000000001a0245b9</t>
        </is>
      </c>
      <c r="C99" s="98" t="n">
        <f>HYPERLINK("https://www.xiaohongshu.com/explore/698c4a7f000000001a0245b9?xsec_token=TBpbSmv2Dvzozu0JyB91ReC66B6SXpbUkYoSr5rurwqSQ=&amp;xsec_source=pc_trdark","https://www.xiaohongshu.com/explore/698c4a7f000000001a0245b9?xsec_token=TBpbSmv2Dvzozu0JyB91ReC66B6SXpbUkYoSr5rurwqSQ=&amp;xsec_source=pc_trdark")</f>
        <v>0.0</v>
      </c>
      <c r="D99" t="inlineStr">
        <is>
          <t>鲜水湾</t>
        </is>
      </c>
      <c r="E99" t="inlineStr">
        <is>
          <t>49316638994</t>
        </is>
      </c>
      <c r="F99" t="inlineStr">
        <is>
          <t>2026-02-11 17:23:11</t>
        </is>
      </c>
      <c r="G99" t="inlineStr">
        <is>
          <t>图文</t>
        </is>
      </c>
      <c r="H99" t="inlineStr">
        <is>
          <t>智利三文鱼切块·整条三文鱼·深海鱼一人食健康饮食</t>
        </is>
      </c>
      <c r="I99" t="inlineStr">
        <is>
          <t>691ac562a524ee0001b51d7b</t>
        </is>
      </c>
      <c r="J99" t="inlineStr">
        <is>
          <t/>
        </is>
      </c>
      <c r="K99" t="n">
        <v>0.0</v>
      </c>
      <c r="L99" t="n">
        <v>0.0</v>
      </c>
      <c r="M99" t="n">
        <v>11.0</v>
      </c>
      <c r="N99" t="inlineStr">
        <is>
          <t>0.14864864864864866</t>
        </is>
      </c>
      <c r="O99" t="n">
        <v>10.0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inlineStr">
        <is>
          <t/>
        </is>
      </c>
      <c r="X99" t="n">
        <v>0.0</v>
      </c>
      <c r="Y99" t="n">
        <v>2.0</v>
      </c>
      <c r="Z99" t="n">
        <v>3.0</v>
      </c>
      <c r="AA99" t="n">
        <v>0.0</v>
      </c>
      <c r="AB99" t="n">
        <v>0.0</v>
      </c>
      <c r="AC99" t="n">
        <v>0.0</v>
      </c>
      <c r="AD99" t="n">
        <v>74.0</v>
      </c>
      <c r="AE99" t="n">
        <v>0.0</v>
      </c>
      <c r="AF99" t="n">
        <v>0.0</v>
      </c>
      <c r="AG99" t="n">
        <v>0.0</v>
      </c>
      <c r="AH99" t="n">
        <v>2.0</v>
      </c>
      <c r="AI99" t="n">
        <v>0.0</v>
      </c>
      <c r="AJ99" t="n">
        <v>0.0</v>
      </c>
      <c r="AK99" t="n">
        <v>7.9324324324324325</v>
      </c>
      <c r="AL99" t="inlineStr">
        <is>
          <t/>
        </is>
      </c>
    </row>
    <row r="100">
      <c r="A100" t="inlineStr">
        <is>
          <t>整条三文鱼，送礼首选！</t>
        </is>
      </c>
      <c r="B100" t="inlineStr">
        <is>
          <t>697b6bcd000000002800b16c</t>
        </is>
      </c>
      <c r="C100" s="99" t="n">
        <f>HYPERLINK("https://www.xiaohongshu.com/explore/697b6bcd000000002800b16c?xsec_token=TBx0gf9xFBuo-Uf0_oTJMkRAXL-jqckZHLsjvPP2T4vs8=&amp;xsec_source=pc_trdark","https://www.xiaohongshu.com/explore/697b6bcd000000002800b16c?xsec_token=TBx0gf9xFBuo-Uf0_oTJMkRAXL-jqckZHLsjvPP2T4vs8=&amp;xsec_source=pc_trdark")</f>
        <v>0.0</v>
      </c>
      <c r="D100" t="inlineStr">
        <is>
          <t>鲜水湾</t>
        </is>
      </c>
      <c r="E100" t="inlineStr">
        <is>
          <t>49316638994</t>
        </is>
      </c>
      <c r="F100" t="inlineStr">
        <is>
          <t>2026-01-29 22:16:45</t>
        </is>
      </c>
      <c r="G100" t="inlineStr">
        <is>
          <t>图文</t>
        </is>
      </c>
      <c r="H100" t="inlineStr">
        <is>
          <t>智利三文鱼切块·整条三文鱼·深海鱼一人食健康饮食</t>
        </is>
      </c>
      <c r="I100" t="inlineStr">
        <is>
          <t>691ac562a524ee0001b51d7b</t>
        </is>
      </c>
      <c r="J100" t="inlineStr">
        <is>
          <t/>
        </is>
      </c>
      <c r="K100" t="n">
        <v>0.0</v>
      </c>
      <c r="L100" t="n">
        <v>0.0</v>
      </c>
      <c r="M100" t="n">
        <v>13.0</v>
      </c>
      <c r="N100" t="inlineStr">
        <is>
          <t>0.18055555555555555</t>
        </is>
      </c>
      <c r="O100" t="n">
        <v>13.0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inlineStr">
        <is>
          <t/>
        </is>
      </c>
      <c r="X100" t="n">
        <v>0.0</v>
      </c>
      <c r="Y100" t="n">
        <v>4.0</v>
      </c>
      <c r="Z100" t="n">
        <v>7.0</v>
      </c>
      <c r="AA100" t="n">
        <v>0.0</v>
      </c>
      <c r="AB100" t="n">
        <v>0.0</v>
      </c>
      <c r="AC100" t="n">
        <v>0.0</v>
      </c>
      <c r="AD100" t="n">
        <v>72.0</v>
      </c>
      <c r="AE100" t="n">
        <v>0.0</v>
      </c>
      <c r="AF100" t="n">
        <v>1.0</v>
      </c>
      <c r="AG100" t="n">
        <v>2.0</v>
      </c>
      <c r="AH100" t="n">
        <v>0.0</v>
      </c>
      <c r="AI100" t="n">
        <v>0.0</v>
      </c>
      <c r="AJ100" t="n">
        <v>0.0</v>
      </c>
      <c r="AK100" t="n">
        <v>9.722222222222221</v>
      </c>
      <c r="AL100" t="inlineStr">
        <is>
          <t/>
        </is>
      </c>
    </row>
    <row r="101">
      <c r="A101" t="inlineStr">
        <is>
          <t>适合年后打工人的干净碳水出现了</t>
        </is>
      </c>
      <c r="B101" t="inlineStr">
        <is>
          <t>699e4b9e000000002603e3ac</t>
        </is>
      </c>
      <c r="C101" s="100" t="n">
        <f>HYPERLINK("https://www.xiaohongshu.com/explore/699e4b9e000000002603e3ac?xsec_token=TBggKgSP0tIUAtqBAPfP3mLXuNWFU7-rK5oPBa-Ib7KfQ=&amp;xsec_source=pc_trdark","https://www.xiaohongshu.com/explore/699e4b9e000000002603e3ac?xsec_token=TBggKgSP0tIUAtqBAPfP3mLXuNWFU7-rK5oPBa-Ib7KfQ=&amp;xsec_source=pc_trdark")</f>
        <v>0.0</v>
      </c>
      <c r="D101" t="inlineStr">
        <is>
          <t>鲜水湾甄选</t>
        </is>
      </c>
      <c r="E101" t="inlineStr">
        <is>
          <t>27401929161</t>
        </is>
      </c>
      <c r="F101" t="inlineStr">
        <is>
          <t>2026-02-25 09:08:46</t>
        </is>
      </c>
      <c r="G101" t="inlineStr">
        <is>
          <t>图文</t>
        </is>
      </c>
      <c r="H101" t="inlineStr">
        <is>
          <t>大虾基围虾王牌大虾厄瓜多尔白虾盐冻虾仁海洋大虾送礼顺丰包邮</t>
        </is>
      </c>
      <c r="I101" t="inlineStr">
        <is>
          <t>690aeb7be379430001e686ac</t>
        </is>
      </c>
      <c r="J101" t="inlineStr">
        <is>
          <t/>
        </is>
      </c>
      <c r="K101" t="n">
        <v>0.0</v>
      </c>
      <c r="L101" t="n">
        <v>0.0</v>
      </c>
      <c r="M101" t="n">
        <v>9.0</v>
      </c>
      <c r="N101" t="n">
        <v>0.1267605633802817</v>
      </c>
      <c r="O101" t="n">
        <v>9.0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inlineStr">
        <is>
          <t/>
        </is>
      </c>
      <c r="X101" t="n">
        <v>0.0</v>
      </c>
      <c r="Y101" t="n">
        <v>2.0</v>
      </c>
      <c r="Z101" t="n">
        <v>3.0</v>
      </c>
      <c r="AA101" t="n">
        <v>0.0</v>
      </c>
      <c r="AB101" t="n">
        <v>0.0</v>
      </c>
      <c r="AC101" t="n">
        <v>0.0</v>
      </c>
      <c r="AD101" t="n">
        <v>71.0</v>
      </c>
      <c r="AE101" t="n">
        <v>0.0</v>
      </c>
      <c r="AF101" t="n">
        <v>0.0</v>
      </c>
      <c r="AG101" t="n">
        <v>2.0</v>
      </c>
      <c r="AH101" t="n">
        <v>1.0</v>
      </c>
      <c r="AI101" t="n">
        <v>1.0</v>
      </c>
      <c r="AJ101" t="n">
        <v>0.0</v>
      </c>
      <c r="AK101" t="n">
        <v>7.154929577464789</v>
      </c>
      <c r="AL101" t="inlineStr">
        <is>
          <t/>
        </is>
      </c>
    </row>
    <row r="102">
      <c r="A102" t="inlineStr">
        <is>
          <t>干干净净的大虾，年后控体又稳了👍🏻</t>
        </is>
      </c>
      <c r="B102" t="inlineStr">
        <is>
          <t>699eb76a000000001a01d105</t>
        </is>
      </c>
      <c r="C102" s="101" t="n">
        <f>HYPERLINK("https://www.xiaohongshu.com/explore/699eb76a000000001a01d105?xsec_token=TBggKgSP0tIUAtqBAPfP3mLUtD7ffnX5hrr4yU8gTva3M=&amp;xsec_source=pc_trdark","https://www.xiaohongshu.com/explore/699eb76a000000001a01d105?xsec_token=TBggKgSP0tIUAtqBAPfP3mLUtD7ffnX5hrr4yU8gTva3M=&amp;xsec_source=pc_trdark")</f>
        <v>0.0</v>
      </c>
      <c r="D102" t="inlineStr">
        <is>
          <t>鲜水湾</t>
        </is>
      </c>
      <c r="E102" t="inlineStr">
        <is>
          <t>49316638994</t>
        </is>
      </c>
      <c r="F102" t="inlineStr">
        <is>
          <t>2026-02-25 16:48:42</t>
        </is>
      </c>
      <c r="G102" t="inlineStr">
        <is>
          <t>图文</t>
        </is>
      </c>
      <c r="H102" t="inlineStr">
        <is>
          <t>大虾基围虾王牌大虾厄瓜多尔白虾盐冻虾仁海洋大虾送礼顺丰包邮</t>
        </is>
      </c>
      <c r="I102" t="inlineStr">
        <is>
          <t>690aeb7be379430001e686ac</t>
        </is>
      </c>
      <c r="J102" t="inlineStr">
        <is>
          <t/>
        </is>
      </c>
      <c r="K102" t="n">
        <v>0.0</v>
      </c>
      <c r="L102" t="n">
        <v>0.0</v>
      </c>
      <c r="M102" t="n">
        <v>6.0</v>
      </c>
      <c r="N102" t="inlineStr">
        <is>
          <t>0.08571428571428572</t>
        </is>
      </c>
      <c r="O102" t="n">
        <v>6.0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inlineStr">
        <is>
          <t/>
        </is>
      </c>
      <c r="X102" t="n">
        <v>0.0</v>
      </c>
      <c r="Y102" t="n">
        <v>0.0</v>
      </c>
      <c r="Z102" t="n">
        <v>1.0</v>
      </c>
      <c r="AA102" t="n">
        <v>0.0</v>
      </c>
      <c r="AB102" t="n">
        <v>0.0</v>
      </c>
      <c r="AC102" t="n">
        <v>0.0</v>
      </c>
      <c r="AD102" t="n">
        <v>70.0</v>
      </c>
      <c r="AE102" t="n">
        <v>0.0</v>
      </c>
      <c r="AF102" t="n">
        <v>0.0</v>
      </c>
      <c r="AG102" t="n">
        <v>1.0</v>
      </c>
      <c r="AH102" t="n">
        <v>0.0</v>
      </c>
      <c r="AI102" t="n">
        <v>0.0</v>
      </c>
      <c r="AJ102" t="n">
        <v>0.0</v>
      </c>
      <c r="AK102" t="n">
        <v>7.014285714285714</v>
      </c>
      <c r="AL102" t="inlineStr">
        <is>
          <t/>
        </is>
      </c>
    </row>
    <row r="103">
      <c r="A103" t="inlineStr">
        <is>
          <t>大学生闭眼入！感受一下60块的购买力</t>
        </is>
      </c>
      <c r="B103" t="inlineStr">
        <is>
          <t>69a2a0c60000000026033610</t>
        </is>
      </c>
      <c r="C103" s="102" t="n">
        <f>HYPERLINK("https://www.xiaohongshu.com/explore/69a2a0c60000000026033610?xsec_token=TBUws-qSGfQm7WfIK5gxFwZ_p1fpXI9YdGl6qrssTlDZg=&amp;xsec_source=pc_trdark","https://www.xiaohongshu.com/explore/69a2a0c60000000026033610?xsec_token=TBUws-qSGfQm7WfIK5gxFwZ_p1fpXI9YdGl6qrssTlDZg=&amp;xsec_source=pc_trdark")</f>
        <v>0.0</v>
      </c>
      <c r="D103" t="inlineStr">
        <is>
          <t>鲜水湾甄选</t>
        </is>
      </c>
      <c r="E103" t="inlineStr">
        <is>
          <t>27401929161</t>
        </is>
      </c>
      <c r="F103" t="inlineStr">
        <is>
          <t>2026-02-28 16:01:10</t>
        </is>
      </c>
      <c r="G103" t="inlineStr">
        <is>
          <t>图文</t>
        </is>
      </c>
      <c r="H103" t="inlineStr">
        <is>
          <t>北极甜虾头籽甜虾元宝虾北极熊冰虾孕妈妈宝宝辅食顺丰</t>
        </is>
      </c>
      <c r="I103" t="inlineStr">
        <is>
          <t>6953717eb8f0bb000115158d</t>
        </is>
      </c>
      <c r="J103" t="inlineStr">
        <is>
          <t/>
        </is>
      </c>
      <c r="K103" t="n">
        <v>0.0</v>
      </c>
      <c r="L103" t="n">
        <v>0.0</v>
      </c>
      <c r="M103" t="n">
        <v>12.0</v>
      </c>
      <c r="N103" t="inlineStr">
        <is>
          <t>0.17391304347826086</t>
        </is>
      </c>
      <c r="O103" t="n">
        <v>9.0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inlineStr">
        <is>
          <t/>
        </is>
      </c>
      <c r="X103" t="n">
        <v>0.0</v>
      </c>
      <c r="Y103" t="n">
        <v>0.0</v>
      </c>
      <c r="Z103" t="n">
        <v>3.0</v>
      </c>
      <c r="AA103" t="n">
        <v>0.0</v>
      </c>
      <c r="AB103" t="n">
        <v>0.0</v>
      </c>
      <c r="AC103" t="n">
        <v>0.0</v>
      </c>
      <c r="AD103" t="n">
        <v>69.0</v>
      </c>
      <c r="AE103" t="n">
        <v>0.0</v>
      </c>
      <c r="AF103" t="n">
        <v>0.0</v>
      </c>
      <c r="AG103" t="n">
        <v>1.0</v>
      </c>
      <c r="AH103" t="n">
        <v>0.0</v>
      </c>
      <c r="AI103" t="n">
        <v>0.0</v>
      </c>
      <c r="AJ103" t="n">
        <v>0.0</v>
      </c>
      <c r="AK103" t="n">
        <v>7.6231884057971016</v>
      </c>
      <c r="AL103" t="inlineStr">
        <is>
          <t/>
        </is>
      </c>
    </row>
    <row r="104">
      <c r="A104" t="inlineStr">
        <is>
          <t>春节快速回复状态：多吃高钾食物</t>
        </is>
      </c>
      <c r="B104" t="inlineStr">
        <is>
          <t>699e7341000000001a02240c</t>
        </is>
      </c>
      <c r="C104" s="103" t="n">
        <f>HYPERLINK("https://www.xiaohongshu.com/explore/699e7341000000001a02240c?xsec_token=TBggKgSP0tIUAtqBAPfP3mLYtMkfFhWb042bWYIwFhasA=&amp;xsec_source=pc_trdark","https://www.xiaohongshu.com/explore/699e7341000000001a02240c?xsec_token=TBggKgSP0tIUAtqBAPfP3mLYtMkfFhWb042bWYIwFhasA=&amp;xsec_source=pc_trdark")</f>
        <v>0.0</v>
      </c>
      <c r="D104" t="inlineStr">
        <is>
          <t>鲜水湾</t>
        </is>
      </c>
      <c r="E104" t="inlineStr">
        <is>
          <t>49316638994</t>
        </is>
      </c>
      <c r="F104" t="inlineStr">
        <is>
          <t>2026-02-25 11:57:53</t>
        </is>
      </c>
      <c r="G104" t="inlineStr">
        <is>
          <t>图文</t>
        </is>
      </c>
      <c r="H104" t="inlineStr">
        <is>
          <t>智利三文鱼切块·整条三文鱼·深海鱼一人食健康饮食</t>
        </is>
      </c>
      <c r="I104" t="inlineStr">
        <is>
          <t>691ac562a524ee0001b51d7b</t>
        </is>
      </c>
      <c r="J104" t="inlineStr">
        <is>
          <t/>
        </is>
      </c>
      <c r="K104" t="n">
        <v>368.0</v>
      </c>
      <c r="L104" t="n">
        <v>1.0</v>
      </c>
      <c r="M104" t="n">
        <v>3.0</v>
      </c>
      <c r="N104" t="inlineStr">
        <is>
          <t>0.04411764705882353</t>
        </is>
      </c>
      <c r="O104" t="n">
        <v>3.0</v>
      </c>
      <c r="P104" t="n">
        <v>1.0</v>
      </c>
      <c r="Q104" t="n">
        <v>0.3333333333333333</v>
      </c>
      <c r="R104" t="n">
        <v>0.3333333333333333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1.0</v>
      </c>
      <c r="Z104" t="n">
        <v>0.0</v>
      </c>
      <c r="AA104" t="n">
        <v>0.0</v>
      </c>
      <c r="AB104" t="n">
        <v>0.0</v>
      </c>
      <c r="AC104" t="n">
        <v>0.0</v>
      </c>
      <c r="AD104" t="n">
        <v>68.0</v>
      </c>
      <c r="AE104" t="n">
        <v>1.0</v>
      </c>
      <c r="AF104" t="n">
        <v>0.0</v>
      </c>
      <c r="AG104" t="n">
        <v>0.0</v>
      </c>
      <c r="AH104" t="n">
        <v>2.0</v>
      </c>
      <c r="AI104" t="n">
        <v>0.0</v>
      </c>
      <c r="AJ104" t="n">
        <v>0.0</v>
      </c>
      <c r="AK104" t="n">
        <v>7.132352941176471</v>
      </c>
      <c r="AL104" t="inlineStr">
        <is>
          <t/>
        </is>
      </c>
    </row>
    <row r="105">
      <c r="A105" t="inlineStr">
        <is>
          <t>用生蚝下个面，也太过瘾了吧！涮锅也好吃！</t>
        </is>
      </c>
      <c r="B105" t="inlineStr">
        <is>
          <t>691a7b380000000007021be5</t>
        </is>
      </c>
      <c r="C105" s="104" t="n">
        <f>HYPERLINK("https://www.xiaohongshu.com/explore/691a7b380000000007021be5?xsec_token=TB7_xX17zVvyJQL8hbcdzoILpsC0BUfoexbMLpoY2g7Gk=&amp;xsec_source=pc_trdark","https://www.xiaohongshu.com/explore/691a7b380000000007021be5?xsec_token=TB7_xX17zVvyJQL8hbcdzoILpsC0BUfoexbMLpoY2g7Gk=&amp;xsec_source=pc_trdark")</f>
        <v>0.0</v>
      </c>
      <c r="D105" t="inlineStr">
        <is>
          <t>婉婉上班吃什么</t>
        </is>
      </c>
      <c r="E105" t="inlineStr">
        <is>
          <t>11434449706</t>
        </is>
      </c>
      <c r="F105" t="inlineStr">
        <is>
          <t>2025-11-17 10:32:41</t>
        </is>
      </c>
      <c r="G105" t="inlineStr">
        <is>
          <t>视频</t>
        </is>
      </c>
      <c r="H105" t="inlineStr">
        <is>
          <t>生蚝乳山生蚝海蛎子顺丰包邮</t>
        </is>
      </c>
      <c r="I105" t="inlineStr">
        <is>
          <t>690c70971b787900010866cc</t>
        </is>
      </c>
      <c r="J105" t="n">
        <v>60.0</v>
      </c>
      <c r="K105" t="n">
        <v>0.0</v>
      </c>
      <c r="L105" t="n">
        <v>0.0</v>
      </c>
      <c r="M105" t="n">
        <v>1.0</v>
      </c>
      <c r="N105" t="inlineStr">
        <is>
          <t>0.014705882352941176</t>
        </is>
      </c>
      <c r="O105" t="n">
        <v>1.0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inlineStr">
        <is>
          <t/>
        </is>
      </c>
      <c r="X105" t="n">
        <v>0.0</v>
      </c>
      <c r="Y105" t="n">
        <v>0.0</v>
      </c>
      <c r="Z105" t="n">
        <v>1.0</v>
      </c>
      <c r="AA105" t="n">
        <v>0.0</v>
      </c>
      <c r="AB105" t="n">
        <v>0.0</v>
      </c>
      <c r="AC105" t="n">
        <v>0.0</v>
      </c>
      <c r="AD105" t="n">
        <v>68.0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13.338235294117647</v>
      </c>
      <c r="AL105" t="n">
        <v>0.0945945945945946</v>
      </c>
    </row>
    <row r="106">
      <c r="A106" t="inlineStr">
        <is>
          <t>不啰嗦了！甜虾1r💰1⃣️只</t>
        </is>
      </c>
      <c r="B106" t="inlineStr">
        <is>
          <t>69a10854000000002303bbc7</t>
        </is>
      </c>
      <c r="C106" s="105" t="n">
        <f>HYPERLINK("https://www.xiaohongshu.com/explore/69a10854000000002303bbc7?xsec_token=TBk7Tu9foWGIsieMmGc2tlwleui2vJF9EQ7jZ211k4Aug=&amp;xsec_source=pc_trdark","https://www.xiaohongshu.com/explore/69a10854000000002303bbc7?xsec_token=TBk7Tu9foWGIsieMmGc2tlwleui2vJF9EQ7jZ211k4Aug=&amp;xsec_source=pc_trdark")</f>
        <v>0.0</v>
      </c>
      <c r="D106" t="inlineStr">
        <is>
          <t>鲜水湾甄选</t>
        </is>
      </c>
      <c r="E106" t="inlineStr">
        <is>
          <t>27401929161</t>
        </is>
      </c>
      <c r="F106" t="inlineStr">
        <is>
          <t>2026-02-27 10:58:28</t>
        </is>
      </c>
      <c r="G106" t="inlineStr">
        <is>
          <t>图文</t>
        </is>
      </c>
      <c r="H106" t="inlineStr">
        <is>
          <t>北极甜虾头籽甜虾元宝虾北极熊冰虾孕妈妈宝宝辅食顺丰</t>
        </is>
      </c>
      <c r="I106" t="inlineStr">
        <is>
          <t>6953717eb8f0bb000115158d</t>
        </is>
      </c>
      <c r="J106" t="inlineStr">
        <is>
          <t/>
        </is>
      </c>
      <c r="K106" t="n">
        <v>0.0</v>
      </c>
      <c r="L106" t="n">
        <v>0.0</v>
      </c>
      <c r="M106" t="n">
        <v>25.0</v>
      </c>
      <c r="N106" t="n">
        <v>0.373134328358209</v>
      </c>
      <c r="O106" t="n">
        <v>15.0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inlineStr">
        <is>
          <t/>
        </is>
      </c>
      <c r="X106" t="n">
        <v>0.0</v>
      </c>
      <c r="Y106" t="n">
        <v>1.0</v>
      </c>
      <c r="Z106" t="n">
        <v>1.0</v>
      </c>
      <c r="AA106" t="n">
        <v>0.0</v>
      </c>
      <c r="AB106" t="n">
        <v>0.0</v>
      </c>
      <c r="AC106" t="n">
        <v>0.0</v>
      </c>
      <c r="AD106" t="n">
        <v>67.0</v>
      </c>
      <c r="AE106" t="n">
        <v>1.0</v>
      </c>
      <c r="AF106" t="n">
        <v>0.0</v>
      </c>
      <c r="AG106" t="n">
        <v>1.0</v>
      </c>
      <c r="AH106" t="n">
        <v>1.0</v>
      </c>
      <c r="AI106" t="n">
        <v>0.0</v>
      </c>
      <c r="AJ106" t="n">
        <v>0.0</v>
      </c>
      <c r="AK106" t="n">
        <v>9.223880597014926</v>
      </c>
      <c r="AL106" t="inlineStr">
        <is>
          <t/>
        </is>
      </c>
    </row>
    <row r="107">
      <c r="A107" t="inlineStr">
        <is>
          <t>其实，300块能吃一个月的三文鱼🫢</t>
        </is>
      </c>
      <c r="B107" t="inlineStr">
        <is>
          <t>697d850e000000001a029a04</t>
        </is>
      </c>
      <c r="C107" s="106" t="n">
        <f>HYPERLINK("https://www.xiaohongshu.com/explore/697d850e000000001a029a04?xsec_token=TBmDrNth1LGu49cSaHu-q0WwBFFiB_hZBrH6ERNOSl_EI=&amp;xsec_source=pc_trdark","https://www.xiaohongshu.com/explore/697d850e000000001a029a04?xsec_token=TBmDrNth1LGu49cSaHu-q0WwBFFiB_hZBrH6ERNOSl_EI=&amp;xsec_source=pc_trdark")</f>
        <v>0.0</v>
      </c>
      <c r="D107" t="inlineStr">
        <is>
          <t>鲜水湾</t>
        </is>
      </c>
      <c r="E107" t="inlineStr">
        <is>
          <t>49316638994</t>
        </is>
      </c>
      <c r="F107" t="inlineStr">
        <is>
          <t>2026-01-31 12:29:02</t>
        </is>
      </c>
      <c r="G107" t="inlineStr">
        <is>
          <t>图文</t>
        </is>
      </c>
      <c r="H107" t="inlineStr">
        <is>
          <t>智利三文鱼切块·整条三文鱼·深海鱼一人食健康饮食</t>
        </is>
      </c>
      <c r="I107" t="inlineStr">
        <is>
          <t>691ac562a524ee0001b51d7b</t>
        </is>
      </c>
      <c r="J107" t="inlineStr">
        <is>
          <t/>
        </is>
      </c>
      <c r="K107" t="n">
        <v>0.0</v>
      </c>
      <c r="L107" t="n">
        <v>0.0</v>
      </c>
      <c r="M107" t="n">
        <v>22.0</v>
      </c>
      <c r="N107" t="n">
        <v>0.3283582089552239</v>
      </c>
      <c r="O107" t="n">
        <v>18.0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inlineStr">
        <is>
          <t/>
        </is>
      </c>
      <c r="X107" t="n">
        <v>0.0</v>
      </c>
      <c r="Y107" t="n">
        <v>4.0</v>
      </c>
      <c r="Z107" t="n">
        <v>6.0</v>
      </c>
      <c r="AA107" t="n">
        <v>0.0</v>
      </c>
      <c r="AB107" t="n">
        <v>0.0</v>
      </c>
      <c r="AC107" t="n">
        <v>0.0</v>
      </c>
      <c r="AD107" t="n">
        <v>67.0</v>
      </c>
      <c r="AE107" t="n">
        <v>0.0</v>
      </c>
      <c r="AF107" t="n">
        <v>1.0</v>
      </c>
      <c r="AG107" t="n">
        <v>0.0</v>
      </c>
      <c r="AH107" t="n">
        <v>0.0</v>
      </c>
      <c r="AI107" t="n">
        <v>0.0</v>
      </c>
      <c r="AJ107" t="n">
        <v>0.0</v>
      </c>
      <c r="AK107" t="n">
        <v>20.402985074626866</v>
      </c>
      <c r="AL107" t="inlineStr">
        <is>
          <t/>
        </is>
      </c>
    </row>
    <row r="108">
      <c r="A108" t="inlineStr">
        <is>
          <t>咱家乳山生蚝靠的就是实打实的品质～</t>
        </is>
      </c>
      <c r="B108" t="inlineStr">
        <is>
          <t>69a002e0000000000e00eeba</t>
        </is>
      </c>
      <c r="C108" s="107" t="n">
        <f>HYPERLINK("https://www.xiaohongshu.com/explore/69a002e0000000000e00eeba?xsec_token=TBGIgfrKGy2wDtxaQW-J26GQNrSqY4Qy6JIGQyBKpHvmE=&amp;xsec_source=pc_trdark","https://www.xiaohongshu.com/explore/69a002e0000000000e00eeba?xsec_token=TBGIgfrKGy2wDtxaQW-J26GQNrSqY4Qy6JIGQyBKpHvmE=&amp;xsec_source=pc_trdark")</f>
        <v>0.0</v>
      </c>
      <c r="D108" t="inlineStr">
        <is>
          <t>婉婉上班吃什么</t>
        </is>
      </c>
      <c r="E108" t="inlineStr">
        <is>
          <t>11434449706</t>
        </is>
      </c>
      <c r="F108" t="inlineStr">
        <is>
          <t>2026-02-26 16:22:56</t>
        </is>
      </c>
      <c r="G108" t="inlineStr">
        <is>
          <t>图文</t>
        </is>
      </c>
      <c r="H108" t="inlineStr">
        <is>
          <t>生蚝乳山生蚝海蛎子顺丰包邮</t>
        </is>
      </c>
      <c r="I108" t="inlineStr">
        <is>
          <t>690c70971b787900010866cc</t>
        </is>
      </c>
      <c r="J108" t="inlineStr">
        <is>
          <t/>
        </is>
      </c>
      <c r="K108" t="n">
        <v>0.0</v>
      </c>
      <c r="L108" t="n">
        <v>0.0</v>
      </c>
      <c r="M108" t="n">
        <v>9.0</v>
      </c>
      <c r="N108" t="inlineStr">
        <is>
          <t>0.13636363636363635</t>
        </is>
      </c>
      <c r="O108" t="n">
        <v>9.0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inlineStr">
        <is>
          <t/>
        </is>
      </c>
      <c r="X108" t="n">
        <v>0.0</v>
      </c>
      <c r="Y108" t="n">
        <v>1.0</v>
      </c>
      <c r="Z108" t="n">
        <v>4.0</v>
      </c>
      <c r="AA108" t="n">
        <v>0.0</v>
      </c>
      <c r="AB108" t="n">
        <v>0.0</v>
      </c>
      <c r="AC108" t="n">
        <v>0.0</v>
      </c>
      <c r="AD108" t="n">
        <v>66.0</v>
      </c>
      <c r="AE108" t="n">
        <v>2.0</v>
      </c>
      <c r="AF108" t="n">
        <v>0.0</v>
      </c>
      <c r="AG108" t="n">
        <v>0.0</v>
      </c>
      <c r="AH108" t="n">
        <v>4.0</v>
      </c>
      <c r="AI108" t="n">
        <v>0.0</v>
      </c>
      <c r="AJ108" t="n">
        <v>0.0</v>
      </c>
      <c r="AK108" t="n">
        <v>12.651515151515152</v>
      </c>
      <c r="AL108" t="inlineStr">
        <is>
          <t/>
        </is>
      </c>
    </row>
    <row r="109">
      <c r="A109" t="inlineStr">
        <is>
          <t>发现年轻人真低估了100块的购买力...</t>
        </is>
      </c>
      <c r="B109" t="inlineStr">
        <is>
          <t>69a0149b000000001a02cdb4</t>
        </is>
      </c>
      <c r="C109" s="108" t="n">
        <f>HYPERLINK("https://www.xiaohongshu.com/explore/69a0149b000000001a02cdb4?xsec_token=TBGIgfrKGy2wDtxaQW-J26GSVYYnaplB3-D8-HLx2DgVE=&amp;xsec_source=pc_trdark","https://www.xiaohongshu.com/explore/69a0149b000000001a02cdb4?xsec_token=TBGIgfrKGy2wDtxaQW-J26GSVYYnaplB3-D8-HLx2DgVE=&amp;xsec_source=pc_trdark")</f>
        <v>0.0</v>
      </c>
      <c r="D109" t="inlineStr">
        <is>
          <t>鲜水湾</t>
        </is>
      </c>
      <c r="E109" t="inlineStr">
        <is>
          <t>49316638994</t>
        </is>
      </c>
      <c r="F109" t="inlineStr">
        <is>
          <t>2026-02-26 17:38:35</t>
        </is>
      </c>
      <c r="G109" t="inlineStr">
        <is>
          <t>图文</t>
        </is>
      </c>
      <c r="H109" t="inlineStr">
        <is>
          <t>智利三文鱼切块·整条三文鱼·深海鱼一人食健康饮食</t>
        </is>
      </c>
      <c r="I109" t="inlineStr">
        <is>
          <t>691ac562a524ee0001b51d7b</t>
        </is>
      </c>
      <c r="J109" t="inlineStr">
        <is>
          <t/>
        </is>
      </c>
      <c r="K109" t="n">
        <v>186.0</v>
      </c>
      <c r="L109" t="n">
        <v>2.0</v>
      </c>
      <c r="M109" t="n">
        <v>20.0</v>
      </c>
      <c r="N109" t="n">
        <v>0.3076923076923077</v>
      </c>
      <c r="O109" t="n">
        <v>16.0</v>
      </c>
      <c r="P109" t="n">
        <v>2.0</v>
      </c>
      <c r="Q109" t="n">
        <v>0.1</v>
      </c>
      <c r="R109" t="n">
        <v>0.125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4.0</v>
      </c>
      <c r="Z109" t="n">
        <v>4.0</v>
      </c>
      <c r="AA109" t="n">
        <v>0.0</v>
      </c>
      <c r="AB109" t="n">
        <v>0.0</v>
      </c>
      <c r="AC109" t="n">
        <v>0.0</v>
      </c>
      <c r="AD109" t="n">
        <v>65.0</v>
      </c>
      <c r="AE109" t="n">
        <v>0.0</v>
      </c>
      <c r="AF109" t="n">
        <v>0.0</v>
      </c>
      <c r="AG109" t="n">
        <v>0.0</v>
      </c>
      <c r="AH109" t="n">
        <v>1.0</v>
      </c>
      <c r="AI109" t="n">
        <v>0.0</v>
      </c>
      <c r="AJ109" t="n">
        <v>0.0</v>
      </c>
      <c r="AK109" t="n">
        <v>14.76923076923077</v>
      </c>
      <c r="AL109" t="inlineStr">
        <is>
          <t/>
        </is>
      </c>
    </row>
    <row r="110">
      <c r="A110" t="inlineStr">
        <is>
          <t>管理期快乐主食，热量比鸡胸肉还低！！</t>
        </is>
      </c>
      <c r="B110" t="inlineStr">
        <is>
          <t>699fa53f000000000e00c7f9</t>
        </is>
      </c>
      <c r="C110" s="109" t="n">
        <f>HYPERLINK("https://www.xiaohongshu.com/explore/699fa53f000000000e00c7f9?xsec_token=TBmPrNsEp7sytnt8BzCMtNTYR-3h72DyI7DMt9dUng1xU=&amp;xsec_source=pc_trdark","https://www.xiaohongshu.com/explore/699fa53f000000000e00c7f9?xsec_token=TBmPrNsEp7sytnt8BzCMtNTYR-3h72DyI7DMt9dUng1xU=&amp;xsec_source=pc_trdark")</f>
        <v>0.0</v>
      </c>
      <c r="D110" t="inlineStr">
        <is>
          <t>鲜水湾</t>
        </is>
      </c>
      <c r="E110" t="inlineStr">
        <is>
          <t>49316638994</t>
        </is>
      </c>
      <c r="F110" t="inlineStr">
        <is>
          <t>2026-02-26 09:43:27</t>
        </is>
      </c>
      <c r="G110" t="inlineStr">
        <is>
          <t>图文</t>
        </is>
      </c>
      <c r="H110" t="inlineStr">
        <is>
          <t>大虾基围虾王牌大虾厄瓜多尔白虾盐冻虾仁海洋大虾送礼顺丰包邮</t>
        </is>
      </c>
      <c r="I110" t="inlineStr">
        <is>
          <t>690aeb7be379430001e686ac</t>
        </is>
      </c>
      <c r="J110" t="inlineStr">
        <is>
          <t/>
        </is>
      </c>
      <c r="K110" t="n">
        <v>0.0</v>
      </c>
      <c r="L110" t="n">
        <v>0.0</v>
      </c>
      <c r="M110" t="n">
        <v>7.0</v>
      </c>
      <c r="N110" t="n">
        <v>0.1111111111111111</v>
      </c>
      <c r="O110" t="n">
        <v>6.0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inlineStr">
        <is>
          <t/>
        </is>
      </c>
      <c r="X110" t="n">
        <v>0.0</v>
      </c>
      <c r="Y110" t="n">
        <v>1.0</v>
      </c>
      <c r="Z110" t="n">
        <v>3.0</v>
      </c>
      <c r="AA110" t="n">
        <v>0.0</v>
      </c>
      <c r="AB110" t="n">
        <v>0.0</v>
      </c>
      <c r="AC110" t="n">
        <v>0.0</v>
      </c>
      <c r="AD110" t="n">
        <v>63.0</v>
      </c>
      <c r="AE110" t="n">
        <v>0.0</v>
      </c>
      <c r="AF110" t="n">
        <v>0.0</v>
      </c>
      <c r="AG110" t="n">
        <v>0.0</v>
      </c>
      <c r="AH110" t="n">
        <v>2.0</v>
      </c>
      <c r="AI110" t="n">
        <v>0.0</v>
      </c>
      <c r="AJ110" t="n">
        <v>0.0</v>
      </c>
      <c r="AK110" t="n">
        <v>6.2063492063492065</v>
      </c>
      <c r="AL110" t="inlineStr">
        <is>
          <t/>
        </is>
      </c>
    </row>
    <row r="111">
      <c r="A111" t="inlineStr">
        <is>
          <t>果然是超市买不到的口感！！</t>
        </is>
      </c>
      <c r="B111" t="inlineStr">
        <is>
          <t>699d6e4f000000000e03c29c</t>
        </is>
      </c>
      <c r="C111" s="110" t="n">
        <f>HYPERLINK("https://www.xiaohongshu.com/explore/699d6e4f000000000e03c29c?xsec_token=TBeFZqWudA4ECFcaumXjqu0NhsQ3I0hlnhfhZOGAfEneQ=&amp;xsec_source=pc_trdark","https://www.xiaohongshu.com/explore/699d6e4f000000000e03c29c?xsec_token=TBeFZqWudA4ECFcaumXjqu0NhsQ3I0hlnhfhZOGAfEneQ=&amp;xsec_source=pc_trdark")</f>
        <v>0.0</v>
      </c>
      <c r="D111" t="inlineStr">
        <is>
          <t>鲜水湾</t>
        </is>
      </c>
      <c r="E111" t="inlineStr">
        <is>
          <t>49316638994</t>
        </is>
      </c>
      <c r="F111" t="inlineStr">
        <is>
          <t>2026-02-24 17:24:31</t>
        </is>
      </c>
      <c r="G111" t="inlineStr">
        <is>
          <t>图文</t>
        </is>
      </c>
      <c r="H111" t="inlineStr">
        <is>
          <t>大虾基围虾王牌大虾厄瓜多尔白虾盐冻虾仁海洋大虾送礼顺丰包邮</t>
        </is>
      </c>
      <c r="I111" t="inlineStr">
        <is>
          <t>690aeb7be379430001e686ac</t>
        </is>
      </c>
      <c r="J111" t="inlineStr">
        <is>
          <t/>
        </is>
      </c>
      <c r="K111" t="n">
        <v>0.0</v>
      </c>
      <c r="L111" t="n">
        <v>0.0</v>
      </c>
      <c r="M111" t="n">
        <v>12.0</v>
      </c>
      <c r="N111" t="inlineStr">
        <is>
          <t>0.19047619047619047</t>
        </is>
      </c>
      <c r="O111" t="n">
        <v>10.0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inlineStr">
        <is>
          <t/>
        </is>
      </c>
      <c r="X111" t="n">
        <v>0.0</v>
      </c>
      <c r="Y111" t="n">
        <v>1.0</v>
      </c>
      <c r="Z111" t="n">
        <v>1.0</v>
      </c>
      <c r="AA111" t="n">
        <v>0.0</v>
      </c>
      <c r="AB111" t="n">
        <v>0.0</v>
      </c>
      <c r="AC111" t="n">
        <v>0.0</v>
      </c>
      <c r="AD111" t="n">
        <v>63.0</v>
      </c>
      <c r="AE111" t="n">
        <v>1.0</v>
      </c>
      <c r="AF111" t="n">
        <v>0.0</v>
      </c>
      <c r="AG111" t="n">
        <v>1.0</v>
      </c>
      <c r="AH111" t="n">
        <v>2.0</v>
      </c>
      <c r="AI111" t="n">
        <v>0.0</v>
      </c>
      <c r="AJ111" t="n">
        <v>0.0</v>
      </c>
      <c r="AK111" t="n">
        <v>8.174603174603174</v>
      </c>
      <c r="AL111" t="inlineStr">
        <is>
          <t/>
        </is>
      </c>
    </row>
    <row r="112">
      <c r="A112" t="inlineStr">
        <is>
          <t>蛋白质健身教练推荐我吃三文鱼排</t>
        </is>
      </c>
      <c r="B112" t="inlineStr">
        <is>
          <t>699ec98d000000001a01ed96</t>
        </is>
      </c>
      <c r="C112" s="111" t="n">
        <f>HYPERLINK("https://www.xiaohongshu.com/explore/699ec98d000000001a01ed96?xsec_token=TBggKgSP0tIUAtqBAPfP3mLdlGNOXhAv0abcSVh7WkQrk=&amp;xsec_source=pc_trdark","https://www.xiaohongshu.com/explore/699ec98d000000001a01ed96?xsec_token=TBggKgSP0tIUAtqBAPfP3mLdlGNOXhAv0abcSVh7WkQrk=&amp;xsec_source=pc_trdark")</f>
        <v>0.0</v>
      </c>
      <c r="D112" t="inlineStr">
        <is>
          <t>鲜水湾</t>
        </is>
      </c>
      <c r="E112" t="inlineStr">
        <is>
          <t>49316638994</t>
        </is>
      </c>
      <c r="F112" t="inlineStr">
        <is>
          <t>2026-02-25 18:06:05</t>
        </is>
      </c>
      <c r="G112" t="inlineStr">
        <is>
          <t>图文</t>
        </is>
      </c>
      <c r="H112" t="inlineStr">
        <is>
          <t>智利三文鱼切块·整条三文鱼·深海鱼一人食健康饮食</t>
        </is>
      </c>
      <c r="I112" t="inlineStr">
        <is>
          <t>691ac562a524ee0001b51d7b</t>
        </is>
      </c>
      <c r="J112" t="inlineStr">
        <is>
          <t/>
        </is>
      </c>
      <c r="K112" t="n">
        <v>0.0</v>
      </c>
      <c r="L112" t="n">
        <v>0.0</v>
      </c>
      <c r="M112" t="n">
        <v>6.0</v>
      </c>
      <c r="N112" t="n">
        <v>0.0967741935483871</v>
      </c>
      <c r="O112" t="n">
        <v>6.0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inlineStr">
        <is>
          <t/>
        </is>
      </c>
      <c r="X112" t="n">
        <v>0.0</v>
      </c>
      <c r="Y112" t="n">
        <v>2.0</v>
      </c>
      <c r="Z112" t="n">
        <v>0.0</v>
      </c>
      <c r="AA112" t="n">
        <v>0.0</v>
      </c>
      <c r="AB112" t="n">
        <v>0.0</v>
      </c>
      <c r="AC112" t="n">
        <v>0.0</v>
      </c>
      <c r="AD112" t="n">
        <v>62.0</v>
      </c>
      <c r="AE112" t="n">
        <v>0.0</v>
      </c>
      <c r="AF112" t="n">
        <v>0.0</v>
      </c>
      <c r="AG112" t="n">
        <v>0.0</v>
      </c>
      <c r="AH112" t="n">
        <v>2.0</v>
      </c>
      <c r="AI112" t="n">
        <v>0.0</v>
      </c>
      <c r="AJ112" t="n">
        <v>0.0</v>
      </c>
      <c r="AK112" t="n">
        <v>7.17741935483871</v>
      </c>
      <c r="AL112" t="inlineStr">
        <is>
          <t/>
        </is>
      </c>
    </row>
    <row r="113">
      <c r="A113" t="inlineStr">
        <is>
          <t>跟爸妈商量后，决定推出整条三文鱼100单免邮</t>
        </is>
      </c>
      <c r="B113" t="inlineStr">
        <is>
          <t>6942ae0f000000001e03583f</t>
        </is>
      </c>
      <c r="C113" s="112" t="n">
        <f>HYPERLINK("https://www.xiaohongshu.com/explore/6942ae0f000000001e03583f?xsec_token=TB0tDM60Z2n8tclFaINyevIS3N7QYleAKe-QjjTaQbIp0=&amp;xsec_source=pc_trdark","https://www.xiaohongshu.com/explore/6942ae0f000000001e03583f?xsec_token=TB0tDM60Z2n8tclFaINyevIS3N7QYleAKe-QjjTaQbIp0=&amp;xsec_source=pc_trdark")</f>
        <v>0.0</v>
      </c>
      <c r="D113" t="inlineStr">
        <is>
          <t>鲜水湾</t>
        </is>
      </c>
      <c r="E113" t="inlineStr">
        <is>
          <t>49316638994</t>
        </is>
      </c>
      <c r="F113" t="inlineStr">
        <is>
          <t>2025-12-17 21:20:15</t>
        </is>
      </c>
      <c r="G113" t="inlineStr">
        <is>
          <t>图文</t>
        </is>
      </c>
      <c r="H113" t="inlineStr">
        <is>
          <t>智利三文鱼切块·整条三文鱼·深海鱼一人食健康饮食</t>
        </is>
      </c>
      <c r="I113" t="inlineStr">
        <is>
          <t>691ac562a524ee0001b51d7b</t>
        </is>
      </c>
      <c r="J113" t="inlineStr">
        <is>
          <t/>
        </is>
      </c>
      <c r="K113" t="n">
        <v>368.0</v>
      </c>
      <c r="L113" t="n">
        <v>1.0</v>
      </c>
      <c r="M113" t="n">
        <v>10.0</v>
      </c>
      <c r="N113" t="inlineStr">
        <is>
          <t>0.16393442622950818</t>
        </is>
      </c>
      <c r="O113" t="n">
        <v>10.0</v>
      </c>
      <c r="P113" t="n">
        <v>1.0</v>
      </c>
      <c r="Q113" t="n">
        <v>0.1</v>
      </c>
      <c r="R113" t="n">
        <v>0.1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1.0</v>
      </c>
      <c r="AA113" t="n">
        <v>0.0</v>
      </c>
      <c r="AB113" t="n">
        <v>0.0</v>
      </c>
      <c r="AC113" t="n">
        <v>0.0</v>
      </c>
      <c r="AD113" t="n">
        <v>61.0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10.918032786885245</v>
      </c>
      <c r="AL113" t="inlineStr">
        <is>
          <t/>
        </is>
      </c>
    </row>
    <row r="114">
      <c r="A114" t="inlineStr">
        <is>
          <t>不啰嗦了！！300来块一整条</t>
        </is>
      </c>
      <c r="B114" t="inlineStr">
        <is>
          <t>699ff03d000000001a02073e</t>
        </is>
      </c>
      <c r="C114" s="113" t="n">
        <f>HYPERLINK("https://www.xiaohongshu.com/explore/699ff03d000000001a02073e?xsec_token=TBmPrNsEp7sytnt8BzCMtNTVtndlWLUwRuqnamxfgVA6Y=&amp;xsec_source=pc_trdark","https://www.xiaohongshu.com/explore/699ff03d000000001a02073e?xsec_token=TBmPrNsEp7sytnt8BzCMtNTVtndlWLUwRuqnamxfgVA6Y=&amp;xsec_source=pc_trdark")</f>
        <v>0.0</v>
      </c>
      <c r="D114" t="inlineStr">
        <is>
          <t>鲜水湾</t>
        </is>
      </c>
      <c r="E114" t="inlineStr">
        <is>
          <t>49316638994</t>
        </is>
      </c>
      <c r="F114" t="inlineStr">
        <is>
          <t>2026-02-26 15:03:25</t>
        </is>
      </c>
      <c r="G114" t="inlineStr">
        <is>
          <t>图文</t>
        </is>
      </c>
      <c r="H114" t="inlineStr">
        <is>
          <t>智利三文鱼切块·整条三文鱼·深海鱼一人食健康饮食</t>
        </is>
      </c>
      <c r="I114" t="inlineStr">
        <is>
          <t>691ac562a524ee0001b51d7b</t>
        </is>
      </c>
      <c r="J114" t="inlineStr">
        <is>
          <t/>
        </is>
      </c>
      <c r="K114" t="n">
        <v>676.0</v>
      </c>
      <c r="L114" t="n">
        <v>1.0</v>
      </c>
      <c r="M114" t="n">
        <v>16.0</v>
      </c>
      <c r="N114" t="inlineStr">
        <is>
          <t>0.26666666666666666</t>
        </is>
      </c>
      <c r="O114" t="n">
        <v>11.0</v>
      </c>
      <c r="P114" t="n">
        <v>1.0</v>
      </c>
      <c r="Q114" t="n">
        <v>0.0625</v>
      </c>
      <c r="R114" t="inlineStr">
        <is>
          <t>0.09090909090909091</t>
        </is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3.0</v>
      </c>
      <c r="Z114" t="n">
        <v>2.0</v>
      </c>
      <c r="AA114" t="n">
        <v>0.0</v>
      </c>
      <c r="AB114" t="n">
        <v>0.0</v>
      </c>
      <c r="AC114" t="n">
        <v>0.0</v>
      </c>
      <c r="AD114" t="n">
        <v>60.0</v>
      </c>
      <c r="AE114" t="n">
        <v>1.0</v>
      </c>
      <c r="AF114" t="n">
        <v>0.0</v>
      </c>
      <c r="AG114" t="n">
        <v>1.0</v>
      </c>
      <c r="AH114" t="n">
        <v>3.0</v>
      </c>
      <c r="AI114" t="n">
        <v>1.0</v>
      </c>
      <c r="AJ114" t="n">
        <v>0.0</v>
      </c>
      <c r="AK114" t="n">
        <v>15.266666666666667</v>
      </c>
      <c r="AL114" t="inlineStr">
        <is>
          <t/>
        </is>
      </c>
    </row>
    <row r="115">
      <c r="A115" t="inlineStr">
        <is>
          <t>瘦女淡饭🥣</t>
        </is>
      </c>
      <c r="B115" t="inlineStr">
        <is>
          <t>699ea65a000000001a030d01</t>
        </is>
      </c>
      <c r="C115" s="114" t="n">
        <f>HYPERLINK("https://www.xiaohongshu.com/explore/699ea65a000000001a030d01?xsec_token=TBggKgSP0tIUAtqBAPfP3mLfT0CLhuH5UVikjbYsB5rhs=&amp;xsec_source=pc_trdark","https://www.xiaohongshu.com/explore/699ea65a000000001a030d01?xsec_token=TBggKgSP0tIUAtqBAPfP3mLfT0CLhuH5UVikjbYsB5rhs=&amp;xsec_source=pc_trdark")</f>
        <v>0.0</v>
      </c>
      <c r="D115" t="inlineStr">
        <is>
          <t>鲜水湾</t>
        </is>
      </c>
      <c r="E115" t="inlineStr">
        <is>
          <t>49316638994</t>
        </is>
      </c>
      <c r="F115" t="inlineStr">
        <is>
          <t>2026-02-25 15:35:54</t>
        </is>
      </c>
      <c r="G115" t="inlineStr">
        <is>
          <t>图文</t>
        </is>
      </c>
      <c r="H115" t="inlineStr">
        <is>
          <t>大虾基围虾王牌大虾厄瓜多尔白虾盐冻虾仁海洋大虾送礼顺丰包邮</t>
        </is>
      </c>
      <c r="I115" t="inlineStr">
        <is>
          <t>690aeb7be379430001e686ac</t>
        </is>
      </c>
      <c r="J115" t="inlineStr">
        <is>
          <t/>
        </is>
      </c>
      <c r="K115" t="n">
        <v>0.0</v>
      </c>
      <c r="L115" t="n">
        <v>0.0</v>
      </c>
      <c r="M115" t="n">
        <v>5.0</v>
      </c>
      <c r="N115" t="inlineStr">
        <is>
          <t>0.08333333333333333</t>
        </is>
      </c>
      <c r="O115" t="n">
        <v>5.0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inlineStr">
        <is>
          <t/>
        </is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60.0</v>
      </c>
      <c r="AE115" t="n">
        <v>1.0</v>
      </c>
      <c r="AF115" t="n">
        <v>0.0</v>
      </c>
      <c r="AG115" t="n">
        <v>0.0</v>
      </c>
      <c r="AH115" t="n">
        <v>2.0</v>
      </c>
      <c r="AI115" t="n">
        <v>0.0</v>
      </c>
      <c r="AJ115" t="n">
        <v>0.0</v>
      </c>
      <c r="AK115" t="n">
        <v>6.95</v>
      </c>
      <c r="AL115" t="inlineStr">
        <is>
          <t/>
        </is>
      </c>
    </row>
    <row r="116">
      <c r="A116" t="inlineStr">
        <is>
          <t>区区69/盒，承包我半个月减脂餐了</t>
        </is>
      </c>
      <c r="B116" t="inlineStr">
        <is>
          <t>698afed0000000001a02598b</t>
        </is>
      </c>
      <c r="C116" s="115" t="n">
        <f>HYPERLINK("https://www.xiaohongshu.com/explore/698afed0000000001a02598b?xsec_token=TBG0mKfxVH0N0QJz26OSUyhRtILSkWqJa2D6sJqW_8bY0=&amp;xsec_source=pc_trdark","https://www.xiaohongshu.com/explore/698afed0000000001a02598b?xsec_token=TBG0mKfxVH0N0QJz26OSUyhRtILSkWqJa2D6sJqW_8bY0=&amp;xsec_source=pc_trdark")</f>
        <v>0.0</v>
      </c>
      <c r="D116" t="inlineStr">
        <is>
          <t>鲜水湾</t>
        </is>
      </c>
      <c r="E116" t="inlineStr">
        <is>
          <t>49316638994</t>
        </is>
      </c>
      <c r="F116" t="inlineStr">
        <is>
          <t>2026-02-10 17:48:00</t>
        </is>
      </c>
      <c r="G116" t="inlineStr">
        <is>
          <t>图文</t>
        </is>
      </c>
      <c r="H116" t="inlineStr">
        <is>
          <t>大虾基围虾王牌大虾厄瓜多尔白虾盐冻虾仁海洋大虾送礼顺丰包邮</t>
        </is>
      </c>
      <c r="I116" t="inlineStr">
        <is>
          <t>690aeb7be379430001e686ac</t>
        </is>
      </c>
      <c r="J116" t="inlineStr">
        <is>
          <t/>
        </is>
      </c>
      <c r="K116" t="n">
        <v>0.0</v>
      </c>
      <c r="L116" t="n">
        <v>0.0</v>
      </c>
      <c r="M116" t="n">
        <v>18.0</v>
      </c>
      <c r="N116" t="n">
        <v>0.3050847457627119</v>
      </c>
      <c r="O116" t="n">
        <v>16.0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inlineStr">
        <is>
          <t/>
        </is>
      </c>
      <c r="X116" t="n">
        <v>0.0</v>
      </c>
      <c r="Y116" t="n">
        <v>2.0</v>
      </c>
      <c r="Z116" t="n">
        <v>5.0</v>
      </c>
      <c r="AA116" t="n">
        <v>0.0</v>
      </c>
      <c r="AB116" t="n">
        <v>0.0</v>
      </c>
      <c r="AC116" t="n">
        <v>0.0</v>
      </c>
      <c r="AD116" t="n">
        <v>59.0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12.64406779661017</v>
      </c>
      <c r="AL116" t="inlineStr">
        <is>
          <t/>
        </is>
      </c>
    </row>
    <row r="117">
      <c r="A117" t="inlineStr">
        <is>
          <t>整条三文鱼礼盒，年货送礼首选！</t>
        </is>
      </c>
      <c r="B117" t="inlineStr">
        <is>
          <t>6986d826000000001a024ae7</t>
        </is>
      </c>
      <c r="C117" s="116" t="n">
        <f>HYPERLINK("https://www.xiaohongshu.com/explore/6986d826000000001a024ae7?xsec_token=TB-LsRJw2UEyjZbU1RZqmjvk9SrejyQeu9ePCPxjBo_So=&amp;xsec_source=pc_trdark","https://www.xiaohongshu.com/explore/6986d826000000001a024ae7?xsec_token=TB-LsRJw2UEyjZbU1RZqmjvk9SrejyQeu9ePCPxjBo_So=&amp;xsec_source=pc_trdark")</f>
        <v>0.0</v>
      </c>
      <c r="D117" t="inlineStr">
        <is>
          <t>鲜水湾</t>
        </is>
      </c>
      <c r="E117" t="inlineStr">
        <is>
          <t>49316638994</t>
        </is>
      </c>
      <c r="F117" t="inlineStr">
        <is>
          <t>2026-02-07 14:13:58</t>
        </is>
      </c>
      <c r="G117" t="inlineStr">
        <is>
          <t>图文</t>
        </is>
      </c>
      <c r="H117" t="inlineStr">
        <is>
          <t>智利三文鱼切块·整条三文鱼·深海鱼一人食健康饮食</t>
        </is>
      </c>
      <c r="I117" t="inlineStr">
        <is>
          <t>691ac562a524ee0001b51d7b</t>
        </is>
      </c>
      <c r="J117" t="inlineStr">
        <is>
          <t/>
        </is>
      </c>
      <c r="K117" t="n">
        <v>348.0</v>
      </c>
      <c r="L117" t="n">
        <v>1.0</v>
      </c>
      <c r="M117" t="n">
        <v>15.0</v>
      </c>
      <c r="N117" t="inlineStr">
        <is>
          <t>0.25862068965517243</t>
        </is>
      </c>
      <c r="O117" t="n">
        <v>14.0</v>
      </c>
      <c r="P117" t="n">
        <v>1.0</v>
      </c>
      <c r="Q117" t="inlineStr">
        <is>
          <t>0.06666666666666667</t>
        </is>
      </c>
      <c r="R117" t="inlineStr">
        <is>
          <t>0.07142857142857142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4.0</v>
      </c>
      <c r="Z117" t="n">
        <v>9.0</v>
      </c>
      <c r="AA117" t="n">
        <v>0.0</v>
      </c>
      <c r="AB117" t="n">
        <v>0.0</v>
      </c>
      <c r="AC117" t="n">
        <v>0.0</v>
      </c>
      <c r="AD117" t="n">
        <v>58.0</v>
      </c>
      <c r="AE117" t="n">
        <v>0.0</v>
      </c>
      <c r="AF117" t="n">
        <v>0.0</v>
      </c>
      <c r="AG117" t="n">
        <v>0.0</v>
      </c>
      <c r="AH117" t="n">
        <v>3.0</v>
      </c>
      <c r="AI117" t="n">
        <v>1.0</v>
      </c>
      <c r="AJ117" t="n">
        <v>0.0</v>
      </c>
      <c r="AK117" t="n">
        <v>12.413793103448276</v>
      </c>
      <c r="AL117" t="inlineStr">
        <is>
          <t/>
        </is>
      </c>
    </row>
    <row r="118">
      <c r="A118" t="inlineStr">
        <is>
          <t>男朋友过了30，一定要多吃这个乳山生蚝</t>
        </is>
      </c>
      <c r="B118" t="inlineStr">
        <is>
          <t>694c99e0000000001f00e958</t>
        </is>
      </c>
      <c r="C118" s="117" t="n">
        <f>HYPERLINK("https://www.xiaohongshu.com/explore/694c99e0000000001f00e958?xsec_token=TBxptwG9J_WafnJLanMiOzJBcoP6xceBzUm8ylc3RpDV8=&amp;xsec_source=pc_trdark","https://www.xiaohongshu.com/explore/694c99e0000000001f00e958?xsec_token=TBxptwG9J_WafnJLanMiOzJBcoP6xceBzUm8ylc3RpDV8=&amp;xsec_source=pc_trdark")</f>
        <v>0.0</v>
      </c>
      <c r="D118" t="inlineStr">
        <is>
          <t>婉婉上班吃什么</t>
        </is>
      </c>
      <c r="E118" t="inlineStr">
        <is>
          <t>11434449706</t>
        </is>
      </c>
      <c r="F118" t="inlineStr">
        <is>
          <t>2025-12-25 09:56:48</t>
        </is>
      </c>
      <c r="G118" t="inlineStr">
        <is>
          <t>图文</t>
        </is>
      </c>
      <c r="H118" t="inlineStr">
        <is>
          <t>生蚝乳山生蚝海蛎子顺丰包邮</t>
        </is>
      </c>
      <c r="I118" t="inlineStr">
        <is>
          <t>690c70971b787900010866cc</t>
        </is>
      </c>
      <c r="J118" t="inlineStr">
        <is>
          <t/>
        </is>
      </c>
      <c r="K118" t="n">
        <v>109.9</v>
      </c>
      <c r="L118" t="n">
        <v>1.0</v>
      </c>
      <c r="M118" t="n">
        <v>2.0</v>
      </c>
      <c r="N118" t="inlineStr">
        <is>
          <t>0.03508771929824561</t>
        </is>
      </c>
      <c r="O118" t="n">
        <v>2.0</v>
      </c>
      <c r="P118" t="n">
        <v>1.0</v>
      </c>
      <c r="Q118" t="n">
        <v>0.5</v>
      </c>
      <c r="R118" t="n">
        <v>0.5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57.0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11.807017543859649</v>
      </c>
      <c r="AL118" t="inlineStr">
        <is>
          <t/>
        </is>
      </c>
    </row>
    <row r="119">
      <c r="A119" t="inlineStr">
        <is>
          <t>刚刚300块，承包了我一个月的减脂餐</t>
        </is>
      </c>
      <c r="B119" t="inlineStr">
        <is>
          <t>6986e48e000000001a0353d7</t>
        </is>
      </c>
      <c r="C119" s="118" t="n">
        <f>HYPERLINK("https://www.xiaohongshu.com/explore/6986e48e000000001a0353d7?xsec_token=TB-LsRJw2UEyjZbU1RZqmjvhWTsaNSbTkIwPYsJhZg3xc=&amp;xsec_source=pc_trdark","https://www.xiaohongshu.com/explore/6986e48e000000001a0353d7?xsec_token=TB-LsRJw2UEyjZbU1RZqmjvhWTsaNSbTkIwPYsJhZg3xc=&amp;xsec_source=pc_trdark")</f>
        <v>0.0</v>
      </c>
      <c r="D119" t="inlineStr">
        <is>
          <t>鲜水湾</t>
        </is>
      </c>
      <c r="E119" t="inlineStr">
        <is>
          <t>49316638994</t>
        </is>
      </c>
      <c r="F119" t="inlineStr">
        <is>
          <t>2026-02-07 15:06:54</t>
        </is>
      </c>
      <c r="G119" t="inlineStr">
        <is>
          <t>图文</t>
        </is>
      </c>
      <c r="H119" t="inlineStr">
        <is>
          <t>智利三文鱼切块·整条三文鱼·深海鱼一人食健康饮食</t>
        </is>
      </c>
      <c r="I119" t="inlineStr">
        <is>
          <t>691ac562a524ee0001b51d7b</t>
        </is>
      </c>
      <c r="J119" t="inlineStr">
        <is>
          <t/>
        </is>
      </c>
      <c r="K119" t="n">
        <v>0.0</v>
      </c>
      <c r="L119" t="n">
        <v>0.0</v>
      </c>
      <c r="M119" t="n">
        <v>14.0</v>
      </c>
      <c r="N119" t="n">
        <v>0.2545454545454545</v>
      </c>
      <c r="O119" t="n">
        <v>8.0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inlineStr">
        <is>
          <t/>
        </is>
      </c>
      <c r="X119" t="n">
        <v>0.0</v>
      </c>
      <c r="Y119" t="n">
        <v>3.0</v>
      </c>
      <c r="Z119" t="n">
        <v>3.0</v>
      </c>
      <c r="AA119" t="n">
        <v>0.0</v>
      </c>
      <c r="AB119" t="n">
        <v>0.0</v>
      </c>
      <c r="AC119" t="n">
        <v>0.0</v>
      </c>
      <c r="AD119" t="n">
        <v>55.0</v>
      </c>
      <c r="AE119" t="n">
        <v>2.0</v>
      </c>
      <c r="AF119" t="n">
        <v>0.0</v>
      </c>
      <c r="AG119" t="n">
        <v>0.0</v>
      </c>
      <c r="AH119" t="n">
        <v>2.0</v>
      </c>
      <c r="AI119" t="n">
        <v>0.0</v>
      </c>
      <c r="AJ119" t="n">
        <v>0.0</v>
      </c>
      <c r="AK119" t="n">
        <v>13.745454545454546</v>
      </c>
      <c r="AL119" t="inlineStr">
        <is>
          <t/>
        </is>
      </c>
    </row>
    <row r="120">
      <c r="A120" t="inlineStr">
        <is>
          <t>抗炎饮食21天！全靠三文鱼救我</t>
        </is>
      </c>
      <c r="B120" t="inlineStr">
        <is>
          <t>69a11f1d000000001a036323</t>
        </is>
      </c>
      <c r="C120" s="119" t="n">
        <f>HYPERLINK("https://www.xiaohongshu.com/explore/69a11f1d000000001a036323?xsec_token=TBk7Tu9foWGIsieMmGc2tlwiI4JtNYKBk0uiNi6UVC5-k=&amp;xsec_source=pc_trdark","https://www.xiaohongshu.com/explore/69a11f1d000000001a036323?xsec_token=TBk7Tu9foWGIsieMmGc2tlwiI4JtNYKBk0uiNi6UVC5-k=&amp;xsec_source=pc_trdark")</f>
        <v>0.0</v>
      </c>
      <c r="D120" t="inlineStr">
        <is>
          <t>鲜水湾</t>
        </is>
      </c>
      <c r="E120" t="inlineStr">
        <is>
          <t>49316638994</t>
        </is>
      </c>
      <c r="F120" t="inlineStr">
        <is>
          <t>2026-02-27 12:35:41</t>
        </is>
      </c>
      <c r="G120" t="inlineStr">
        <is>
          <t>图文</t>
        </is>
      </c>
      <c r="H120" t="inlineStr">
        <is>
          <t>智利三文鱼切块·整条三文鱼·深海鱼一人食健康饮食</t>
        </is>
      </c>
      <c r="I120" t="inlineStr">
        <is>
          <t>691ac562a524ee0001b51d7b</t>
        </is>
      </c>
      <c r="J120" t="inlineStr">
        <is>
          <t/>
        </is>
      </c>
      <c r="K120" t="n">
        <v>0.0</v>
      </c>
      <c r="L120" t="n">
        <v>0.0</v>
      </c>
      <c r="M120" t="n">
        <v>14.0</v>
      </c>
      <c r="N120" t="inlineStr">
        <is>
          <t>0.25925925925925924</t>
        </is>
      </c>
      <c r="O120" t="n">
        <v>10.0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inlineStr">
        <is>
          <t/>
        </is>
      </c>
      <c r="X120" t="n">
        <v>0.0</v>
      </c>
      <c r="Y120" t="n">
        <v>2.0</v>
      </c>
      <c r="Z120" t="n">
        <v>6.0</v>
      </c>
      <c r="AA120" t="n">
        <v>0.0</v>
      </c>
      <c r="AB120" t="n">
        <v>0.0</v>
      </c>
      <c r="AC120" t="n">
        <v>0.0</v>
      </c>
      <c r="AD120" t="n">
        <v>54.0</v>
      </c>
      <c r="AE120" t="n">
        <v>0.0</v>
      </c>
      <c r="AF120" t="n">
        <v>0.0</v>
      </c>
      <c r="AG120" t="n">
        <v>2.0</v>
      </c>
      <c r="AH120" t="n">
        <v>2.0</v>
      </c>
      <c r="AI120" t="n">
        <v>0.0</v>
      </c>
      <c r="AJ120" t="n">
        <v>0.0</v>
      </c>
      <c r="AK120" t="n">
        <v>22.12962962962963</v>
      </c>
      <c r="AL120" t="inlineStr">
        <is>
          <t/>
        </is>
      </c>
    </row>
    <row r="121">
      <c r="A121" t="inlineStr">
        <is>
          <t>不夸张！我家孕妇一直回购的乳山生蚝！巨解馋</t>
        </is>
      </c>
      <c r="B121" t="inlineStr">
        <is>
          <t>699fe81c0000000028023446</t>
        </is>
      </c>
      <c r="C121" s="120" t="n">
        <f>HYPERLINK("https://www.xiaohongshu.com/explore/699fe81c0000000028023446?xsec_token=TBmPrNsEp7sytnt8BzCMtNTeKXCkU6zNrBHiBe3I-p5Nw=&amp;xsec_source=pc_trdark","https://www.xiaohongshu.com/explore/699fe81c0000000028023446?xsec_token=TBmPrNsEp7sytnt8BzCMtNTeKXCkU6zNrBHiBe3I-p5Nw=&amp;xsec_source=pc_trdark")</f>
        <v>0.0</v>
      </c>
      <c r="D121" t="inlineStr">
        <is>
          <t>婉婉上班吃什么</t>
        </is>
      </c>
      <c r="E121" t="inlineStr">
        <is>
          <t>11434449706</t>
        </is>
      </c>
      <c r="F121" t="inlineStr">
        <is>
          <t>2026-02-26 14:28:44</t>
        </is>
      </c>
      <c r="G121" t="inlineStr">
        <is>
          <t>图文</t>
        </is>
      </c>
      <c r="H121" t="inlineStr">
        <is>
          <t>生蚝乳山生蚝海蛎子顺丰包邮</t>
        </is>
      </c>
      <c r="I121" t="inlineStr">
        <is>
          <t>690c70971b787900010866cc</t>
        </is>
      </c>
      <c r="J121" t="inlineStr">
        <is>
          <t/>
        </is>
      </c>
      <c r="K121" t="n">
        <v>0.0</v>
      </c>
      <c r="L121" t="n">
        <v>0.0</v>
      </c>
      <c r="M121" t="n">
        <v>1.0</v>
      </c>
      <c r="N121" t="inlineStr">
        <is>
          <t>0.018518518518518517</t>
        </is>
      </c>
      <c r="O121" t="n">
        <v>1.0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inlineStr">
        <is>
          <t/>
        </is>
      </c>
      <c r="X121" t="n">
        <v>0.0</v>
      </c>
      <c r="Y121" t="n">
        <v>1.0</v>
      </c>
      <c r="Z121" t="n">
        <v>1.0</v>
      </c>
      <c r="AA121" t="n">
        <v>0.0</v>
      </c>
      <c r="AB121" t="n">
        <v>0.0</v>
      </c>
      <c r="AC121" t="n">
        <v>0.0</v>
      </c>
      <c r="AD121" t="n">
        <v>54.0</v>
      </c>
      <c r="AE121" t="n">
        <v>0.0</v>
      </c>
      <c r="AF121" t="n">
        <v>0.0</v>
      </c>
      <c r="AG121" t="n">
        <v>0.0</v>
      </c>
      <c r="AH121" t="n">
        <v>3.0</v>
      </c>
      <c r="AI121" t="n">
        <v>0.0</v>
      </c>
      <c r="AJ121" t="n">
        <v>0.0</v>
      </c>
      <c r="AK121" t="n">
        <v>6.333333333333333</v>
      </c>
      <c r="AL121" t="inlineStr">
        <is>
          <t/>
        </is>
      </c>
    </row>
    <row r="122">
      <c r="A122" t="inlineStr">
        <is>
          <t>办公室同事说我每天吃虾仁减脂很奢侈！</t>
        </is>
      </c>
      <c r="B122" t="inlineStr">
        <is>
          <t>69a25159000000001a01f71b</t>
        </is>
      </c>
      <c r="C122" s="121" t="n">
        <f>HYPERLINK("https://www.xiaohongshu.com/explore/69a25159000000001a01f71b?xsec_token=TBUws-qSGfQm7WfIK5gxFwZ7xVCnym_yvsCHgY-PnK_20=&amp;xsec_source=pc_trdark","https://www.xiaohongshu.com/explore/69a25159000000001a01f71b?xsec_token=TBUws-qSGfQm7WfIK5gxFwZ7xVCnym_yvsCHgY-PnK_20=&amp;xsec_source=pc_trdark")</f>
        <v>0.0</v>
      </c>
      <c r="D122" t="inlineStr">
        <is>
          <t>鲜水湾</t>
        </is>
      </c>
      <c r="E122" t="inlineStr">
        <is>
          <t>49316638994</t>
        </is>
      </c>
      <c r="F122" t="inlineStr">
        <is>
          <t>2026-02-28 10:22:17</t>
        </is>
      </c>
      <c r="G122" t="inlineStr">
        <is>
          <t>图文</t>
        </is>
      </c>
      <c r="H122" t="inlineStr">
        <is>
          <t>手剥虾仁 无冰衣无添加 低脂餐一人食 上班带饭 顺丰包邮 5盒装</t>
        </is>
      </c>
      <c r="I122" t="inlineStr">
        <is>
          <t>694baba01d450d00013662f0</t>
        </is>
      </c>
      <c r="J122" t="inlineStr">
        <is>
          <t/>
        </is>
      </c>
      <c r="K122" t="n">
        <v>0.0</v>
      </c>
      <c r="L122" t="n">
        <v>0.0</v>
      </c>
      <c r="M122" t="n">
        <v>14.0</v>
      </c>
      <c r="N122" t="n">
        <v>0.2692307692307692</v>
      </c>
      <c r="O122" t="n">
        <v>7.0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inlineStr">
        <is>
          <t/>
        </is>
      </c>
      <c r="X122" t="n">
        <v>0.0</v>
      </c>
      <c r="Y122" t="n">
        <v>1.0</v>
      </c>
      <c r="Z122" t="n">
        <v>4.0</v>
      </c>
      <c r="AA122" t="n">
        <v>0.0</v>
      </c>
      <c r="AB122" t="n">
        <v>0.0</v>
      </c>
      <c r="AC122" t="n">
        <v>0.0</v>
      </c>
      <c r="AD122" t="n">
        <v>52.0</v>
      </c>
      <c r="AE122" t="n">
        <v>1.0</v>
      </c>
      <c r="AF122" t="n">
        <v>0.0</v>
      </c>
      <c r="AG122" t="n">
        <v>0.0</v>
      </c>
      <c r="AH122" t="n">
        <v>2.0</v>
      </c>
      <c r="AI122" t="n">
        <v>0.0</v>
      </c>
      <c r="AJ122" t="n">
        <v>0.0</v>
      </c>
      <c r="AK122" t="n">
        <v>8.365384615384615</v>
      </c>
      <c r="AL122" t="inlineStr">
        <is>
          <t/>
        </is>
      </c>
    </row>
    <row r="123">
      <c r="A123" t="inlineStr">
        <is>
          <t>过完年发现，原来大家都有干净饮食的习惯</t>
        </is>
      </c>
      <c r="B123" t="inlineStr">
        <is>
          <t>69a160d6000000002801f58c</t>
        </is>
      </c>
      <c r="C123" s="122" t="n">
        <f>HYPERLINK("https://www.xiaohongshu.com/explore/69a160d6000000002801f58c?xsec_token=TBk7Tu9foWGIsieMmGc2tlwn3IVM8DCpwZscGUlDTO2Mk=&amp;xsec_source=pc_trdark","https://www.xiaohongshu.com/explore/69a160d6000000002801f58c?xsec_token=TBk7Tu9foWGIsieMmGc2tlwn3IVM8DCpwZscGUlDTO2Mk=&amp;xsec_source=pc_trdark")</f>
        <v>0.0</v>
      </c>
      <c r="D123" t="inlineStr">
        <is>
          <t>鲜水湾</t>
        </is>
      </c>
      <c r="E123" t="inlineStr">
        <is>
          <t>49316638994</t>
        </is>
      </c>
      <c r="F123" t="inlineStr">
        <is>
          <t>2026-02-27 17:16:06</t>
        </is>
      </c>
      <c r="G123" t="inlineStr">
        <is>
          <t>图文</t>
        </is>
      </c>
      <c r="H123" t="inlineStr">
        <is>
          <t>手剥虾仁 无冰衣无添加 低脂餐一人食 上班带饭 顺丰包邮 5盒装</t>
        </is>
      </c>
      <c r="I123" t="inlineStr">
        <is>
          <t>694baba01d450d00013662f0</t>
        </is>
      </c>
      <c r="J123" t="inlineStr">
        <is>
          <t/>
        </is>
      </c>
      <c r="K123" t="n">
        <v>0.0</v>
      </c>
      <c r="L123" t="n">
        <v>0.0</v>
      </c>
      <c r="M123" t="n">
        <v>10.0</v>
      </c>
      <c r="N123" t="inlineStr">
        <is>
          <t>0.19230769230769232</t>
        </is>
      </c>
      <c r="O123" t="n">
        <v>8.0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inlineStr">
        <is>
          <t/>
        </is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52.0</v>
      </c>
      <c r="AE123" t="n">
        <v>0.0</v>
      </c>
      <c r="AF123" t="n">
        <v>0.0</v>
      </c>
      <c r="AG123" t="n">
        <v>0.0</v>
      </c>
      <c r="AH123" t="n">
        <v>3.0</v>
      </c>
      <c r="AI123" t="n">
        <v>0.0</v>
      </c>
      <c r="AJ123" t="n">
        <v>0.0</v>
      </c>
      <c r="AK123" t="n">
        <v>10.961538461538462</v>
      </c>
      <c r="AL123" t="inlineStr">
        <is>
          <t/>
        </is>
      </c>
    </row>
    <row r="124">
      <c r="A124" t="inlineStr">
        <is>
          <t>发现现在的年轻人真的低估了100块的购买力…</t>
        </is>
      </c>
      <c r="B124" t="inlineStr">
        <is>
          <t>6985f011000000000d00ae2b</t>
        </is>
      </c>
      <c r="C124" s="123" t="n">
        <f>HYPERLINK("https://www.xiaohongshu.com/explore/6985f011000000000d00ae2b?xsec_token=TB_5RNbIh6A19RWGV21Hy8y86A-uQs1x1bmtf7UdJLUKo=&amp;xsec_source=pc_trdark","https://www.xiaohongshu.com/explore/6985f011000000000d00ae2b?xsec_token=TB_5RNbIh6A19RWGV21Hy8y86A-uQs1x1bmtf7UdJLUKo=&amp;xsec_source=pc_trdark")</f>
        <v>0.0</v>
      </c>
      <c r="D124" t="inlineStr">
        <is>
          <t>鲜水湾</t>
        </is>
      </c>
      <c r="E124" t="inlineStr">
        <is>
          <t>49316638994</t>
        </is>
      </c>
      <c r="F124" t="inlineStr">
        <is>
          <t>2026-02-06 21:43:45</t>
        </is>
      </c>
      <c r="G124" t="inlineStr">
        <is>
          <t>图文</t>
        </is>
      </c>
      <c r="H124" t="inlineStr">
        <is>
          <t>智利三文鱼切块·整条三文鱼·深海鱼一人食健康饮食</t>
        </is>
      </c>
      <c r="I124" t="inlineStr">
        <is>
          <t>691ac562a524ee0001b51d7b</t>
        </is>
      </c>
      <c r="J124" t="inlineStr">
        <is>
          <t/>
        </is>
      </c>
      <c r="K124" t="n">
        <v>0.0</v>
      </c>
      <c r="L124" t="n">
        <v>0.0</v>
      </c>
      <c r="M124" t="n">
        <v>17.0</v>
      </c>
      <c r="N124" t="n">
        <v>0.3333333333333333</v>
      </c>
      <c r="O124" t="n">
        <v>13.0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inlineStr">
        <is>
          <t/>
        </is>
      </c>
      <c r="X124" t="n">
        <v>0.0</v>
      </c>
      <c r="Y124" t="n">
        <v>1.0</v>
      </c>
      <c r="Z124" t="n">
        <v>8.0</v>
      </c>
      <c r="AA124" t="n">
        <v>0.0</v>
      </c>
      <c r="AB124" t="n">
        <v>0.0</v>
      </c>
      <c r="AC124" t="n">
        <v>0.0</v>
      </c>
      <c r="AD124" t="n">
        <v>51.0</v>
      </c>
      <c r="AE124" t="n">
        <v>1.0</v>
      </c>
      <c r="AF124" t="n">
        <v>0.0</v>
      </c>
      <c r="AG124" t="n">
        <v>0.0</v>
      </c>
      <c r="AH124" t="n">
        <v>2.0</v>
      </c>
      <c r="AI124" t="n">
        <v>0.0</v>
      </c>
      <c r="AJ124" t="n">
        <v>0.0</v>
      </c>
      <c r="AK124" t="n">
        <v>15.176470588235293</v>
      </c>
      <c r="AL124" t="inlineStr">
        <is>
          <t/>
        </is>
      </c>
    </row>
    <row r="125">
      <c r="A125" t="inlineStr">
        <is>
          <t>69💰3斤还发顺丰！很难不买单</t>
        </is>
      </c>
      <c r="B125" t="inlineStr">
        <is>
          <t>697817a7000000000d0088a5</t>
        </is>
      </c>
      <c r="C125" s="124" t="n">
        <f>HYPERLINK("https://www.xiaohongshu.com/explore/697817a7000000000d0088a5?xsec_token=TB4uixe4FoDg0vEpIlbspmijOtEZY7JMlMJAU-i5IDNE0=&amp;xsec_source=pc_trdark","https://www.xiaohongshu.com/explore/697817a7000000000d0088a5?xsec_token=TB4uixe4FoDg0vEpIlbspmijOtEZY7JMlMJAU-i5IDNE0=&amp;xsec_source=pc_trdark")</f>
        <v>0.0</v>
      </c>
      <c r="D125" t="inlineStr">
        <is>
          <t>鲜水湾</t>
        </is>
      </c>
      <c r="E125" t="inlineStr">
        <is>
          <t>49316638994</t>
        </is>
      </c>
      <c r="F125" t="inlineStr">
        <is>
          <t>2026-01-27 09:40:55</t>
        </is>
      </c>
      <c r="G125" t="inlineStr">
        <is>
          <t>图文</t>
        </is>
      </c>
      <c r="H125" t="inlineStr">
        <is>
          <t>大虾基围虾王牌大虾厄瓜多尔白虾盐冻虾仁海洋大虾送礼顺丰包邮</t>
        </is>
      </c>
      <c r="I125" t="inlineStr">
        <is>
          <t>690aeb7be379430001e686ac</t>
        </is>
      </c>
      <c r="J125" t="inlineStr">
        <is>
          <t/>
        </is>
      </c>
      <c r="K125" t="n">
        <v>0.0</v>
      </c>
      <c r="L125" t="n">
        <v>0.0</v>
      </c>
      <c r="M125" t="n">
        <v>13.0</v>
      </c>
      <c r="N125" t="n">
        <v>0.2549019607843137</v>
      </c>
      <c r="O125" t="n">
        <v>12.0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inlineStr">
        <is>
          <t/>
        </is>
      </c>
      <c r="X125" t="n">
        <v>0.0</v>
      </c>
      <c r="Y125" t="n">
        <v>2.0</v>
      </c>
      <c r="Z125" t="n">
        <v>0.0</v>
      </c>
      <c r="AA125" t="n">
        <v>0.0</v>
      </c>
      <c r="AB125" t="n">
        <v>0.0</v>
      </c>
      <c r="AC125" t="n">
        <v>0.0</v>
      </c>
      <c r="AD125" t="n">
        <v>51.0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7.078431372549019</v>
      </c>
      <c r="AL125" t="inlineStr">
        <is>
          <t/>
        </is>
      </c>
    </row>
    <row r="126">
      <c r="A126" t="inlineStr">
        <is>
          <t>控体期提前结束！大功臣是海捕大虾！🎉</t>
        </is>
      </c>
      <c r="B126" t="inlineStr">
        <is>
          <t>699fb39f0000000028020ca2</t>
        </is>
      </c>
      <c r="C126" s="125" t="n">
        <f>HYPERLINK("https://www.xiaohongshu.com/explore/699fb39f0000000028020ca2?xsec_token=TBmPrNsEp7sytnt8BzCMtNTSep4pxexPclThTgCS17reI=&amp;xsec_source=pc_trdark","https://www.xiaohongshu.com/explore/699fb39f0000000028020ca2?xsec_token=TBmPrNsEp7sytnt8BzCMtNTSep4pxexPclThTgCS17reI=&amp;xsec_source=pc_trdark")</f>
        <v>0.0</v>
      </c>
      <c r="D126" t="inlineStr">
        <is>
          <t>鲜水湾</t>
        </is>
      </c>
      <c r="E126" t="inlineStr">
        <is>
          <t>49316638994</t>
        </is>
      </c>
      <c r="F126" t="inlineStr">
        <is>
          <t>2026-02-26 10:44:47</t>
        </is>
      </c>
      <c r="G126" t="inlineStr">
        <is>
          <t>图文</t>
        </is>
      </c>
      <c r="H126" t="inlineStr">
        <is>
          <t>大虾基围虾王牌大虾厄瓜多尔白虾盐冻虾仁海洋大虾送礼顺丰包邮</t>
        </is>
      </c>
      <c r="I126" t="inlineStr">
        <is>
          <t>690aeb7be379430001e686ac</t>
        </is>
      </c>
      <c r="J126" t="inlineStr">
        <is>
          <t/>
        </is>
      </c>
      <c r="K126" t="n">
        <v>0.0</v>
      </c>
      <c r="L126" t="n">
        <v>0.0</v>
      </c>
      <c r="M126" t="n">
        <v>9.0</v>
      </c>
      <c r="N126" t="n">
        <v>0.18</v>
      </c>
      <c r="O126" t="n">
        <v>8.0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inlineStr">
        <is>
          <t/>
        </is>
      </c>
      <c r="X126" t="n">
        <v>0.0</v>
      </c>
      <c r="Y126" t="n">
        <v>1.0</v>
      </c>
      <c r="Z126" t="n">
        <v>1.0</v>
      </c>
      <c r="AA126" t="n">
        <v>0.0</v>
      </c>
      <c r="AB126" t="n">
        <v>0.0</v>
      </c>
      <c r="AC126" t="n">
        <v>0.0</v>
      </c>
      <c r="AD126" t="n">
        <v>50.0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7.42</v>
      </c>
      <c r="AL126" t="inlineStr">
        <is>
          <t/>
        </is>
      </c>
    </row>
    <row r="127">
      <c r="A127" t="inlineStr">
        <is>
          <t>山东朋友推荐的，好好吃🥺忍不住……</t>
        </is>
      </c>
      <c r="B127" t="inlineStr">
        <is>
          <t>693f7f41000000001e026e27</t>
        </is>
      </c>
      <c r="C127" s="126" t="n">
        <f>HYPERLINK("https://www.xiaohongshu.com/explore/693f7f41000000001e026e27?xsec_token=TB1R2yju8ccr97WVPo1goJUOYgkTPvu0HR9X0r4UiwnvA=&amp;xsec_source=pc_trdark","https://www.xiaohongshu.com/explore/693f7f41000000001e026e27?xsec_token=TB1R2yju8ccr97WVPo1goJUOYgkTPvu0HR9X0r4UiwnvA=&amp;xsec_source=pc_trdark")</f>
        <v>0.0</v>
      </c>
      <c r="D127" t="inlineStr">
        <is>
          <t>鲜水湾</t>
        </is>
      </c>
      <c r="E127" t="inlineStr">
        <is>
          <t>49316638994</t>
        </is>
      </c>
      <c r="F127" t="inlineStr">
        <is>
          <t>2025-12-15 11:23:45</t>
        </is>
      </c>
      <c r="G127" t="inlineStr">
        <is>
          <t>图文</t>
        </is>
      </c>
      <c r="H127" t="inlineStr">
        <is>
          <t>生蚝乳山生蚝海蛎子顺丰包邮</t>
        </is>
      </c>
      <c r="I127" t="inlineStr">
        <is>
          <t>690c70971b787900010866cc</t>
        </is>
      </c>
      <c r="J127" t="inlineStr">
        <is>
          <t/>
        </is>
      </c>
      <c r="K127" t="n">
        <v>0.0</v>
      </c>
      <c r="L127" t="n">
        <v>0.0</v>
      </c>
      <c r="M127" t="n">
        <v>3.0</v>
      </c>
      <c r="N127" t="inlineStr">
        <is>
          <t>0.061224489795918366</t>
        </is>
      </c>
      <c r="O127" t="n">
        <v>3.0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inlineStr">
        <is>
          <t/>
        </is>
      </c>
      <c r="X127" t="n">
        <v>0.0</v>
      </c>
      <c r="Y127" t="n">
        <v>0.0</v>
      </c>
      <c r="Z127" t="n">
        <v>1.0</v>
      </c>
      <c r="AA127" t="n">
        <v>0.0</v>
      </c>
      <c r="AB127" t="n">
        <v>0.0</v>
      </c>
      <c r="AC127" t="n">
        <v>0.0</v>
      </c>
      <c r="AD127" t="n">
        <v>49.0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13.83673469387755</v>
      </c>
      <c r="AL127" t="inlineStr">
        <is>
          <t/>
        </is>
      </c>
    </row>
    <row r="128">
      <c r="A128" t="inlineStr">
        <is>
          <t>年后，打工人带饭！</t>
        </is>
      </c>
      <c r="B128" t="inlineStr">
        <is>
          <t>69a0ffd8000000001a032e1b</t>
        </is>
      </c>
      <c r="C128" s="127" t="n">
        <f>HYPERLINK("https://www.xiaohongshu.com/explore/69a0ffd8000000001a032e1b?xsec_token=TBGIgfrKGy2wDtxaQW-J26Ge221lUHCIC8B3V6DnDx7fE=&amp;xsec_source=pc_trdark","https://www.xiaohongshu.com/explore/69a0ffd8000000001a032e1b?xsec_token=TBGIgfrKGy2wDtxaQW-J26Ge221lUHCIC8B3V6DnDx7fE=&amp;xsec_source=pc_trdark")</f>
        <v>0.0</v>
      </c>
      <c r="D128" t="inlineStr">
        <is>
          <t>鲜水湾</t>
        </is>
      </c>
      <c r="E128" t="inlineStr">
        <is>
          <t>49316638994</t>
        </is>
      </c>
      <c r="F128" t="inlineStr">
        <is>
          <t>2026-02-27 10:22:16</t>
        </is>
      </c>
      <c r="G128" t="inlineStr">
        <is>
          <t>图文</t>
        </is>
      </c>
      <c r="H128" t="inlineStr">
        <is>
          <t>智利三文鱼切块·整条三文鱼·深海鱼一人食健康饮食</t>
        </is>
      </c>
      <c r="I128" t="inlineStr">
        <is>
          <t>691ac562a524ee0001b51d7b</t>
        </is>
      </c>
      <c r="J128" t="inlineStr">
        <is>
          <t/>
        </is>
      </c>
      <c r="K128" t="n">
        <v>0.0</v>
      </c>
      <c r="L128" t="n">
        <v>0.0</v>
      </c>
      <c r="M128" t="n">
        <v>3.0</v>
      </c>
      <c r="N128" t="n">
        <v>0.0625</v>
      </c>
      <c r="O128" t="n">
        <v>3.0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inlineStr">
        <is>
          <t/>
        </is>
      </c>
      <c r="X128" t="n">
        <v>0.0</v>
      </c>
      <c r="Y128" t="n">
        <v>1.0</v>
      </c>
      <c r="Z128" t="n">
        <v>4.0</v>
      </c>
      <c r="AA128" t="n">
        <v>0.0</v>
      </c>
      <c r="AB128" t="n">
        <v>0.0</v>
      </c>
      <c r="AC128" t="n">
        <v>0.0</v>
      </c>
      <c r="AD128" t="n">
        <v>48.0</v>
      </c>
      <c r="AE128" t="n">
        <v>0.0</v>
      </c>
      <c r="AF128" t="n">
        <v>0.0</v>
      </c>
      <c r="AG128" t="n">
        <v>0.0</v>
      </c>
      <c r="AH128" t="n">
        <v>1.0</v>
      </c>
      <c r="AI128" t="n">
        <v>0.0</v>
      </c>
      <c r="AJ128" t="n">
        <v>0.0</v>
      </c>
      <c r="AK128" t="n">
        <v>14.229166666666666</v>
      </c>
      <c r="AL128" t="inlineStr">
        <is>
          <t/>
        </is>
      </c>
    </row>
    <row r="129">
      <c r="A129" t="inlineStr">
        <is>
          <t>我的食欲稳定两件套：</t>
        </is>
      </c>
      <c r="B129" t="inlineStr">
        <is>
          <t>699eed440000000028022ad0</t>
        </is>
      </c>
      <c r="C129" s="128" t="n">
        <f>HYPERLINK("https://www.xiaohongshu.com/explore/699eed440000000028022ad0?xsec_token=TBggKgSP0tIUAtqBAPfP3mLRnR-ofEUadYG6kjNx4-7bA=&amp;xsec_source=pc_trdark","https://www.xiaohongshu.com/explore/699eed440000000028022ad0?xsec_token=TBggKgSP0tIUAtqBAPfP3mLRnR-ofEUadYG6kjNx4-7bA=&amp;xsec_source=pc_trdark")</f>
        <v>0.0</v>
      </c>
      <c r="D129" t="inlineStr">
        <is>
          <t>鲜水湾</t>
        </is>
      </c>
      <c r="E129" t="inlineStr">
        <is>
          <t>49316638994</t>
        </is>
      </c>
      <c r="F129" t="inlineStr">
        <is>
          <t>2026-02-25 20:38:28</t>
        </is>
      </c>
      <c r="G129" t="inlineStr">
        <is>
          <t>图文</t>
        </is>
      </c>
      <c r="H129" t="inlineStr">
        <is>
          <t>智利三文鱼切块·整条三文鱼·深海鱼一人食健康饮食</t>
        </is>
      </c>
      <c r="I129" t="inlineStr">
        <is>
          <t>691ac562a524ee0001b51d7b</t>
        </is>
      </c>
      <c r="J129" t="inlineStr">
        <is>
          <t/>
        </is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inlineStr">
        <is>
          <t/>
        </is>
      </c>
      <c r="R129" t="inlineStr">
        <is>
          <t/>
        </is>
      </c>
      <c r="S129" t="n">
        <v>0.0</v>
      </c>
      <c r="T129" t="n">
        <v>0.0</v>
      </c>
      <c r="U129" t="n">
        <v>0.0</v>
      </c>
      <c r="V129" t="n">
        <v>0.0</v>
      </c>
      <c r="W129" t="inlineStr">
        <is>
          <t/>
        </is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48.0</v>
      </c>
      <c r="AE129" t="n">
        <v>1.0</v>
      </c>
      <c r="AF129" t="n">
        <v>0.0</v>
      </c>
      <c r="AG129" t="n">
        <v>0.0</v>
      </c>
      <c r="AH129" t="n">
        <v>2.0</v>
      </c>
      <c r="AI129" t="n">
        <v>0.0</v>
      </c>
      <c r="AJ129" t="n">
        <v>0.0</v>
      </c>
      <c r="AK129" t="n">
        <v>5.5</v>
      </c>
      <c r="AL129" t="inlineStr">
        <is>
          <t/>
        </is>
      </c>
    </row>
    <row r="130">
      <c r="A130" t="inlineStr">
        <is>
          <t>这么大的生蚝你能吃几只？</t>
        </is>
      </c>
      <c r="B130" t="inlineStr">
        <is>
          <t>6925cf4b000000001e03bc4d</t>
        </is>
      </c>
      <c r="C130" s="129" t="n">
        <f>HYPERLINK("https://www.xiaohongshu.com/explore/6925cf4b000000001e03bc4d?xsec_token=TBVx22ZAFho_bBgysCIliGP2k3jP77PzJI8Ic3cm6L0jk=&amp;xsec_source=pc_trdark","https://www.xiaohongshu.com/explore/6925cf4b000000001e03bc4d?xsec_token=TBVx22ZAFho_bBgysCIliGP2k3jP77PzJI8Ic3cm6L0jk=&amp;xsec_source=pc_trdark")</f>
        <v>0.0</v>
      </c>
      <c r="D130" t="inlineStr">
        <is>
          <t>婉婉上班吃什么</t>
        </is>
      </c>
      <c r="E130" t="inlineStr">
        <is>
          <t>11434449706</t>
        </is>
      </c>
      <c r="F130" t="inlineStr">
        <is>
          <t>2025-11-25 23:46:19</t>
        </is>
      </c>
      <c r="G130" t="inlineStr">
        <is>
          <t>视频</t>
        </is>
      </c>
      <c r="H130" t="inlineStr">
        <is>
          <t>生蚝乳山生蚝海蛎子顺丰包邮</t>
        </is>
      </c>
      <c r="I130" t="inlineStr">
        <is>
          <t>690c70971b787900010866cc</t>
        </is>
      </c>
      <c r="J130" t="n">
        <v>16.0</v>
      </c>
      <c r="K130" t="n">
        <v>0.0</v>
      </c>
      <c r="L130" t="n">
        <v>0.0</v>
      </c>
      <c r="M130" t="n">
        <v>1.0</v>
      </c>
      <c r="N130" t="inlineStr">
        <is>
          <t>0.02127659574468085</t>
        </is>
      </c>
      <c r="O130" t="n">
        <v>1.0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inlineStr">
        <is>
          <t/>
        </is>
      </c>
      <c r="X130" t="n">
        <v>0.0</v>
      </c>
      <c r="Y130" t="n">
        <v>1.0</v>
      </c>
      <c r="Z130" t="n">
        <v>0.0</v>
      </c>
      <c r="AA130" t="n">
        <v>0.0</v>
      </c>
      <c r="AB130" t="n">
        <v>0.0</v>
      </c>
      <c r="AC130" t="n">
        <v>0.0</v>
      </c>
      <c r="AD130" t="n">
        <v>47.0</v>
      </c>
      <c r="AE130" t="n">
        <v>1.0</v>
      </c>
      <c r="AF130" t="n">
        <v>1.0</v>
      </c>
      <c r="AG130" t="n">
        <v>0.0</v>
      </c>
      <c r="AH130" t="n">
        <v>0.0</v>
      </c>
      <c r="AI130" t="n">
        <v>0.0</v>
      </c>
      <c r="AJ130" t="n">
        <v>0.0</v>
      </c>
      <c r="AK130" t="n">
        <v>12.48936170212766</v>
      </c>
      <c r="AL130" t="inlineStr">
        <is>
          <t>0.37662337662337664</t>
        </is>
      </c>
    </row>
    <row r="131">
      <c r="A131" t="inlineStr">
        <is>
          <t>感谢小红书🙏承包了我一个月的晚餐</t>
        </is>
      </c>
      <c r="B131" t="inlineStr">
        <is>
          <t>69845ee6000000001a027068</t>
        </is>
      </c>
      <c r="C131" s="130" t="n">
        <f>HYPERLINK("https://www.xiaohongshu.com/explore/69845ee6000000001a027068?xsec_token=TBn0ftdrPlwv37Gn1tDFpAI-J3MboTIyrLiUdYe3CfnoM=&amp;xsec_source=pc_trdark","https://www.xiaohongshu.com/explore/69845ee6000000001a027068?xsec_token=TBn0ftdrPlwv37Gn1tDFpAI-J3MboTIyrLiUdYe3CfnoM=&amp;xsec_source=pc_trdark")</f>
        <v>0.0</v>
      </c>
      <c r="D131" t="inlineStr">
        <is>
          <t>鲜水湾</t>
        </is>
      </c>
      <c r="E131" t="inlineStr">
        <is>
          <t>49316638994</t>
        </is>
      </c>
      <c r="F131" t="inlineStr">
        <is>
          <t>2026-02-05 17:12:06</t>
        </is>
      </c>
      <c r="G131" t="inlineStr">
        <is>
          <t>图文</t>
        </is>
      </c>
      <c r="H131" t="inlineStr">
        <is>
          <t>智利三文鱼切块·整条三文鱼·深海鱼一人食健康饮食</t>
        </is>
      </c>
      <c r="I131" t="inlineStr">
        <is>
          <t>691ac562a524ee0001b51d7b</t>
        </is>
      </c>
      <c r="J131" t="inlineStr">
        <is>
          <t/>
        </is>
      </c>
      <c r="K131" t="n">
        <v>0.0</v>
      </c>
      <c r="L131" t="n">
        <v>0.0</v>
      </c>
      <c r="M131" t="n">
        <v>5.0</v>
      </c>
      <c r="N131" t="inlineStr">
        <is>
          <t>0.11627906976744186</t>
        </is>
      </c>
      <c r="O131" t="n">
        <v>5.0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inlineStr">
        <is>
          <t/>
        </is>
      </c>
      <c r="X131" t="n">
        <v>0.0</v>
      </c>
      <c r="Y131" t="n">
        <v>1.0</v>
      </c>
      <c r="Z131" t="n">
        <v>0.0</v>
      </c>
      <c r="AA131" t="n">
        <v>0.0</v>
      </c>
      <c r="AB131" t="n">
        <v>0.0</v>
      </c>
      <c r="AC131" t="n">
        <v>0.0</v>
      </c>
      <c r="AD131" t="n">
        <v>43.0</v>
      </c>
      <c r="AE131" t="n">
        <v>1.0</v>
      </c>
      <c r="AF131" t="n">
        <v>0.0</v>
      </c>
      <c r="AG131" t="n">
        <v>0.0</v>
      </c>
      <c r="AH131" t="n">
        <v>3.0</v>
      </c>
      <c r="AI131" t="n">
        <v>0.0</v>
      </c>
      <c r="AJ131" t="n">
        <v>0.0</v>
      </c>
      <c r="AK131" t="n">
        <v>13.232558139534884</v>
      </c>
      <c r="AL131" t="inlineStr">
        <is>
          <t/>
        </is>
      </c>
    </row>
    <row r="132">
      <c r="A132" t="inlineStr">
        <is>
          <t>终于找到性价比天花板！这三文鱼比⛰️姆划算</t>
        </is>
      </c>
      <c r="B132" t="inlineStr">
        <is>
          <t>69770c77000000001a01cb2f</t>
        </is>
      </c>
      <c r="C132" s="131" t="n">
        <f>HYPERLINK("https://www.xiaohongshu.com/explore/69770c77000000001a01cb2f?xsec_token=TBZa2Y5La6UySpk4oKPt7hfxYzxcd8zC6ovj4vxPHsmAg=&amp;xsec_source=pc_trdark","https://www.xiaohongshu.com/explore/69770c77000000001a01cb2f?xsec_token=TBZa2Y5La6UySpk4oKPt7hfxYzxcd8zC6ovj4vxPHsmAg=&amp;xsec_source=pc_trdark")</f>
        <v>0.0</v>
      </c>
      <c r="D132" t="inlineStr">
        <is>
          <t>鲜水湾</t>
        </is>
      </c>
      <c r="E132" t="inlineStr">
        <is>
          <t>49316638994</t>
        </is>
      </c>
      <c r="F132" t="inlineStr">
        <is>
          <t>2026-01-26 14:40:55</t>
        </is>
      </c>
      <c r="G132" t="inlineStr">
        <is>
          <t>图文</t>
        </is>
      </c>
      <c r="H132" t="inlineStr">
        <is>
          <t>智利三文鱼切块·整条三文鱼·深海鱼一人食健康饮食</t>
        </is>
      </c>
      <c r="I132" t="inlineStr">
        <is>
          <t>691ac562a524ee0001b51d7b</t>
        </is>
      </c>
      <c r="J132" t="inlineStr">
        <is>
          <t/>
        </is>
      </c>
      <c r="K132" t="n">
        <v>0.0</v>
      </c>
      <c r="L132" t="n">
        <v>0.0</v>
      </c>
      <c r="M132" t="n">
        <v>6.0</v>
      </c>
      <c r="N132" t="inlineStr">
        <is>
          <t>0.13953488372093023</t>
        </is>
      </c>
      <c r="O132" t="n">
        <v>6.0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inlineStr">
        <is>
          <t/>
        </is>
      </c>
      <c r="X132" t="n">
        <v>0.0</v>
      </c>
      <c r="Y132" t="n">
        <v>1.0</v>
      </c>
      <c r="Z132" t="n">
        <v>2.0</v>
      </c>
      <c r="AA132" t="n">
        <v>0.0</v>
      </c>
      <c r="AB132" t="n">
        <v>0.0</v>
      </c>
      <c r="AC132" t="n">
        <v>0.0</v>
      </c>
      <c r="AD132" t="n">
        <v>43.0</v>
      </c>
      <c r="AE132" t="n">
        <v>0.0</v>
      </c>
      <c r="AF132" t="n">
        <v>1.0</v>
      </c>
      <c r="AG132" t="n">
        <v>0.0</v>
      </c>
      <c r="AH132" t="n">
        <v>0.0</v>
      </c>
      <c r="AI132" t="n">
        <v>0.0</v>
      </c>
      <c r="AJ132" t="n">
        <v>0.0</v>
      </c>
      <c r="AK132" t="n">
        <v>7.744186046511628</v>
      </c>
      <c r="AL132" t="inlineStr">
        <is>
          <t/>
        </is>
      </c>
    </row>
    <row r="133">
      <c r="A133" t="inlineStr">
        <is>
          <t>爸妈总说我天天吃虾仁太奢侈</t>
        </is>
      </c>
      <c r="B133" t="inlineStr">
        <is>
          <t>69a1874b000000001a02fb68</t>
        </is>
      </c>
      <c r="C133" s="132" t="n">
        <f>HYPERLINK("https://www.xiaohongshu.com/explore/69a1874b000000001a02fb68?xsec_token=TBk7Tu9foWGIsieMmGc2tlwnc7IeAhOdINS519yk2z4JA=&amp;xsec_source=pc_trdark","https://www.xiaohongshu.com/explore/69a1874b000000001a02fb68?xsec_token=TBk7Tu9foWGIsieMmGc2tlwnc7IeAhOdINS519yk2z4JA=&amp;xsec_source=pc_trdark")</f>
        <v>0.0</v>
      </c>
      <c r="D133" t="inlineStr">
        <is>
          <t>鲜水湾</t>
        </is>
      </c>
      <c r="E133" t="inlineStr">
        <is>
          <t>49316638994</t>
        </is>
      </c>
      <c r="F133" t="inlineStr">
        <is>
          <t>2026-02-27 20:00:11</t>
        </is>
      </c>
      <c r="G133" t="inlineStr">
        <is>
          <t>图文</t>
        </is>
      </c>
      <c r="H133" t="inlineStr">
        <is>
          <t>手剥虾仁 无冰衣无添加 低脂餐一人食 上班带饭 顺丰包邮 5盒装</t>
        </is>
      </c>
      <c r="I133" t="inlineStr">
        <is>
          <t>694baba01d450d00013662f0</t>
        </is>
      </c>
      <c r="J133" t="inlineStr">
        <is>
          <t/>
        </is>
      </c>
      <c r="K133" t="n">
        <v>98.0</v>
      </c>
      <c r="L133" t="n">
        <v>1.0</v>
      </c>
      <c r="M133" t="n">
        <v>12.0</v>
      </c>
      <c r="N133" t="n">
        <v>0.2857142857142857</v>
      </c>
      <c r="O133" t="n">
        <v>10.0</v>
      </c>
      <c r="P133" t="n">
        <v>1.0</v>
      </c>
      <c r="Q133" t="inlineStr">
        <is>
          <t>0.08333333333333333</t>
        </is>
      </c>
      <c r="R133" t="n">
        <v>0.1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1.0</v>
      </c>
      <c r="Z133" t="n">
        <v>0.0</v>
      </c>
      <c r="AA133" t="n">
        <v>0.0</v>
      </c>
      <c r="AB133" t="n">
        <v>0.0</v>
      </c>
      <c r="AC133" t="n">
        <v>0.0</v>
      </c>
      <c r="AD133" t="n">
        <v>42.0</v>
      </c>
      <c r="AE133" t="n">
        <v>1.0</v>
      </c>
      <c r="AF133" t="n">
        <v>0.0</v>
      </c>
      <c r="AG133" t="n">
        <v>0.0</v>
      </c>
      <c r="AH133" t="n">
        <v>2.0</v>
      </c>
      <c r="AI133" t="n">
        <v>0.0</v>
      </c>
      <c r="AJ133" t="n">
        <v>0.0</v>
      </c>
      <c r="AK133" t="n">
        <v>10.785714285714286</v>
      </c>
      <c r="AL133" t="inlineStr">
        <is>
          <t/>
        </is>
      </c>
    </row>
    <row r="134">
      <c r="A134" t="inlineStr">
        <is>
          <t>算了不劝了！300多顺丰包邮最后1天</t>
        </is>
      </c>
      <c r="B134" t="inlineStr">
        <is>
          <t>698d82ab000000000e03ffb3</t>
        </is>
      </c>
      <c r="C134" s="133" t="n">
        <f>HYPERLINK("https://www.xiaohongshu.com/explore/698d82ab000000000e03ffb3?xsec_token=TBihogQ8oj4MEfZiNNItL7aunsPzH7zs2VUKlzsN5FC3k=&amp;xsec_source=pc_trdark","https://www.xiaohongshu.com/explore/698d82ab000000000e03ffb3?xsec_token=TBihogQ8oj4MEfZiNNItL7aunsPzH7zs2VUKlzsN5FC3k=&amp;xsec_source=pc_trdark")</f>
        <v>0.0</v>
      </c>
      <c r="D134" t="inlineStr">
        <is>
          <t>鲜水湾</t>
        </is>
      </c>
      <c r="E134" t="inlineStr">
        <is>
          <t>49316638994</t>
        </is>
      </c>
      <c r="F134" t="inlineStr">
        <is>
          <t>2026-02-12 15:35:07</t>
        </is>
      </c>
      <c r="G134" t="inlineStr">
        <is>
          <t>图文</t>
        </is>
      </c>
      <c r="H134" t="inlineStr">
        <is>
          <t>智利三文鱼切块·整条三文鱼·深海鱼一人食健康饮食</t>
        </is>
      </c>
      <c r="I134" t="inlineStr">
        <is>
          <t>691ac562a524ee0001b51d7b</t>
        </is>
      </c>
      <c r="J134" t="inlineStr">
        <is>
          <t/>
        </is>
      </c>
      <c r="K134" t="n">
        <v>348.0</v>
      </c>
      <c r="L134" t="n">
        <v>1.0</v>
      </c>
      <c r="M134" t="n">
        <v>18.0</v>
      </c>
      <c r="N134" t="inlineStr">
        <is>
          <t>0.42857142857142855</t>
        </is>
      </c>
      <c r="O134" t="n">
        <v>15.0</v>
      </c>
      <c r="P134" t="n">
        <v>1.0</v>
      </c>
      <c r="Q134" t="inlineStr">
        <is>
          <t>0.05555555555555555</t>
        </is>
      </c>
      <c r="R134" t="inlineStr">
        <is>
          <t>0.06666666666666667</t>
        </is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3.0</v>
      </c>
      <c r="Z134" t="n">
        <v>3.0</v>
      </c>
      <c r="AA134" t="n">
        <v>0.0</v>
      </c>
      <c r="AB134" t="n">
        <v>0.0</v>
      </c>
      <c r="AC134" t="n">
        <v>0.0</v>
      </c>
      <c r="AD134" t="n">
        <v>42.0</v>
      </c>
      <c r="AE134" t="n">
        <v>0.0</v>
      </c>
      <c r="AF134" t="n">
        <v>0.0</v>
      </c>
      <c r="AG134" t="n">
        <v>0.0</v>
      </c>
      <c r="AH134" t="n">
        <v>2.0</v>
      </c>
      <c r="AI134" t="n">
        <v>1.0</v>
      </c>
      <c r="AJ134" t="n">
        <v>0.0</v>
      </c>
      <c r="AK134" t="n">
        <v>14.785714285714286</v>
      </c>
      <c r="AL134" t="inlineStr">
        <is>
          <t/>
        </is>
      </c>
    </row>
    <row r="135">
      <c r="A135" t="inlineStr">
        <is>
          <t>放纵餐吃完了，年后控体还得吃虾！</t>
        </is>
      </c>
      <c r="B135" t="inlineStr">
        <is>
          <t>699fc28e000000002801c457</t>
        </is>
      </c>
      <c r="C135" s="134" t="n">
        <f>HYPERLINK("https://www.xiaohongshu.com/explore/699fc28e000000002801c457?xsec_token=TBmPrNsEp7sytnt8BzCMtNTbhRQxZ0arfNH5r-oLOLs1c=&amp;xsec_source=pc_trdark","https://www.xiaohongshu.com/explore/699fc28e000000002801c457?xsec_token=TBmPrNsEp7sytnt8BzCMtNTbhRQxZ0arfNH5r-oLOLs1c=&amp;xsec_source=pc_trdark")</f>
        <v>0.0</v>
      </c>
      <c r="D135" t="inlineStr">
        <is>
          <t>鲜水湾</t>
        </is>
      </c>
      <c r="E135" t="inlineStr">
        <is>
          <t>49316638994</t>
        </is>
      </c>
      <c r="F135" t="inlineStr">
        <is>
          <t>2026-02-26 11:48:30</t>
        </is>
      </c>
      <c r="G135" t="inlineStr">
        <is>
          <t>图文</t>
        </is>
      </c>
      <c r="H135" t="inlineStr">
        <is>
          <t>手剥虾仁 无冰衣无添加 低脂餐一人食 上班带饭 顺丰包邮 5盒装</t>
        </is>
      </c>
      <c r="I135" t="inlineStr">
        <is>
          <t>694baba01d450d00013662f0</t>
        </is>
      </c>
      <c r="J135" t="inlineStr">
        <is>
          <t/>
        </is>
      </c>
      <c r="K135" t="n">
        <v>0.0</v>
      </c>
      <c r="L135" t="n">
        <v>0.0</v>
      </c>
      <c r="M135" t="n">
        <v>1.0</v>
      </c>
      <c r="N135" t="inlineStr">
        <is>
          <t>0.02631578947368421</t>
        </is>
      </c>
      <c r="O135" t="n">
        <v>1.0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inlineStr">
        <is>
          <t/>
        </is>
      </c>
      <c r="X135" t="n">
        <v>0.0</v>
      </c>
      <c r="Y135" t="n">
        <v>1.0</v>
      </c>
      <c r="Z135" t="n">
        <v>0.0</v>
      </c>
      <c r="AA135" t="n">
        <v>0.0</v>
      </c>
      <c r="AB135" t="n">
        <v>0.0</v>
      </c>
      <c r="AC135" t="n">
        <v>0.0</v>
      </c>
      <c r="AD135" t="n">
        <v>38.0</v>
      </c>
      <c r="AE135" t="n">
        <v>2.0</v>
      </c>
      <c r="AF135" t="n">
        <v>0.0</v>
      </c>
      <c r="AG135" t="n">
        <v>0.0</v>
      </c>
      <c r="AH135" t="n">
        <v>2.0</v>
      </c>
      <c r="AI135" t="n">
        <v>0.0</v>
      </c>
      <c r="AJ135" t="n">
        <v>0.0</v>
      </c>
      <c r="AK135" t="n">
        <v>6.631578947368421</v>
      </c>
      <c r="AL135" t="inlineStr">
        <is>
          <t/>
        </is>
      </c>
    </row>
    <row r="136">
      <c r="A136" t="inlineStr">
        <is>
          <t>初九开始还债了</t>
        </is>
      </c>
      <c r="B136" t="inlineStr">
        <is>
          <t>699e752d000000002203985a</t>
        </is>
      </c>
      <c r="C136" s="135" t="n">
        <f>HYPERLINK("https://www.xiaohongshu.com/explore/699e752d000000002203985a?xsec_token=TBggKgSP0tIUAtqBAPfP3mLeTzu0x9bt84Dw6FwYxe6vk=&amp;xsec_source=pc_trdark","https://www.xiaohongshu.com/explore/699e752d000000002203985a?xsec_token=TBggKgSP0tIUAtqBAPfP3mLeTzu0x9bt84Dw6FwYxe6vk=&amp;xsec_source=pc_trdark")</f>
        <v>0.0</v>
      </c>
      <c r="D136" t="inlineStr">
        <is>
          <t>鲜水湾甄选</t>
        </is>
      </c>
      <c r="E136" t="inlineStr">
        <is>
          <t>27401929161</t>
        </is>
      </c>
      <c r="F136" t="inlineStr">
        <is>
          <t>2026-02-25 12:06:06</t>
        </is>
      </c>
      <c r="G136" t="inlineStr">
        <is>
          <t>图文</t>
        </is>
      </c>
      <c r="H136" t="inlineStr">
        <is>
          <t>智利三文鱼切块·整条三文鱼·深海鱼一人食健康饮食</t>
        </is>
      </c>
      <c r="I136" t="inlineStr">
        <is>
          <t>691ac562a524ee0001b51d7b</t>
        </is>
      </c>
      <c r="J136" t="inlineStr">
        <is>
          <t/>
        </is>
      </c>
      <c r="K136" t="n">
        <v>0.0</v>
      </c>
      <c r="L136" t="n">
        <v>0.0</v>
      </c>
      <c r="M136" t="n">
        <v>1.0</v>
      </c>
      <c r="N136" t="inlineStr">
        <is>
          <t>0.02631578947368421</t>
        </is>
      </c>
      <c r="O136" t="n">
        <v>1.0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inlineStr">
        <is>
          <t/>
        </is>
      </c>
      <c r="X136" t="n">
        <v>0.0</v>
      </c>
      <c r="Y136" t="n">
        <v>0.0</v>
      </c>
      <c r="Z136" t="n">
        <v>1.0</v>
      </c>
      <c r="AA136" t="n">
        <v>0.0</v>
      </c>
      <c r="AB136" t="n">
        <v>0.0</v>
      </c>
      <c r="AC136" t="n">
        <v>0.0</v>
      </c>
      <c r="AD136" t="n">
        <v>38.0</v>
      </c>
      <c r="AE136" t="n">
        <v>0.0</v>
      </c>
      <c r="AF136" t="n">
        <v>0.0</v>
      </c>
      <c r="AG136" t="n">
        <v>0.0</v>
      </c>
      <c r="AH136" t="n">
        <v>3.0</v>
      </c>
      <c r="AI136" t="n">
        <v>0.0</v>
      </c>
      <c r="AJ136" t="n">
        <v>0.0</v>
      </c>
      <c r="AK136" t="n">
        <v>7.0</v>
      </c>
      <c r="AL136" t="inlineStr">
        <is>
          <t/>
        </is>
      </c>
    </row>
    <row r="137">
      <c r="A137" t="inlineStr">
        <is>
          <t>这么大的乳山生蚝你能吃几个？</t>
        </is>
      </c>
      <c r="B137" t="inlineStr">
        <is>
          <t>69226d6e000000001d03ec8c</t>
        </is>
      </c>
      <c r="C137" s="136" t="n">
        <f>HYPERLINK("https://www.xiaohongshu.com/explore/69226d6e000000001d03ec8c?xsec_token=TBE5pHIrkzq8Q5V7PHhpUNB5T5qqIMUi8lG3Wczb5nJ38=&amp;xsec_source=pc_trdark","https://www.xiaohongshu.com/explore/69226d6e000000001d03ec8c?xsec_token=TBE5pHIrkzq8Q5V7PHhpUNB5T5qqIMUi8lG3Wczb5nJ38=&amp;xsec_source=pc_trdark")</f>
        <v>0.0</v>
      </c>
      <c r="D137" t="inlineStr">
        <is>
          <t>婉婉上班吃什么</t>
        </is>
      </c>
      <c r="E137" t="inlineStr">
        <is>
          <t>11434449706</t>
        </is>
      </c>
      <c r="F137" t="inlineStr">
        <is>
          <t>2025-11-23 10:11:58</t>
        </is>
      </c>
      <c r="G137" t="inlineStr">
        <is>
          <t>视频</t>
        </is>
      </c>
      <c r="H137" t="inlineStr">
        <is>
          <t>生蚝乳山生蚝海蛎子顺丰包邮</t>
        </is>
      </c>
      <c r="I137" t="inlineStr">
        <is>
          <t>690c70971b787900010866cc</t>
        </is>
      </c>
      <c r="J137" t="n">
        <v>16.0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inlineStr">
        <is>
          <t/>
        </is>
      </c>
      <c r="R137" t="inlineStr">
        <is>
          <t/>
        </is>
      </c>
      <c r="S137" t="n">
        <v>0.0</v>
      </c>
      <c r="T137" t="n">
        <v>0.0</v>
      </c>
      <c r="U137" t="n">
        <v>0.0</v>
      </c>
      <c r="V137" t="n">
        <v>0.0</v>
      </c>
      <c r="W137" t="inlineStr">
        <is>
          <t/>
        </is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38.0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8.921052631578947</v>
      </c>
      <c r="AL137" t="n">
        <v>0.2222222222222222</v>
      </c>
    </row>
    <row r="138">
      <c r="A138" t="inlineStr">
        <is>
          <t>不要低估50💰的购买力，敞开吃吧……</t>
        </is>
      </c>
      <c r="B138" t="inlineStr">
        <is>
          <t>6916f37a00000000050114f9</t>
        </is>
      </c>
      <c r="C138" s="137" t="n">
        <f>HYPERLINK("https://www.xiaohongshu.com/explore/6916f37a00000000050114f9?xsec_token=TBHZiehrAOyLGw_5sWYDTDSTqbGta5UKl_XO9bysarN8A=&amp;xsec_source=pc_trdark","https://www.xiaohongshu.com/explore/6916f37a00000000050114f9?xsec_token=TBHZiehrAOyLGw_5sWYDTDSTqbGta5UKl_XO9bysarN8A=&amp;xsec_source=pc_trdark")</f>
        <v>0.0</v>
      </c>
      <c r="D138" t="inlineStr">
        <is>
          <t>婉婉上班吃什么</t>
        </is>
      </c>
      <c r="E138" t="inlineStr">
        <is>
          <t>11434449706</t>
        </is>
      </c>
      <c r="F138" t="inlineStr">
        <is>
          <t>2025-11-14 18:16:26</t>
        </is>
      </c>
      <c r="G138" t="inlineStr">
        <is>
          <t>视频</t>
        </is>
      </c>
      <c r="H138" t="inlineStr">
        <is>
          <t>生蚝乳山生蚝海蛎子顺丰包邮</t>
        </is>
      </c>
      <c r="I138" t="inlineStr">
        <is>
          <t>690c70971b787900010866cc</t>
        </is>
      </c>
      <c r="J138" t="n">
        <v>23.0</v>
      </c>
      <c r="K138" t="n">
        <v>0.0</v>
      </c>
      <c r="L138" t="n">
        <v>0.0</v>
      </c>
      <c r="M138" t="n">
        <v>1.0</v>
      </c>
      <c r="N138" t="inlineStr">
        <is>
          <t>0.02631578947368421</t>
        </is>
      </c>
      <c r="O138" t="n">
        <v>1.0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inlineStr">
        <is>
          <t/>
        </is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38.0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9.631578947368421</v>
      </c>
      <c r="AL138" t="inlineStr">
        <is>
          <t>0.14893617021276595</t>
        </is>
      </c>
    </row>
    <row r="139">
      <c r="A139" t="inlineStr">
        <is>
          <t>我私教都在吃的高蛋白三文鱼，绝了！</t>
        </is>
      </c>
      <c r="B139" t="inlineStr">
        <is>
          <t>698ec44b000000001a0270c5</t>
        </is>
      </c>
      <c r="C139" s="138" t="n">
        <f>HYPERLINK("https://www.xiaohongshu.com/explore/698ec44b000000001a0270c5?xsec_token=TBNIhd8Wg4_l-WeAs5DLBNd1P-GAp89CM_CuklhTyX0rU=&amp;xsec_source=pc_trdark","https://www.xiaohongshu.com/explore/698ec44b000000001a0270c5?xsec_token=TBNIhd8Wg4_l-WeAs5DLBNd1P-GAp89CM_CuklhTyX0rU=&amp;xsec_source=pc_trdark")</f>
        <v>0.0</v>
      </c>
      <c r="D139" t="inlineStr">
        <is>
          <t>鲜水湾</t>
        </is>
      </c>
      <c r="E139" t="inlineStr">
        <is>
          <t>49316638994</t>
        </is>
      </c>
      <c r="F139" t="inlineStr">
        <is>
          <t>2026-02-13 14:27:23</t>
        </is>
      </c>
      <c r="G139" t="inlineStr">
        <is>
          <t>图文</t>
        </is>
      </c>
      <c r="H139" t="inlineStr">
        <is>
          <t>智利三文鱼切块·整条三文鱼·深海鱼一人食健康饮食</t>
        </is>
      </c>
      <c r="I139" t="inlineStr">
        <is>
          <t>691ac562a524ee0001b51d7b</t>
        </is>
      </c>
      <c r="J139" t="inlineStr">
        <is>
          <t/>
        </is>
      </c>
      <c r="K139" t="n">
        <v>0.0</v>
      </c>
      <c r="L139" t="n">
        <v>0.0</v>
      </c>
      <c r="M139" t="n">
        <v>5.0</v>
      </c>
      <c r="N139" t="inlineStr">
        <is>
          <t>0.13513513513513514</t>
        </is>
      </c>
      <c r="O139" t="n">
        <v>3.0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inlineStr">
        <is>
          <t/>
        </is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37.0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8.135135135135135</v>
      </c>
      <c r="AL139" t="inlineStr">
        <is>
          <t/>
        </is>
      </c>
    </row>
    <row r="140">
      <c r="A140" t="inlineStr">
        <is>
          <t>青岛发过来的！被爸妈夸了一整天！</t>
        </is>
      </c>
      <c r="B140" t="inlineStr">
        <is>
          <t>69894079000000001a023627</t>
        </is>
      </c>
      <c r="C140" s="139" t="n">
        <f>HYPERLINK("https://www.xiaohongshu.com/explore/69894079000000001a023627?xsec_token=TBeAeWMkLJ9etYlFDlK3pguRteh7HUda59p-bcJSRSX1A=&amp;xsec_source=pc_trdark","https://www.xiaohongshu.com/explore/69894079000000001a023627?xsec_token=TBeAeWMkLJ9etYlFDlK3pguRteh7HUda59p-bcJSRSX1A=&amp;xsec_source=pc_trdark")</f>
        <v>0.0</v>
      </c>
      <c r="D140" t="inlineStr">
        <is>
          <t>鲜水湾</t>
        </is>
      </c>
      <c r="E140" t="inlineStr">
        <is>
          <t>49316638994</t>
        </is>
      </c>
      <c r="F140" t="inlineStr">
        <is>
          <t>2026-02-09 10:03:37</t>
        </is>
      </c>
      <c r="G140" t="inlineStr">
        <is>
          <t>图文</t>
        </is>
      </c>
      <c r="H140" t="inlineStr">
        <is>
          <t>智利三文鱼切块·整条三文鱼·深海鱼一人食健康饮食</t>
        </is>
      </c>
      <c r="I140" t="inlineStr">
        <is>
          <t>691ac562a524ee0001b51d7b</t>
        </is>
      </c>
      <c r="J140" t="inlineStr">
        <is>
          <t/>
        </is>
      </c>
      <c r="K140" t="n">
        <v>0.0</v>
      </c>
      <c r="L140" t="n">
        <v>0.0</v>
      </c>
      <c r="M140" t="n">
        <v>6.0</v>
      </c>
      <c r="N140" t="inlineStr">
        <is>
          <t>0.16216216216216217</t>
        </is>
      </c>
      <c r="O140" t="n">
        <v>6.0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inlineStr">
        <is>
          <t/>
        </is>
      </c>
      <c r="X140" t="n">
        <v>0.0</v>
      </c>
      <c r="Y140" t="n">
        <v>0.0</v>
      </c>
      <c r="Z140" t="n">
        <v>1.0</v>
      </c>
      <c r="AA140" t="n">
        <v>0.0</v>
      </c>
      <c r="AB140" t="n">
        <v>0.0</v>
      </c>
      <c r="AC140" t="n">
        <v>0.0</v>
      </c>
      <c r="AD140" t="n">
        <v>37.0</v>
      </c>
      <c r="AE140" t="n">
        <v>1.0</v>
      </c>
      <c r="AF140" t="n">
        <v>0.0</v>
      </c>
      <c r="AG140" t="n">
        <v>0.0</v>
      </c>
      <c r="AH140" t="n">
        <v>2.0</v>
      </c>
      <c r="AI140" t="n">
        <v>0.0</v>
      </c>
      <c r="AJ140" t="n">
        <v>0.0</v>
      </c>
      <c r="AK140" t="n">
        <v>9.675675675675675</v>
      </c>
      <c r="AL140" t="inlineStr">
        <is>
          <t/>
        </is>
      </c>
    </row>
    <row r="141">
      <c r="A141" t="inlineStr">
        <is>
          <t>我q。。男朋友吃完瞬间有劲了。。</t>
        </is>
      </c>
      <c r="B141" t="inlineStr">
        <is>
          <t>69452411000000000d03daad</t>
        </is>
      </c>
      <c r="C141" s="140" t="n">
        <f>HYPERLINK("https://www.xiaohongshu.com/explore/69452411000000000d03daad?xsec_token=TB7p1vWXvB33zoX2lon7HfpcDKUirO3Fuhb5G31xPi3zk=&amp;xsec_source=pc_trdark","https://www.xiaohongshu.com/explore/69452411000000000d03daad?xsec_token=TB7p1vWXvB33zoX2lon7HfpcDKUirO3Fuhb5G31xPi3zk=&amp;xsec_source=pc_trdark")</f>
        <v>0.0</v>
      </c>
      <c r="D141" t="inlineStr">
        <is>
          <t>婉婉上班吃什么</t>
        </is>
      </c>
      <c r="E141" t="inlineStr">
        <is>
          <t>11434449706</t>
        </is>
      </c>
      <c r="F141" t="inlineStr">
        <is>
          <t>2025-12-19 18:08:17</t>
        </is>
      </c>
      <c r="G141" t="inlineStr">
        <is>
          <t>视频</t>
        </is>
      </c>
      <c r="H141" t="inlineStr">
        <is>
          <t>生蚝乳山生蚝海蛎子顺丰包邮</t>
        </is>
      </c>
      <c r="I141" t="inlineStr">
        <is>
          <t>690c70971b787900010866cc</t>
        </is>
      </c>
      <c r="J141" t="n">
        <v>21.0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inlineStr">
        <is>
          <t/>
        </is>
      </c>
      <c r="R141" t="inlineStr">
        <is>
          <t/>
        </is>
      </c>
      <c r="S141" t="n">
        <v>0.0</v>
      </c>
      <c r="T141" t="n">
        <v>0.0</v>
      </c>
      <c r="U141" t="n">
        <v>0.0</v>
      </c>
      <c r="V141" t="n">
        <v>0.0</v>
      </c>
      <c r="W141" t="inlineStr">
        <is>
          <t/>
        </is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36.0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3.8055555555555554</v>
      </c>
      <c r="AL141" t="n">
        <v>0.075</v>
      </c>
    </row>
    <row r="142">
      <c r="A142" t="inlineStr">
        <is>
          <t>不要低估了300来块的购买力，能买八九斤……</t>
        </is>
      </c>
      <c r="B142" t="inlineStr">
        <is>
          <t>69894c2b0000000028009f8a</t>
        </is>
      </c>
      <c r="C142" s="141" t="n">
        <f>HYPERLINK("https://www.xiaohongshu.com/explore/69894c2b0000000028009f8a?xsec_token=TBeAeWMkLJ9etYlFDlK3pgub5uCYryT7e8MPcLAVEIto8=&amp;xsec_source=pc_trdark","https://www.xiaohongshu.com/explore/69894c2b0000000028009f8a?xsec_token=TBeAeWMkLJ9etYlFDlK3pgub5uCYryT7e8MPcLAVEIto8=&amp;xsec_source=pc_trdark")</f>
        <v>0.0</v>
      </c>
      <c r="D142" t="inlineStr">
        <is>
          <t>鲜水湾</t>
        </is>
      </c>
      <c r="E142" t="inlineStr">
        <is>
          <t>49316638994</t>
        </is>
      </c>
      <c r="F142" t="inlineStr">
        <is>
          <t>2026-02-09 10:53:31</t>
        </is>
      </c>
      <c r="G142" t="inlineStr">
        <is>
          <t>图文</t>
        </is>
      </c>
      <c r="H142" t="inlineStr">
        <is>
          <t>智利三文鱼切块·整条三文鱼·深海鱼一人食健康饮食</t>
        </is>
      </c>
      <c r="I142" t="inlineStr">
        <is>
          <t>691ac562a524ee0001b51d7b</t>
        </is>
      </c>
      <c r="J142" t="inlineStr">
        <is>
          <t/>
        </is>
      </c>
      <c r="K142" t="n">
        <v>338.0</v>
      </c>
      <c r="L142" t="n">
        <v>1.0</v>
      </c>
      <c r="M142" t="n">
        <v>6.0</v>
      </c>
      <c r="N142" t="inlineStr">
        <is>
          <t>0.17142857142857143</t>
        </is>
      </c>
      <c r="O142" t="n">
        <v>4.0</v>
      </c>
      <c r="P142" t="n">
        <v>1.0</v>
      </c>
      <c r="Q142" t="inlineStr">
        <is>
          <t>0.16666666666666666</t>
        </is>
      </c>
      <c r="R142" t="n">
        <v>0.25</v>
      </c>
      <c r="S142" t="n">
        <v>338.0</v>
      </c>
      <c r="T142" t="n">
        <v>1.0</v>
      </c>
      <c r="U142" t="n">
        <v>1.0</v>
      </c>
      <c r="V142" t="n">
        <v>338.0</v>
      </c>
      <c r="W142" t="n">
        <v>1.0</v>
      </c>
      <c r="X142" t="n">
        <v>1.0</v>
      </c>
      <c r="Y142" t="n">
        <v>0.0</v>
      </c>
      <c r="Z142" t="n">
        <v>3.0</v>
      </c>
      <c r="AA142" t="n">
        <v>0.0</v>
      </c>
      <c r="AB142" t="n">
        <v>0.0</v>
      </c>
      <c r="AC142" t="n">
        <v>0.0</v>
      </c>
      <c r="AD142" t="n">
        <v>35.0</v>
      </c>
      <c r="AE142" t="n">
        <v>0.0</v>
      </c>
      <c r="AF142" t="n">
        <v>0.0</v>
      </c>
      <c r="AG142" t="n">
        <v>0.0</v>
      </c>
      <c r="AH142" t="n">
        <v>1.0</v>
      </c>
      <c r="AI142" t="n">
        <v>0.0</v>
      </c>
      <c r="AJ142" t="n">
        <v>0.0</v>
      </c>
      <c r="AK142" t="n">
        <v>12.457142857142857</v>
      </c>
      <c r="AL142" t="inlineStr">
        <is>
          <t/>
        </is>
      </c>
    </row>
    <row r="143">
      <c r="A143" t="inlineStr">
        <is>
          <t>一定要尝尝这个49.9r五斤的乳山生蚝！</t>
        </is>
      </c>
      <c r="B143" t="inlineStr">
        <is>
          <t>693fbc0f000000001e0388c5</t>
        </is>
      </c>
      <c r="C143" s="142" t="n">
        <f>HYPERLINK("https://www.xiaohongshu.com/explore/693fbc0f000000001e0388c5?xsec_token=TB1R2yju8ccr97WVPo1goJUAHzI_Uw9P_WDQyZH2LtLn8=&amp;xsec_source=pc_trdark","https://www.xiaohongshu.com/explore/693fbc0f000000001e0388c5?xsec_token=TB1R2yju8ccr97WVPo1goJUAHzI_Uw9P_WDQyZH2LtLn8=&amp;xsec_source=pc_trdark")</f>
        <v>0.0</v>
      </c>
      <c r="D143" t="inlineStr">
        <is>
          <t>婉婉上班吃什么</t>
        </is>
      </c>
      <c r="E143" t="inlineStr">
        <is>
          <t>11434449706</t>
        </is>
      </c>
      <c r="F143" t="inlineStr">
        <is>
          <t>2025-12-15 15:43:11</t>
        </is>
      </c>
      <c r="G143" t="inlineStr">
        <is>
          <t>视频</t>
        </is>
      </c>
      <c r="H143" t="inlineStr">
        <is>
          <t>生蚝乳山生蚝海蛎子顺丰包邮</t>
        </is>
      </c>
      <c r="I143" t="inlineStr">
        <is>
          <t>690c70971b787900010866cc</t>
        </is>
      </c>
      <c r="J143" t="n">
        <v>26.0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inlineStr">
        <is>
          <t/>
        </is>
      </c>
      <c r="R143" t="inlineStr">
        <is>
          <t/>
        </is>
      </c>
      <c r="S143" t="n">
        <v>0.0</v>
      </c>
      <c r="T143" t="n">
        <v>0.0</v>
      </c>
      <c r="U143" t="n">
        <v>0.0</v>
      </c>
      <c r="V143" t="n">
        <v>0.0</v>
      </c>
      <c r="W143" t="inlineStr">
        <is>
          <t/>
        </is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35.0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4.171428571428572</v>
      </c>
      <c r="AL143" t="n">
        <v>0.05</v>
      </c>
    </row>
    <row r="144">
      <c r="A144" t="inlineStr">
        <is>
          <t>和爸妈商量后，决定69三斤大虾，试试就500单</t>
        </is>
      </c>
      <c r="B144" t="inlineStr">
        <is>
          <t>69805c08000000001a032143</t>
        </is>
      </c>
      <c r="C144" s="143" t="n">
        <f>HYPERLINK("https://www.xiaohongshu.com/explore/69805c08000000001a032143?xsec_token=TBZp4EcwSVhJKyeKQt7CpumdRVIdyVLOrXzt3H_27kwfc=&amp;xsec_source=pc_trdark","https://www.xiaohongshu.com/explore/69805c08000000001a032143?xsec_token=TBZp4EcwSVhJKyeKQt7CpumdRVIdyVLOrXzt3H_27kwfc=&amp;xsec_source=pc_trdark")</f>
        <v>0.0</v>
      </c>
      <c r="D144" t="inlineStr">
        <is>
          <t>鲜水湾</t>
        </is>
      </c>
      <c r="E144" t="inlineStr">
        <is>
          <t>49316638994</t>
        </is>
      </c>
      <c r="F144" t="inlineStr">
        <is>
          <t>2026-02-02 16:10:48</t>
        </is>
      </c>
      <c r="G144" t="inlineStr">
        <is>
          <t>图文</t>
        </is>
      </c>
      <c r="H144" t="inlineStr">
        <is>
          <t>大虾基围虾王牌大虾厄瓜多尔白虾盐冻虾仁海洋大虾送礼顺丰包邮</t>
        </is>
      </c>
      <c r="I144" t="inlineStr">
        <is>
          <t>690aeb7be379430001e686ac</t>
        </is>
      </c>
      <c r="J144" t="inlineStr">
        <is>
          <t/>
        </is>
      </c>
      <c r="K144" t="n">
        <v>0.0</v>
      </c>
      <c r="L144" t="n">
        <v>0.0</v>
      </c>
      <c r="M144" t="n">
        <v>9.0</v>
      </c>
      <c r="N144" t="n">
        <v>0.2727272727272727</v>
      </c>
      <c r="O144" t="n">
        <v>8.0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inlineStr">
        <is>
          <t/>
        </is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33.0</v>
      </c>
      <c r="AE144" t="n">
        <v>1.0</v>
      </c>
      <c r="AF144" t="n">
        <v>0.0</v>
      </c>
      <c r="AG144" t="n">
        <v>0.0</v>
      </c>
      <c r="AH144" t="n">
        <v>2.0</v>
      </c>
      <c r="AI144" t="n">
        <v>0.0</v>
      </c>
      <c r="AJ144" t="n">
        <v>0.0</v>
      </c>
      <c r="AK144" t="n">
        <v>7.909090909090909</v>
      </c>
      <c r="AL144" t="inlineStr">
        <is>
          <t/>
        </is>
      </c>
    </row>
    <row r="145">
      <c r="A145" t="inlineStr">
        <is>
          <t>天冷了，乳山生蚝一下子全肥了不可控…</t>
        </is>
      </c>
      <c r="B145" t="inlineStr">
        <is>
          <t>69742df6000000002800b39a</t>
        </is>
      </c>
      <c r="C145" s="144" t="n">
        <f>HYPERLINK("https://www.xiaohongshu.com/explore/69742df6000000002800b39a?xsec_token=TBnOcp8R1oAalfOSidaFfKvM0LA4ImtGhKNkltd-nkG58=&amp;xsec_source=pc_trdark","https://www.xiaohongshu.com/explore/69742df6000000002800b39a?xsec_token=TBnOcp8R1oAalfOSidaFfKvM0LA4ImtGhKNkltd-nkG58=&amp;xsec_source=pc_trdark")</f>
        <v>0.0</v>
      </c>
      <c r="D145" t="inlineStr">
        <is>
          <t>鲜水湾</t>
        </is>
      </c>
      <c r="E145" t="inlineStr">
        <is>
          <t>49316638994</t>
        </is>
      </c>
      <c r="F145" t="inlineStr">
        <is>
          <t>2026-01-24 10:27:02</t>
        </is>
      </c>
      <c r="G145" t="inlineStr">
        <is>
          <t>图文</t>
        </is>
      </c>
      <c r="H145" t="inlineStr">
        <is>
          <t>生蚝乳山生蚝海蛎子顺丰包邮</t>
        </is>
      </c>
      <c r="I145" t="inlineStr">
        <is>
          <t>690c70971b787900010866cc</t>
        </is>
      </c>
      <c r="J145" t="inlineStr">
        <is>
          <t/>
        </is>
      </c>
      <c r="K145" t="n">
        <v>0.0</v>
      </c>
      <c r="L145" t="n">
        <v>0.0</v>
      </c>
      <c r="M145" t="n">
        <v>2.0</v>
      </c>
      <c r="N145" t="inlineStr">
        <is>
          <t>0.06060606060606061</t>
        </is>
      </c>
      <c r="O145" t="n">
        <v>2.0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inlineStr">
        <is>
          <t/>
        </is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33.0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6.151515151515151</v>
      </c>
      <c r="AL145" t="inlineStr">
        <is>
          <t/>
        </is>
      </c>
    </row>
    <row r="146">
      <c r="A146" t="inlineStr">
        <is>
          <t>过年就靠这个来油焖大虾惊呀小朋友啦～</t>
        </is>
      </c>
      <c r="B146" t="inlineStr">
        <is>
          <t>697af1bc000000002801d22d</t>
        </is>
      </c>
      <c r="C146" s="145" t="n">
        <f>HYPERLINK("https://www.xiaohongshu.com/explore/697af1bc000000002801d22d?xsec_token=TB2dScbVxeUy83D31__wCwwweUbyyvQhgL57xl_dgVyGc=&amp;xsec_source=pc_trdark","https://www.xiaohongshu.com/explore/697af1bc000000002801d22d?xsec_token=TB2dScbVxeUy83D31__wCwwweUbyyvQhgL57xl_dgVyGc=&amp;xsec_source=pc_trdark")</f>
        <v>0.0</v>
      </c>
      <c r="D146" t="inlineStr">
        <is>
          <t>鲜水湾</t>
        </is>
      </c>
      <c r="E146" t="inlineStr">
        <is>
          <t>49316638994</t>
        </is>
      </c>
      <c r="F146" t="inlineStr">
        <is>
          <t>2026-01-29 13:35:56</t>
        </is>
      </c>
      <c r="G146" t="inlineStr">
        <is>
          <t>图文</t>
        </is>
      </c>
      <c r="H146" t="inlineStr">
        <is>
          <t>大虾基围虾王牌大虾厄瓜多尔白虾盐冻虾仁海洋大虾送礼顺丰包邮</t>
        </is>
      </c>
      <c r="I146" t="inlineStr">
        <is>
          <t>690aeb7be379430001e686ac</t>
        </is>
      </c>
      <c r="J146" t="inlineStr">
        <is>
          <t/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inlineStr">
        <is>
          <t/>
        </is>
      </c>
      <c r="R146" t="inlineStr">
        <is>
          <t/>
        </is>
      </c>
      <c r="S146" t="n">
        <v>0.0</v>
      </c>
      <c r="T146" t="n">
        <v>0.0</v>
      </c>
      <c r="U146" t="n">
        <v>0.0</v>
      </c>
      <c r="V146" t="n">
        <v>0.0</v>
      </c>
      <c r="W146" t="inlineStr">
        <is>
          <t/>
        </is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32.0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11.3125</v>
      </c>
      <c r="AL146" t="inlineStr">
        <is>
          <t/>
        </is>
      </c>
    </row>
    <row r="147">
      <c r="A147" t="inlineStr">
        <is>
          <t>以前是山姆，现在是小红书</t>
        </is>
      </c>
      <c r="B147" t="inlineStr">
        <is>
          <t>6933b8fe000000001e03b9f0</t>
        </is>
      </c>
      <c r="C147" s="146" t="n">
        <f>HYPERLINK("https://www.xiaohongshu.com/explore/6933b8fe000000001e03b9f0?xsec_token=TBtLw60d0rN_yGhfj7_ewzhSlK-dul8ye9Ak2yEu59ojA=&amp;xsec_source=pc_trdark","https://www.xiaohongshu.com/explore/6933b8fe000000001e03b9f0?xsec_token=TBtLw60d0rN_yGhfj7_ewzhSlK-dul8ye9Ak2yEu59ojA=&amp;xsec_source=pc_trdark")</f>
        <v>0.0</v>
      </c>
      <c r="D147" t="inlineStr">
        <is>
          <t>鲜水湾</t>
        </is>
      </c>
      <c r="E147" t="inlineStr">
        <is>
          <t>49316638994</t>
        </is>
      </c>
      <c r="F147" t="inlineStr">
        <is>
          <t>2025-12-06 13:02:54</t>
        </is>
      </c>
      <c r="G147" t="inlineStr">
        <is>
          <t>图文</t>
        </is>
      </c>
      <c r="H147" t="inlineStr">
        <is>
          <t>智利三文鱼切块·整条三文鱼·深海鱼一人食健康饮食</t>
        </is>
      </c>
      <c r="I147" t="inlineStr">
        <is>
          <t>691ac562a524ee0001b51d7b</t>
        </is>
      </c>
      <c r="J147" t="inlineStr">
        <is>
          <t/>
        </is>
      </c>
      <c r="K147" t="n">
        <v>0.0</v>
      </c>
      <c r="L147" t="n">
        <v>0.0</v>
      </c>
      <c r="M147" t="n">
        <v>2.0</v>
      </c>
      <c r="N147" t="inlineStr">
        <is>
          <t>0.06451612903225806</t>
        </is>
      </c>
      <c r="O147" t="n">
        <v>2.0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inlineStr">
        <is>
          <t/>
        </is>
      </c>
      <c r="X147" t="n">
        <v>0.0</v>
      </c>
      <c r="Y147" t="n">
        <v>0.0</v>
      </c>
      <c r="Z147" t="n">
        <v>1.0</v>
      </c>
      <c r="AA147" t="n">
        <v>0.0</v>
      </c>
      <c r="AB147" t="n">
        <v>0.0</v>
      </c>
      <c r="AC147" t="n">
        <v>0.0</v>
      </c>
      <c r="AD147" t="n">
        <v>31.0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10.258064516129032</v>
      </c>
      <c r="AL147" t="inlineStr">
        <is>
          <t/>
        </is>
      </c>
    </row>
    <row r="148">
      <c r="A148" t="inlineStr">
        <is>
          <t>和老爸商量了，专为减脂人推出的小包装</t>
        </is>
      </c>
      <c r="B148" t="inlineStr">
        <is>
          <t>699ffa9a000000001a0256e5</t>
        </is>
      </c>
      <c r="C148" s="147" t="n">
        <f>HYPERLINK("https://www.xiaohongshu.com/explore/699ffa9a000000001a0256e5?xsec_token=TBmPrNsEp7sytnt8BzCMtNTT2Nw9Ds1BbOaU-rSrKDxl8=&amp;xsec_source=pc_trdark","https://www.xiaohongshu.com/explore/699ffa9a000000001a0256e5?xsec_token=TBmPrNsEp7sytnt8BzCMtNTT2Nw9Ds1BbOaU-rSrKDxl8=&amp;xsec_source=pc_trdark")</f>
        <v>0.0</v>
      </c>
      <c r="D148" t="inlineStr">
        <is>
          <t>鲜水湾</t>
        </is>
      </c>
      <c r="E148" t="inlineStr">
        <is>
          <t>49316638994</t>
        </is>
      </c>
      <c r="F148" t="inlineStr">
        <is>
          <t>2026-02-26 15:47:38</t>
        </is>
      </c>
      <c r="G148" t="inlineStr">
        <is>
          <t>图文</t>
        </is>
      </c>
      <c r="H148" t="inlineStr">
        <is>
          <t>手剥虾仁 无冰衣无添加 低脂餐一人食 上班带饭 顺丰包邮 5盒装</t>
        </is>
      </c>
      <c r="I148" t="inlineStr">
        <is>
          <t>694baba01d450d00013662f0</t>
        </is>
      </c>
      <c r="J148" t="inlineStr">
        <is>
          <t/>
        </is>
      </c>
      <c r="K148" t="n">
        <v>0.0</v>
      </c>
      <c r="L148" t="n">
        <v>0.0</v>
      </c>
      <c r="M148" t="n">
        <v>10.0</v>
      </c>
      <c r="N148" t="n">
        <v>0.3448275862068966</v>
      </c>
      <c r="O148" t="n">
        <v>9.0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inlineStr">
        <is>
          <t/>
        </is>
      </c>
      <c r="X148" t="n">
        <v>0.0</v>
      </c>
      <c r="Y148" t="n">
        <v>1.0</v>
      </c>
      <c r="Z148" t="n">
        <v>0.0</v>
      </c>
      <c r="AA148" t="n">
        <v>0.0</v>
      </c>
      <c r="AB148" t="n">
        <v>0.0</v>
      </c>
      <c r="AC148" t="n">
        <v>0.0</v>
      </c>
      <c r="AD148" t="n">
        <v>29.0</v>
      </c>
      <c r="AE148" t="n">
        <v>1.0</v>
      </c>
      <c r="AF148" t="n">
        <v>0.0</v>
      </c>
      <c r="AG148" t="n">
        <v>1.0</v>
      </c>
      <c r="AH148" t="n">
        <v>2.0</v>
      </c>
      <c r="AI148" t="n">
        <v>0.0</v>
      </c>
      <c r="AJ148" t="n">
        <v>0.0</v>
      </c>
      <c r="AK148" t="n">
        <v>7.931034482758621</v>
      </c>
      <c r="AL148" t="inlineStr">
        <is>
          <t/>
        </is>
      </c>
    </row>
    <row r="149">
      <c r="A149" t="inlineStr">
        <is>
          <t>高质量减脂餐，承包了我一年！</t>
        </is>
      </c>
      <c r="B149" t="inlineStr">
        <is>
          <t>699fe58b000000002801d856</t>
        </is>
      </c>
      <c r="C149" s="148" t="n">
        <f>HYPERLINK("https://www.xiaohongshu.com/explore/699fe58b000000002801d856?xsec_token=TBmPrNsEp7sytnt8BzCMtNTdu4DBCApZldWnsq-RwyRo8=&amp;xsec_source=pc_trdark","https://www.xiaohongshu.com/explore/699fe58b000000002801d856?xsec_token=TBmPrNsEp7sytnt8BzCMtNTdu4DBCApZldWnsq-RwyRo8=&amp;xsec_source=pc_trdark")</f>
        <v>0.0</v>
      </c>
      <c r="D149" t="inlineStr">
        <is>
          <t>鲜水湾</t>
        </is>
      </c>
      <c r="E149" t="inlineStr">
        <is>
          <t>49316638994</t>
        </is>
      </c>
      <c r="F149" t="inlineStr">
        <is>
          <t>2026-02-26 14:17:47</t>
        </is>
      </c>
      <c r="G149" t="inlineStr">
        <is>
          <t>图文</t>
        </is>
      </c>
      <c r="H149" t="inlineStr">
        <is>
          <t>智利三文鱼切块·整条三文鱼·深海鱼一人食健康饮食</t>
        </is>
      </c>
      <c r="I149" t="inlineStr">
        <is>
          <t>691ac562a524ee0001b51d7b</t>
        </is>
      </c>
      <c r="J149" t="inlineStr">
        <is>
          <t/>
        </is>
      </c>
      <c r="K149" t="n">
        <v>0.0</v>
      </c>
      <c r="L149" t="n">
        <v>0.0</v>
      </c>
      <c r="M149" t="n">
        <v>1.0</v>
      </c>
      <c r="N149" t="inlineStr">
        <is>
          <t>0.037037037037037035</t>
        </is>
      </c>
      <c r="O149" t="n">
        <v>1.0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inlineStr">
        <is>
          <t/>
        </is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27.0</v>
      </c>
      <c r="AE149" t="n">
        <v>0.0</v>
      </c>
      <c r="AF149" t="n">
        <v>0.0</v>
      </c>
      <c r="AG149" t="n">
        <v>0.0</v>
      </c>
      <c r="AH149" t="n">
        <v>2.0</v>
      </c>
      <c r="AI149" t="n">
        <v>0.0</v>
      </c>
      <c r="AJ149" t="n">
        <v>0.0</v>
      </c>
      <c r="AK149" t="n">
        <v>7.7407407407407405</v>
      </c>
      <c r="AL149" t="inlineStr">
        <is>
          <t/>
        </is>
      </c>
    </row>
    <row r="150">
      <c r="A150" t="inlineStr">
        <is>
          <t>讲真！自己像米其林大厨🧑‍🍳</t>
        </is>
      </c>
      <c r="B150" t="inlineStr">
        <is>
          <t>69899080000000000903b066</t>
        </is>
      </c>
      <c r="C150" s="149" t="n">
        <f>HYPERLINK("https://www.xiaohongshu.com/explore/69899080000000000903b066?xsec_token=TBeAeWMkLJ9etYlFDlK3pguZcv4i1LaORTLoyt49jb22o=&amp;xsec_source=pc_trdark","https://www.xiaohongshu.com/explore/69899080000000000903b066?xsec_token=TBeAeWMkLJ9etYlFDlK3pguZcv4i1LaORTLoyt49jb22o=&amp;xsec_source=pc_trdark")</f>
        <v>0.0</v>
      </c>
      <c r="D150" t="inlineStr">
        <is>
          <t>鲜水湾甄选</t>
        </is>
      </c>
      <c r="E150" t="inlineStr">
        <is>
          <t>27401929161</t>
        </is>
      </c>
      <c r="F150" t="inlineStr">
        <is>
          <t>2026-02-09 15:45:04</t>
        </is>
      </c>
      <c r="G150" t="inlineStr">
        <is>
          <t>图文</t>
        </is>
      </c>
      <c r="H150" t="inlineStr">
        <is>
          <t>智利三文鱼切块·整条三文鱼·深海鱼一人食健康饮食</t>
        </is>
      </c>
      <c r="I150" t="inlineStr">
        <is>
          <t>691ac562a524ee0001b51d7b</t>
        </is>
      </c>
      <c r="J150" t="inlineStr">
        <is>
          <t/>
        </is>
      </c>
      <c r="K150" t="n">
        <v>0.0</v>
      </c>
      <c r="L150" t="n">
        <v>0.0</v>
      </c>
      <c r="M150" t="n">
        <v>5.0</v>
      </c>
      <c r="N150" t="inlineStr">
        <is>
          <t>0.18518518518518517</t>
        </is>
      </c>
      <c r="O150" t="n">
        <v>4.0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inlineStr">
        <is>
          <t/>
        </is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27.0</v>
      </c>
      <c r="AE150" t="n">
        <v>1.0</v>
      </c>
      <c r="AF150" t="n">
        <v>0.0</v>
      </c>
      <c r="AG150" t="n">
        <v>0.0</v>
      </c>
      <c r="AH150" t="n">
        <v>1.0</v>
      </c>
      <c r="AI150" t="n">
        <v>0.0</v>
      </c>
      <c r="AJ150" t="n">
        <v>0.0</v>
      </c>
      <c r="AK150" t="n">
        <v>10.481481481481481</v>
      </c>
      <c r="AL150" t="inlineStr">
        <is>
          <t/>
        </is>
      </c>
    </row>
    <row r="151">
      <c r="A151" t="inlineStr">
        <is>
          <t>因为这碗三文鱼，我在办公室出名了</t>
        </is>
      </c>
      <c r="B151" t="inlineStr">
        <is>
          <t>69858763000000001a02617a</t>
        </is>
      </c>
      <c r="C151" s="150" t="n">
        <f>HYPERLINK("https://www.xiaohongshu.com/explore/69858763000000001a02617a?xsec_token=TB_5RNbIh6A19RWGV21Hy8yySdw2Hth2wGpE1uc-DI1jE=&amp;xsec_source=pc_trdark","https://www.xiaohongshu.com/explore/69858763000000001a02617a?xsec_token=TB_5RNbIh6A19RWGV21Hy8yySdw2Hth2wGpE1uc-DI1jE=&amp;xsec_source=pc_trdark")</f>
        <v>0.0</v>
      </c>
      <c r="D151" t="inlineStr">
        <is>
          <t>鲜水湾</t>
        </is>
      </c>
      <c r="E151" t="inlineStr">
        <is>
          <t>49316638994</t>
        </is>
      </c>
      <c r="F151" t="inlineStr">
        <is>
          <t>2026-02-06 14:17:07</t>
        </is>
      </c>
      <c r="G151" t="inlineStr">
        <is>
          <t>图文</t>
        </is>
      </c>
      <c r="H151" t="inlineStr">
        <is>
          <t>智利三文鱼切块·整条三文鱼·深海鱼一人食健康饮食</t>
        </is>
      </c>
      <c r="I151" t="inlineStr">
        <is>
          <t>691ac562a524ee0001b51d7b</t>
        </is>
      </c>
      <c r="J151" t="inlineStr">
        <is>
          <t/>
        </is>
      </c>
      <c r="K151" t="n">
        <v>0.0</v>
      </c>
      <c r="L151" t="n">
        <v>0.0</v>
      </c>
      <c r="M151" t="n">
        <v>2.0</v>
      </c>
      <c r="N151" t="inlineStr">
        <is>
          <t>0.07407407407407407</t>
        </is>
      </c>
      <c r="O151" t="n">
        <v>1.0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inlineStr">
        <is>
          <t/>
        </is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27.0</v>
      </c>
      <c r="AE151" t="n">
        <v>1.0</v>
      </c>
      <c r="AF151" t="n">
        <v>0.0</v>
      </c>
      <c r="AG151" t="n">
        <v>0.0</v>
      </c>
      <c r="AH151" t="n">
        <v>2.0</v>
      </c>
      <c r="AI151" t="n">
        <v>0.0</v>
      </c>
      <c r="AJ151" t="n">
        <v>0.0</v>
      </c>
      <c r="AK151" t="n">
        <v>10.407407407407407</v>
      </c>
      <c r="AL151" t="inlineStr">
        <is>
          <t/>
        </is>
      </c>
    </row>
    <row r="152">
      <c r="A152" t="inlineStr">
        <is>
          <t>2026年春节礼盒备好了</t>
        </is>
      </c>
      <c r="B152" t="inlineStr">
        <is>
          <t>697f4056000000001a023974</t>
        </is>
      </c>
      <c r="C152" s="151" t="n">
        <f>HYPERLINK("https://www.xiaohongshu.com/explore/697f4056000000001a023974?xsec_token=TBGi407i-ri3oYa_7RM3ZIGTv048lvZx0YXobjfww0vS8=&amp;xsec_source=pc_trdark","https://www.xiaohongshu.com/explore/697f4056000000001a023974?xsec_token=TBGi407i-ri3oYa_7RM3ZIGTv048lvZx0YXobjfww0vS8=&amp;xsec_source=pc_trdark")</f>
        <v>0.0</v>
      </c>
      <c r="D152" t="inlineStr">
        <is>
          <t>鲜水湾</t>
        </is>
      </c>
      <c r="E152" t="inlineStr">
        <is>
          <t>49316638994</t>
        </is>
      </c>
      <c r="F152" t="inlineStr">
        <is>
          <t>2026-02-01 20:00:22</t>
        </is>
      </c>
      <c r="G152" t="inlineStr">
        <is>
          <t>图文</t>
        </is>
      </c>
      <c r="H152" t="inlineStr">
        <is>
          <t>智利三文鱼切块·整条三文鱼·深海鱼一人食健康饮食</t>
        </is>
      </c>
      <c r="I152" t="inlineStr">
        <is>
          <t>691ac562a524ee0001b51d7b</t>
        </is>
      </c>
      <c r="J152" t="inlineStr">
        <is>
          <t/>
        </is>
      </c>
      <c r="K152" t="n">
        <v>0.0</v>
      </c>
      <c r="L152" t="n">
        <v>0.0</v>
      </c>
      <c r="M152" t="n">
        <v>3.0</v>
      </c>
      <c r="N152" t="n">
        <v>0.1111111111111111</v>
      </c>
      <c r="O152" t="n">
        <v>2.0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inlineStr">
        <is>
          <t/>
        </is>
      </c>
      <c r="X152" t="n">
        <v>0.0</v>
      </c>
      <c r="Y152" t="n">
        <v>0.0</v>
      </c>
      <c r="Z152" t="n">
        <v>2.0</v>
      </c>
      <c r="AA152" t="n">
        <v>0.0</v>
      </c>
      <c r="AB152" t="n">
        <v>0.0</v>
      </c>
      <c r="AC152" t="n">
        <v>0.0</v>
      </c>
      <c r="AD152" t="n">
        <v>27.0</v>
      </c>
      <c r="AE152" t="n">
        <v>0.0</v>
      </c>
      <c r="AF152" t="n">
        <v>1.0</v>
      </c>
      <c r="AG152" t="n">
        <v>0.0</v>
      </c>
      <c r="AH152" t="n">
        <v>2.0</v>
      </c>
      <c r="AI152" t="n">
        <v>0.0</v>
      </c>
      <c r="AJ152" t="n">
        <v>0.0</v>
      </c>
      <c r="AK152" t="n">
        <v>8.148148148148149</v>
      </c>
      <c r="AL152" t="inlineStr">
        <is>
          <t/>
        </is>
      </c>
    </row>
    <row r="153">
      <c r="A153" t="inlineStr">
        <is>
          <t>年后控体大法，一般人我不告诉</t>
        </is>
      </c>
      <c r="B153" t="inlineStr">
        <is>
          <t>69a2be17000000002801e15b</t>
        </is>
      </c>
      <c r="C153" s="152" t="n">
        <f>HYPERLINK("https://www.xiaohongshu.com/explore/69a2be17000000002801e15b?xsec_token=TBUws-qSGfQm7WfIK5gxFwZ1Ge2kFHIGG4L62RT6nC3BY=&amp;xsec_source=pc_trdark","https://www.xiaohongshu.com/explore/69a2be17000000002801e15b?xsec_token=TBUws-qSGfQm7WfIK5gxFwZ1Ge2kFHIGG4L62RT6nC3BY=&amp;xsec_source=pc_trdark")</f>
        <v>0.0</v>
      </c>
      <c r="D153" t="inlineStr">
        <is>
          <t>鲜水湾</t>
        </is>
      </c>
      <c r="E153" t="inlineStr">
        <is>
          <t>49316638994</t>
        </is>
      </c>
      <c r="F153" t="inlineStr">
        <is>
          <t>2026-02-28 18:06:15</t>
        </is>
      </c>
      <c r="G153" t="inlineStr">
        <is>
          <t>图文</t>
        </is>
      </c>
      <c r="H153" t="inlineStr">
        <is>
          <t>手剥虾仁 无冰衣无添加 低脂餐一人食 上班带饭 顺丰包邮 5盒装</t>
        </is>
      </c>
      <c r="I153" t="inlineStr">
        <is>
          <t>694baba01d450d00013662f0</t>
        </is>
      </c>
      <c r="J153" t="inlineStr">
        <is>
          <t/>
        </is>
      </c>
      <c r="K153" t="n">
        <v>0.0</v>
      </c>
      <c r="L153" t="n">
        <v>0.0</v>
      </c>
      <c r="M153" t="n">
        <v>4.0</v>
      </c>
      <c r="N153" t="inlineStr">
        <is>
          <t>0.15384615384615385</t>
        </is>
      </c>
      <c r="O153" t="n">
        <v>3.0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inlineStr">
        <is>
          <t/>
        </is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26.0</v>
      </c>
      <c r="AE153" t="n">
        <v>0.0</v>
      </c>
      <c r="AF153" t="n">
        <v>0.0</v>
      </c>
      <c r="AG153" t="n">
        <v>0.0</v>
      </c>
      <c r="AH153" t="n">
        <v>2.0</v>
      </c>
      <c r="AI153" t="n">
        <v>0.0</v>
      </c>
      <c r="AJ153" t="n">
        <v>0.0</v>
      </c>
      <c r="AK153" t="n">
        <v>15.461538461538462</v>
      </c>
      <c r="AL153" t="inlineStr">
        <is>
          <t/>
        </is>
      </c>
    </row>
    <row r="154">
      <c r="A154" t="inlineStr">
        <is>
          <t>自从减脂买了这个虾仁🍤，一个月省好几百！</t>
        </is>
      </c>
      <c r="B154" t="inlineStr">
        <is>
          <t>69a17d74000000001a037572</t>
        </is>
      </c>
      <c r="C154" s="153" t="n">
        <f>HYPERLINK("https://www.xiaohongshu.com/explore/69a17d74000000001a037572?xsec_token=TBk7Tu9foWGIsieMmGc2tlwonvTIGzChTME6-ODDFvbdw=&amp;xsec_source=pc_trdark","https://www.xiaohongshu.com/explore/69a17d74000000001a037572?xsec_token=TBk7Tu9foWGIsieMmGc2tlwonvTIGzChTME6-ODDFvbdw=&amp;xsec_source=pc_trdark")</f>
        <v>0.0</v>
      </c>
      <c r="D154" t="inlineStr">
        <is>
          <t>鲜水湾</t>
        </is>
      </c>
      <c r="E154" t="inlineStr">
        <is>
          <t>49316638994</t>
        </is>
      </c>
      <c r="F154" t="inlineStr">
        <is>
          <t>2026-02-27 19:18:12</t>
        </is>
      </c>
      <c r="G154" t="inlineStr">
        <is>
          <t>图文</t>
        </is>
      </c>
      <c r="H154" t="inlineStr">
        <is>
          <t>手剥虾仁 无冰衣无添加 低脂餐一人食 上班带饭 顺丰包邮 5盒装</t>
        </is>
      </c>
      <c r="I154" t="inlineStr">
        <is>
          <t>694baba01d450d00013662f0</t>
        </is>
      </c>
      <c r="J154" t="inlineStr">
        <is>
          <t/>
        </is>
      </c>
      <c r="K154" t="n">
        <v>0.0</v>
      </c>
      <c r="L154" t="n">
        <v>0.0</v>
      </c>
      <c r="M154" t="n">
        <v>5.0</v>
      </c>
      <c r="N154" t="inlineStr">
        <is>
          <t>0.20833333333333334</t>
        </is>
      </c>
      <c r="O154" t="n">
        <v>2.0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inlineStr">
        <is>
          <t/>
        </is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24.0</v>
      </c>
      <c r="AE154" t="n">
        <v>2.0</v>
      </c>
      <c r="AF154" t="n">
        <v>0.0</v>
      </c>
      <c r="AG154" t="n">
        <v>0.0</v>
      </c>
      <c r="AH154" t="n">
        <v>2.0</v>
      </c>
      <c r="AI154" t="n">
        <v>0.0</v>
      </c>
      <c r="AJ154" t="n">
        <v>0.0</v>
      </c>
      <c r="AK154" t="n">
        <v>7.291666666666667</v>
      </c>
      <c r="AL154" t="inlineStr">
        <is>
          <t/>
        </is>
      </c>
    </row>
    <row r="155">
      <c r="A155" t="inlineStr">
        <is>
          <t>讲真！自己像米其林大厨🧑‍🍳</t>
        </is>
      </c>
      <c r="B155" t="inlineStr">
        <is>
          <t>69897fe4000000002801ed74</t>
        </is>
      </c>
      <c r="C155" s="154" t="n">
        <f>HYPERLINK("https://www.xiaohongshu.com/explore/69897fe4000000002801ed74?xsec_token=TBeAeWMkLJ9etYlFDlK3pguZaINAfHwvOzpr8AxU8Cp0k=&amp;xsec_source=pc_trdark","https://www.xiaohongshu.com/explore/69897fe4000000002801ed74?xsec_token=TBeAeWMkLJ9etYlFDlK3pguZaINAfHwvOzpr8AxU8Cp0k=&amp;xsec_source=pc_trdark")</f>
        <v>0.0</v>
      </c>
      <c r="D155" t="inlineStr">
        <is>
          <t>鲜水湾</t>
        </is>
      </c>
      <c r="E155" t="inlineStr">
        <is>
          <t>49316638994</t>
        </is>
      </c>
      <c r="F155" t="inlineStr">
        <is>
          <t>2026-02-09 14:34:12</t>
        </is>
      </c>
      <c r="G155" t="inlineStr">
        <is>
          <t>图文</t>
        </is>
      </c>
      <c r="H155" t="inlineStr">
        <is>
          <t>智利三文鱼切块·整条三文鱼·深海鱼一人食健康饮食</t>
        </is>
      </c>
      <c r="I155" t="inlineStr">
        <is>
          <t>691ac562a524ee0001b51d7b</t>
        </is>
      </c>
      <c r="J155" t="inlineStr">
        <is>
          <t/>
        </is>
      </c>
      <c r="K155" t="n">
        <v>0.0</v>
      </c>
      <c r="L155" t="n">
        <v>0.0</v>
      </c>
      <c r="M155" t="n">
        <v>1.0</v>
      </c>
      <c r="N155" t="inlineStr">
        <is>
          <t>0.041666666666666664</t>
        </is>
      </c>
      <c r="O155" t="n">
        <v>1.0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inlineStr">
        <is>
          <t/>
        </is>
      </c>
      <c r="X155" t="n">
        <v>0.0</v>
      </c>
      <c r="Y155" t="n">
        <v>0.0</v>
      </c>
      <c r="Z155" t="n">
        <v>1.0</v>
      </c>
      <c r="AA155" t="n">
        <v>0.0</v>
      </c>
      <c r="AB155" t="n">
        <v>0.0</v>
      </c>
      <c r="AC155" t="n">
        <v>0.0</v>
      </c>
      <c r="AD155" t="n">
        <v>24.0</v>
      </c>
      <c r="AE155" t="n">
        <v>0.0</v>
      </c>
      <c r="AF155" t="n">
        <v>0.0</v>
      </c>
      <c r="AG155" t="n">
        <v>0.0</v>
      </c>
      <c r="AH155" t="n">
        <v>2.0</v>
      </c>
      <c r="AI155" t="n">
        <v>0.0</v>
      </c>
      <c r="AJ155" t="n">
        <v>0.0</v>
      </c>
      <c r="AK155" t="n">
        <v>7.916666666666667</v>
      </c>
      <c r="AL155" t="inlineStr">
        <is>
          <t/>
        </is>
      </c>
    </row>
    <row r="156">
      <c r="A156" t="inlineStr">
        <is>
          <t>爸妈对于我每天吃虾表示很奢侈！</t>
        </is>
      </c>
      <c r="B156" t="inlineStr">
        <is>
          <t>6981b845000000001a01d18b</t>
        </is>
      </c>
      <c r="C156" s="155" t="n">
        <f>HYPERLINK("https://www.xiaohongshu.com/explore/6981b845000000001a01d18b?xsec_token=TBCSP6T6xotiZWoIZvuSKQiH0fXJfqfpS_xUHvxEXstxs=&amp;xsec_source=pc_trdark","https://www.xiaohongshu.com/explore/6981b845000000001a01d18b?xsec_token=TBCSP6T6xotiZWoIZvuSKQiH0fXJfqfpS_xUHvxEXstxs=&amp;xsec_source=pc_trdark")</f>
        <v>0.0</v>
      </c>
      <c r="D156" t="inlineStr">
        <is>
          <t>鲜水湾</t>
        </is>
      </c>
      <c r="E156" t="inlineStr">
        <is>
          <t>49316638994</t>
        </is>
      </c>
      <c r="F156" t="inlineStr">
        <is>
          <t>2026-02-03 16:56:37</t>
        </is>
      </c>
      <c r="G156" t="inlineStr">
        <is>
          <t>图文</t>
        </is>
      </c>
      <c r="H156" t="inlineStr">
        <is>
          <t>大虾基围虾王牌大虾厄瓜多尔白虾盐冻虾仁海洋大虾送礼顺丰包邮</t>
        </is>
      </c>
      <c r="I156" t="inlineStr">
        <is>
          <t>690aeb7be379430001e686ac</t>
        </is>
      </c>
      <c r="J156" t="inlineStr">
        <is>
          <t/>
        </is>
      </c>
      <c r="K156" t="n">
        <v>0.0</v>
      </c>
      <c r="L156" t="n">
        <v>0.0</v>
      </c>
      <c r="M156" t="n">
        <v>1.0</v>
      </c>
      <c r="N156" t="inlineStr">
        <is>
          <t>0.041666666666666664</t>
        </is>
      </c>
      <c r="O156" t="n">
        <v>1.0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inlineStr">
        <is>
          <t/>
        </is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24.0</v>
      </c>
      <c r="AE156" t="n">
        <v>0.0</v>
      </c>
      <c r="AF156" t="n">
        <v>0.0</v>
      </c>
      <c r="AG156" t="n">
        <v>0.0</v>
      </c>
      <c r="AH156" t="n">
        <v>2.0</v>
      </c>
      <c r="AI156" t="n">
        <v>0.0</v>
      </c>
      <c r="AJ156" t="n">
        <v>0.0</v>
      </c>
      <c r="AK156" t="n">
        <v>9.291666666666666</v>
      </c>
      <c r="AL156" t="inlineStr">
        <is>
          <t/>
        </is>
      </c>
    </row>
    <row r="157">
      <c r="A157" t="inlineStr">
        <is>
          <t>我爸让我赶紧宣传一下40多一箱了！包活包肥</t>
        </is>
      </c>
      <c r="B157" t="inlineStr">
        <is>
          <t>693a2988000000001e0221ba</t>
        </is>
      </c>
      <c r="C157" s="156" t="n">
        <f>HYPERLINK("https://www.xiaohongshu.com/explore/693a2988000000001e0221ba?xsec_token=TBSe-eT4tPFhzXSmwZAcjHHzQcaRUI4VGM8y9as0HprmI=&amp;xsec_source=pc_trdark","https://www.xiaohongshu.com/explore/693a2988000000001e0221ba?xsec_token=TBSe-eT4tPFhzXSmwZAcjHHzQcaRUI4VGM8y9as0HprmI=&amp;xsec_source=pc_trdark")</f>
        <v>0.0</v>
      </c>
      <c r="D157" t="inlineStr">
        <is>
          <t>婉婉上班吃什么</t>
        </is>
      </c>
      <c r="E157" t="inlineStr">
        <is>
          <t>11434449706</t>
        </is>
      </c>
      <c r="F157" t="inlineStr">
        <is>
          <t>2025-12-11 10:16:40</t>
        </is>
      </c>
      <c r="G157" t="inlineStr">
        <is>
          <t>视频</t>
        </is>
      </c>
      <c r="H157" t="inlineStr">
        <is>
          <t>生蚝乳山生蚝海蛎子顺丰包邮</t>
        </is>
      </c>
      <c r="I157" t="inlineStr">
        <is>
          <t>690c70971b787900010866cc</t>
        </is>
      </c>
      <c r="J157" t="n">
        <v>21.0</v>
      </c>
      <c r="K157" t="n">
        <v>0.0</v>
      </c>
      <c r="L157" t="n">
        <v>0.0</v>
      </c>
      <c r="M157" t="n">
        <v>3.0</v>
      </c>
      <c r="N157" t="n">
        <v>0.125</v>
      </c>
      <c r="O157" t="n">
        <v>3.0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inlineStr">
        <is>
          <t/>
        </is>
      </c>
      <c r="X157" t="n">
        <v>0.0</v>
      </c>
      <c r="Y157" t="n">
        <v>0.0</v>
      </c>
      <c r="Z157" t="n">
        <v>1.0</v>
      </c>
      <c r="AA157" t="n">
        <v>0.0</v>
      </c>
      <c r="AB157" t="n">
        <v>0.0</v>
      </c>
      <c r="AC157" t="n">
        <v>0.0</v>
      </c>
      <c r="AD157" t="n">
        <v>24.0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5.958333333333333</v>
      </c>
      <c r="AL157" t="n">
        <v>0.1111111111111111</v>
      </c>
    </row>
    <row r="158">
      <c r="A158" t="inlineStr">
        <is>
          <t>一个人带动全办公室姐妹囤了78910斤</t>
        </is>
      </c>
      <c r="B158" t="inlineStr">
        <is>
          <t>69854a29000000001a025a5f</t>
        </is>
      </c>
      <c r="C158" s="157" t="n">
        <f>HYPERLINK("https://www.xiaohongshu.com/explore/69854a29000000001a025a5f?xsec_token=TB_5RNbIh6A19RWGV21Hy8y733BZHhqkryg2yT07qOBMQ=&amp;xsec_source=pc_trdark","https://www.xiaohongshu.com/explore/69854a29000000001a025a5f?xsec_token=TB_5RNbIh6A19RWGV21Hy8y733BZHhqkryg2yT07qOBMQ=&amp;xsec_source=pc_trdark")</f>
        <v>0.0</v>
      </c>
      <c r="D158" t="inlineStr">
        <is>
          <t>鲜水湾</t>
        </is>
      </c>
      <c r="E158" t="inlineStr">
        <is>
          <t>49316638994</t>
        </is>
      </c>
      <c r="F158" t="inlineStr">
        <is>
          <t>2026-02-06 09:55:53</t>
        </is>
      </c>
      <c r="G158" t="inlineStr">
        <is>
          <t>图文</t>
        </is>
      </c>
      <c r="H158" t="inlineStr">
        <is>
          <t>智利三文鱼切块·整条三文鱼·深海鱼一人食健康饮食</t>
        </is>
      </c>
      <c r="I158" t="inlineStr">
        <is>
          <t>691ac562a524ee0001b51d7b</t>
        </is>
      </c>
      <c r="J158" t="inlineStr">
        <is>
          <t/>
        </is>
      </c>
      <c r="K158" t="n">
        <v>0.0</v>
      </c>
      <c r="L158" t="n">
        <v>0.0</v>
      </c>
      <c r="M158" t="n">
        <v>1.0</v>
      </c>
      <c r="N158" t="inlineStr">
        <is>
          <t>0.043478260869565216</t>
        </is>
      </c>
      <c r="O158" t="n">
        <v>1.0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inlineStr">
        <is>
          <t/>
        </is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23.0</v>
      </c>
      <c r="AE158" t="n">
        <v>1.0</v>
      </c>
      <c r="AF158" t="n">
        <v>0.0</v>
      </c>
      <c r="AG158" t="n">
        <v>0.0</v>
      </c>
      <c r="AH158" t="n">
        <v>2.0</v>
      </c>
      <c r="AI158" t="n">
        <v>0.0</v>
      </c>
      <c r="AJ158" t="n">
        <v>0.0</v>
      </c>
      <c r="AK158" t="n">
        <v>10.043478260869565</v>
      </c>
      <c r="AL158" t="inlineStr">
        <is>
          <t/>
        </is>
      </c>
    </row>
    <row r="159">
      <c r="A159" t="inlineStr">
        <is>
          <t>刚下完大雪，生蚝一下子全肥了，不可控……</t>
        </is>
      </c>
      <c r="B159" t="inlineStr">
        <is>
          <t>6948f647000000001e02af55</t>
        </is>
      </c>
      <c r="C159" s="158" t="n">
        <f>HYPERLINK("https://www.xiaohongshu.com/explore/6948f647000000001e02af55?xsec_token=TBmTqutVtP5Tww83padVl32Pgrvygq-kpw2iEJbtDdN4I=&amp;xsec_source=pc_trdark","https://www.xiaohongshu.com/explore/6948f647000000001e02af55?xsec_token=TBmTqutVtP5Tww83padVl32Pgrvygq-kpw2iEJbtDdN4I=&amp;xsec_source=pc_trdark")</f>
        <v>0.0</v>
      </c>
      <c r="D159" t="inlineStr">
        <is>
          <t>鲜水湾</t>
        </is>
      </c>
      <c r="E159" t="inlineStr">
        <is>
          <t>49316638994</t>
        </is>
      </c>
      <c r="F159" t="inlineStr">
        <is>
          <t>2025-12-22 15:41:59</t>
        </is>
      </c>
      <c r="G159" t="inlineStr">
        <is>
          <t>图文</t>
        </is>
      </c>
      <c r="H159" t="inlineStr">
        <is>
          <t>生蚝乳山生蚝海蛎子顺丰包邮</t>
        </is>
      </c>
      <c r="I159" t="inlineStr">
        <is>
          <t>690c70971b787900010866cc</t>
        </is>
      </c>
      <c r="J159" t="inlineStr">
        <is>
          <t/>
        </is>
      </c>
      <c r="K159" t="n">
        <v>0.0</v>
      </c>
      <c r="L159" t="n">
        <v>0.0</v>
      </c>
      <c r="M159" t="n">
        <v>1.0</v>
      </c>
      <c r="N159" t="inlineStr">
        <is>
          <t>0.043478260869565216</t>
        </is>
      </c>
      <c r="O159" t="n">
        <v>1.0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inlineStr">
        <is>
          <t/>
        </is>
      </c>
      <c r="X159" t="n">
        <v>0.0</v>
      </c>
      <c r="Y159" t="n">
        <v>1.0</v>
      </c>
      <c r="Z159" t="n">
        <v>0.0</v>
      </c>
      <c r="AA159" t="n">
        <v>0.0</v>
      </c>
      <c r="AB159" t="n">
        <v>0.0</v>
      </c>
      <c r="AC159" t="n">
        <v>0.0</v>
      </c>
      <c r="AD159" t="n">
        <v>23.0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5.608695652173913</v>
      </c>
      <c r="AL159" t="inlineStr">
        <is>
          <t/>
        </is>
      </c>
    </row>
    <row r="160">
      <c r="A160" t="inlineStr">
        <is>
          <t>爸妈愁的睡不着觉，49.9r一箱五斤包邮了</t>
        </is>
      </c>
      <c r="B160" t="inlineStr">
        <is>
          <t>69327b24000000001b0327c8</t>
        </is>
      </c>
      <c r="C160" s="159" t="n">
        <f>HYPERLINK("https://www.xiaohongshu.com/explore/69327b24000000001b0327c8?xsec_token=TBpgGkEYDo_gVOMrYT9wIn9-DahFoYsOH1I4Xr9al5eZM=&amp;xsec_source=pc_trdark","https://www.xiaohongshu.com/explore/69327b24000000001b0327c8?xsec_token=TBpgGkEYDo_gVOMrYT9wIn9-DahFoYsOH1I4Xr9al5eZM=&amp;xsec_source=pc_trdark")</f>
        <v>0.0</v>
      </c>
      <c r="D160" t="inlineStr">
        <is>
          <t>婉婉上班吃什么</t>
        </is>
      </c>
      <c r="E160" t="inlineStr">
        <is>
          <t>11434449706</t>
        </is>
      </c>
      <c r="F160" t="inlineStr">
        <is>
          <t>2025-12-05 14:26:44</t>
        </is>
      </c>
      <c r="G160" t="inlineStr">
        <is>
          <t>视频</t>
        </is>
      </c>
      <c r="H160" t="inlineStr">
        <is>
          <t>生蚝乳山生蚝海蛎子顺丰包邮</t>
        </is>
      </c>
      <c r="I160" t="inlineStr">
        <is>
          <t>690c70971b787900010866cc</t>
        </is>
      </c>
      <c r="J160" t="n">
        <v>37.0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inlineStr">
        <is>
          <t/>
        </is>
      </c>
      <c r="R160" t="inlineStr">
        <is>
          <t/>
        </is>
      </c>
      <c r="S160" t="n">
        <v>0.0</v>
      </c>
      <c r="T160" t="n">
        <v>0.0</v>
      </c>
      <c r="U160" t="n">
        <v>0.0</v>
      </c>
      <c r="V160" t="n">
        <v>0.0</v>
      </c>
      <c r="W160" t="inlineStr">
        <is>
          <t/>
        </is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23.0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1.7391304347826086</v>
      </c>
      <c r="AL160" t="n">
        <v>0.0</v>
      </c>
    </row>
    <row r="161">
      <c r="A161" t="inlineStr">
        <is>
          <t>我爸让我通知各位，乳山超大生蚝59.9r5斤</t>
        </is>
      </c>
      <c r="B161" t="inlineStr">
        <is>
          <t>691aeb55000000000503963f</t>
        </is>
      </c>
      <c r="C161" s="160" t="n">
        <f>HYPERLINK("https://www.xiaohongshu.com/explore/691aeb55000000000503963f?xsec_token=TB7_xX17zVvyJQL8hbcdzoIIZGDpO49cFO6D2BJLllgv0=&amp;xsec_source=pc_trdark","https://www.xiaohongshu.com/explore/691aeb55000000000503963f?xsec_token=TB7_xX17zVvyJQL8hbcdzoIIZGDpO49cFO6D2BJLllgv0=&amp;xsec_source=pc_trdark")</f>
        <v>0.0</v>
      </c>
      <c r="D161" t="inlineStr">
        <is>
          <t>婉婉上班吃什么</t>
        </is>
      </c>
      <c r="E161" t="inlineStr">
        <is>
          <t>11434449706</t>
        </is>
      </c>
      <c r="F161" t="inlineStr">
        <is>
          <t>2025-11-17 17:31:01</t>
        </is>
      </c>
      <c r="G161" t="inlineStr">
        <is>
          <t>视频</t>
        </is>
      </c>
      <c r="H161" t="inlineStr">
        <is>
          <t>生蚝乳山生蚝海蛎子顺丰包邮</t>
        </is>
      </c>
      <c r="I161" t="inlineStr">
        <is>
          <t>690c70971b787900010866cc</t>
        </is>
      </c>
      <c r="J161" t="n">
        <v>33.0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inlineStr">
        <is>
          <t/>
        </is>
      </c>
      <c r="R161" t="inlineStr">
        <is>
          <t/>
        </is>
      </c>
      <c r="S161" t="n">
        <v>0.0</v>
      </c>
      <c r="T161" t="n">
        <v>0.0</v>
      </c>
      <c r="U161" t="n">
        <v>0.0</v>
      </c>
      <c r="V161" t="n">
        <v>0.0</v>
      </c>
      <c r="W161" t="inlineStr">
        <is>
          <t/>
        </is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23.0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9.043478260869565</v>
      </c>
      <c r="AL161" t="n">
        <v>0.12</v>
      </c>
    </row>
    <row r="162">
      <c r="A162" t="inlineStr">
        <is>
          <t>长期吃三文鱼的代价就是。。。</t>
        </is>
      </c>
      <c r="B162" t="inlineStr">
        <is>
          <t>6984530c000000001a0347a5</t>
        </is>
      </c>
      <c r="C162" s="161" t="n">
        <f>HYPERLINK("https://www.xiaohongshu.com/explore/6984530c000000001a0347a5?xsec_token=TBn0ftdrPlwv37Gn1tDFpAI2puJNXEBAJ5Efs_F6Mp2zs=&amp;xsec_source=pc_trdark","https://www.xiaohongshu.com/explore/6984530c000000001a0347a5?xsec_token=TBn0ftdrPlwv37Gn1tDFpAI2puJNXEBAJ5Efs_F6Mp2zs=&amp;xsec_source=pc_trdark")</f>
        <v>0.0</v>
      </c>
      <c r="D162" t="inlineStr">
        <is>
          <t>鲜水湾</t>
        </is>
      </c>
      <c r="E162" t="inlineStr">
        <is>
          <t>49316638994</t>
        </is>
      </c>
      <c r="F162" t="inlineStr">
        <is>
          <t>2026-02-05 16:21:32</t>
        </is>
      </c>
      <c r="G162" t="inlineStr">
        <is>
          <t>图文</t>
        </is>
      </c>
      <c r="H162" t="inlineStr">
        <is>
          <t>智利三文鱼切块·整条三文鱼·深海鱼一人食健康饮食</t>
        </is>
      </c>
      <c r="I162" t="inlineStr">
        <is>
          <t>691ac562a524ee0001b51d7b</t>
        </is>
      </c>
      <c r="J162" t="inlineStr">
        <is>
          <t/>
        </is>
      </c>
      <c r="K162" t="n">
        <v>0.0</v>
      </c>
      <c r="L162" t="n">
        <v>0.0</v>
      </c>
      <c r="M162" t="n">
        <v>2.0</v>
      </c>
      <c r="N162" t="inlineStr">
        <is>
          <t>0.09090909090909091</t>
        </is>
      </c>
      <c r="O162" t="n">
        <v>2.0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inlineStr">
        <is>
          <t/>
        </is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22.0</v>
      </c>
      <c r="AE162" t="n">
        <v>0.0</v>
      </c>
      <c r="AF162" t="n">
        <v>0.0</v>
      </c>
      <c r="AG162" t="n">
        <v>0.0</v>
      </c>
      <c r="AH162" t="n">
        <v>1.0</v>
      </c>
      <c r="AI162" t="n">
        <v>0.0</v>
      </c>
      <c r="AJ162" t="n">
        <v>0.0</v>
      </c>
      <c r="AK162" t="n">
        <v>7.954545454545454</v>
      </c>
      <c r="AL162" t="inlineStr">
        <is>
          <t/>
        </is>
      </c>
    </row>
    <row r="163">
      <c r="A163" t="inlineStr">
        <is>
          <t>感谢小红书🙏让乳山生蚝卖到了广东</t>
        </is>
      </c>
      <c r="B163" t="inlineStr">
        <is>
          <t>69520efc000000001e0373ae</t>
        </is>
      </c>
      <c r="C163" s="162" t="n">
        <f>HYPERLINK("https://www.xiaohongshu.com/explore/69520efc000000001e0373ae?xsec_token=TBD_qpfRw_GekiL1YWy-5sXpnIJrOzpxvipTOy3jWPWwE=&amp;xsec_source=pc_trdark","https://www.xiaohongshu.com/explore/69520efc000000001e0373ae?xsec_token=TBD_qpfRw_GekiL1YWy-5sXpnIJrOzpxvipTOy3jWPWwE=&amp;xsec_source=pc_trdark")</f>
        <v>0.0</v>
      </c>
      <c r="D163" t="inlineStr">
        <is>
          <t>鲜水湾</t>
        </is>
      </c>
      <c r="E163" t="inlineStr">
        <is>
          <t>49316638994</t>
        </is>
      </c>
      <c r="F163" t="inlineStr">
        <is>
          <t>2025-12-29 13:17:48</t>
        </is>
      </c>
      <c r="G163" t="inlineStr">
        <is>
          <t>图文</t>
        </is>
      </c>
      <c r="H163" t="inlineStr">
        <is>
          <t>生蚝乳山生蚝海蛎子顺丰包邮</t>
        </is>
      </c>
      <c r="I163" t="inlineStr">
        <is>
          <t>690c70971b787900010866cc</t>
        </is>
      </c>
      <c r="J163" t="inlineStr">
        <is>
          <t/>
        </is>
      </c>
      <c r="K163" t="n">
        <v>0.0</v>
      </c>
      <c r="L163" t="n">
        <v>0.0</v>
      </c>
      <c r="M163" t="n">
        <v>2.0</v>
      </c>
      <c r="N163" t="inlineStr">
        <is>
          <t>0.09090909090909091</t>
        </is>
      </c>
      <c r="O163" t="n">
        <v>2.0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inlineStr">
        <is>
          <t/>
        </is>
      </c>
      <c r="X163" t="n">
        <v>0.0</v>
      </c>
      <c r="Y163" t="n">
        <v>0.0</v>
      </c>
      <c r="Z163" t="n">
        <v>1.0</v>
      </c>
      <c r="AA163" t="n">
        <v>0.0</v>
      </c>
      <c r="AB163" t="n">
        <v>0.0</v>
      </c>
      <c r="AC163" t="n">
        <v>0.0</v>
      </c>
      <c r="AD163" t="n">
        <v>22.0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7.0</v>
      </c>
      <c r="AL163" t="inlineStr">
        <is>
          <t/>
        </is>
      </c>
    </row>
    <row r="164">
      <c r="A164" t="inlineStr">
        <is>
          <t>60块的购买力又刷新了我的认知！</t>
        </is>
      </c>
      <c r="B164" t="inlineStr">
        <is>
          <t>6916ee160000000005012c8b</t>
        </is>
      </c>
      <c r="C164" s="163" t="n">
        <f>HYPERLINK("https://www.xiaohongshu.com/explore/6916ee160000000005012c8b?xsec_token=TBHZiehrAOyLGw_5sWYDTDSeI0v6Sx52eesnzvEiyObhc=&amp;xsec_source=pc_trdark","https://www.xiaohongshu.com/explore/6916ee160000000005012c8b?xsec_token=TBHZiehrAOyLGw_5sWYDTDSeI0v6Sx52eesnzvEiyObhc=&amp;xsec_source=pc_trdark")</f>
        <v>0.0</v>
      </c>
      <c r="D164" t="inlineStr">
        <is>
          <t>婉婉上班吃什么</t>
        </is>
      </c>
      <c r="E164" t="inlineStr">
        <is>
          <t>11434449706</t>
        </is>
      </c>
      <c r="F164" t="inlineStr">
        <is>
          <t>2025-11-14 16:53:42</t>
        </is>
      </c>
      <c r="G164" t="inlineStr">
        <is>
          <t>视频</t>
        </is>
      </c>
      <c r="H164" t="inlineStr">
        <is>
          <t>生蚝乳山生蚝海蛎子顺丰包邮</t>
        </is>
      </c>
      <c r="I164" t="inlineStr">
        <is>
          <t>690c70971b787900010866cc</t>
        </is>
      </c>
      <c r="J164" t="n">
        <v>14.0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inlineStr">
        <is>
          <t/>
        </is>
      </c>
      <c r="R164" t="inlineStr">
        <is>
          <t/>
        </is>
      </c>
      <c r="S164" t="n">
        <v>0.0</v>
      </c>
      <c r="T164" t="n">
        <v>0.0</v>
      </c>
      <c r="U164" t="n">
        <v>0.0</v>
      </c>
      <c r="V164" t="n">
        <v>0.0</v>
      </c>
      <c r="W164" t="inlineStr">
        <is>
          <t/>
        </is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22.0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15.090909090909092</v>
      </c>
      <c r="AL164" t="inlineStr">
        <is>
          <t>0.46153846153846156</t>
        </is>
      </c>
    </row>
    <row r="165">
      <c r="A165" t="inlineStr">
        <is>
          <t>减脂带饭太香了！一周掉6斤还省500块</t>
        </is>
      </c>
      <c r="B165" t="inlineStr">
        <is>
          <t>69a27887000000001a03020d</t>
        </is>
      </c>
      <c r="C165" s="164" t="n">
        <f>HYPERLINK("https://www.xiaohongshu.com/explore/69a27887000000001a03020d?xsec_token=TBUws-qSGfQm7WfIK5gxFwZ8FdwWMgvpaqUTzQavddLn4=&amp;xsec_source=pc_trdark","https://www.xiaohongshu.com/explore/69a27887000000001a03020d?xsec_token=TBUws-qSGfQm7WfIK5gxFwZ8FdwWMgvpaqUTzQavddLn4=&amp;xsec_source=pc_trdark")</f>
        <v>0.0</v>
      </c>
      <c r="D165" t="inlineStr">
        <is>
          <t>鲜水湾</t>
        </is>
      </c>
      <c r="E165" t="inlineStr">
        <is>
          <t>49316638994</t>
        </is>
      </c>
      <c r="F165" t="inlineStr">
        <is>
          <t>2026-02-28 13:09:27</t>
        </is>
      </c>
      <c r="G165" t="inlineStr">
        <is>
          <t>图文</t>
        </is>
      </c>
      <c r="H165" t="inlineStr">
        <is>
          <t>手剥虾仁 无冰衣无添加 低脂餐一人食 上班带饭 顺丰包邮 5盒装</t>
        </is>
      </c>
      <c r="I165" t="inlineStr">
        <is>
          <t>694baba01d450d00013662f0</t>
        </is>
      </c>
      <c r="J165" t="inlineStr">
        <is>
          <t/>
        </is>
      </c>
      <c r="K165" t="n">
        <v>0.0</v>
      </c>
      <c r="L165" t="n">
        <v>0.0</v>
      </c>
      <c r="M165" t="n">
        <v>3.0</v>
      </c>
      <c r="N165" t="inlineStr">
        <is>
          <t>0.14285714285714285</t>
        </is>
      </c>
      <c r="O165" t="n">
        <v>3.0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inlineStr">
        <is>
          <t/>
        </is>
      </c>
      <c r="X165" t="n">
        <v>0.0</v>
      </c>
      <c r="Y165" t="n">
        <v>1.0</v>
      </c>
      <c r="Z165" t="n">
        <v>0.0</v>
      </c>
      <c r="AA165" t="n">
        <v>0.0</v>
      </c>
      <c r="AB165" t="n">
        <v>0.0</v>
      </c>
      <c r="AC165" t="n">
        <v>0.0</v>
      </c>
      <c r="AD165" t="n">
        <v>21.0</v>
      </c>
      <c r="AE165" t="n">
        <v>0.0</v>
      </c>
      <c r="AF165" t="n">
        <v>0.0</v>
      </c>
      <c r="AG165" t="n">
        <v>0.0</v>
      </c>
      <c r="AH165" t="n">
        <v>2.0</v>
      </c>
      <c r="AI165" t="n">
        <v>0.0</v>
      </c>
      <c r="AJ165" t="n">
        <v>0.0</v>
      </c>
      <c r="AK165" t="n">
        <v>6.285714285714286</v>
      </c>
      <c r="AL165" t="inlineStr">
        <is>
          <t/>
        </is>
      </c>
    </row>
    <row r="166">
      <c r="A166" t="inlineStr">
        <is>
          <t>千万别小看300块的购买力！</t>
        </is>
      </c>
      <c r="B166" t="inlineStr">
        <is>
          <t>697c8086000000001a01c2f5</t>
        </is>
      </c>
      <c r="C166" s="165" t="n">
        <f>HYPERLINK("https://www.xiaohongshu.com/explore/697c8086000000001a01c2f5?xsec_token=TBV-62_c6Sms9X18ENcOcpiMePbi1gQl70HCE08Zq-6uI=&amp;xsec_source=pc_trdark","https://www.xiaohongshu.com/explore/697c8086000000001a01c2f5?xsec_token=TBV-62_c6Sms9X18ENcOcpiMePbi1gQl70HCE08Zq-6uI=&amp;xsec_source=pc_trdark")</f>
        <v>0.0</v>
      </c>
      <c r="D166" t="inlineStr">
        <is>
          <t>鲜水湾</t>
        </is>
      </c>
      <c r="E166" t="inlineStr">
        <is>
          <t>49316638994</t>
        </is>
      </c>
      <c r="F166" t="inlineStr">
        <is>
          <t>2026-01-30 17:57:26</t>
        </is>
      </c>
      <c r="G166" t="inlineStr">
        <is>
          <t>图文</t>
        </is>
      </c>
      <c r="H166" t="inlineStr">
        <is>
          <t>智利三文鱼切块·整条三文鱼·深海鱼一人食健康饮食</t>
        </is>
      </c>
      <c r="I166" t="inlineStr">
        <is>
          <t>691ac562a524ee0001b51d7b</t>
        </is>
      </c>
      <c r="J166" t="inlineStr">
        <is>
          <t/>
        </is>
      </c>
      <c r="K166" t="n">
        <v>0.0</v>
      </c>
      <c r="L166" t="n">
        <v>0.0</v>
      </c>
      <c r="M166" t="n">
        <v>10.0</v>
      </c>
      <c r="N166" t="inlineStr">
        <is>
          <t>0.47619047619047616</t>
        </is>
      </c>
      <c r="O166" t="n">
        <v>7.0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inlineStr">
        <is>
          <t/>
        </is>
      </c>
      <c r="X166" t="n">
        <v>0.0</v>
      </c>
      <c r="Y166" t="n">
        <v>1.0</v>
      </c>
      <c r="Z166" t="n">
        <v>1.0</v>
      </c>
      <c r="AA166" t="n">
        <v>0.0</v>
      </c>
      <c r="AB166" t="n">
        <v>0.0</v>
      </c>
      <c r="AC166" t="n">
        <v>0.0</v>
      </c>
      <c r="AD166" t="n">
        <v>21.0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11.19047619047619</v>
      </c>
      <c r="AL166" t="inlineStr">
        <is>
          <t/>
        </is>
      </c>
    </row>
    <row r="167">
      <c r="A167" t="inlineStr">
        <is>
          <t>不要低估50💰的购买力，敞开吃吧……</t>
        </is>
      </c>
      <c r="B167" t="inlineStr">
        <is>
          <t>69169a18000000000702364f</t>
        </is>
      </c>
      <c r="C167" s="166" t="n">
        <f>HYPERLINK("https://www.xiaohongshu.com/explore/69169a18000000000702364f?xsec_token=TBHZiehrAOyLGw_5sWYDTDSTUCZyiZ3OcqJJtpc6kKFPo=&amp;xsec_source=pc_trdark","https://www.xiaohongshu.com/explore/69169a18000000000702364f?xsec_token=TBHZiehrAOyLGw_5sWYDTDSTUCZyiZ3OcqJJtpc6kKFPo=&amp;xsec_source=pc_trdark")</f>
        <v>0.0</v>
      </c>
      <c r="D167" t="inlineStr">
        <is>
          <t>婉婉上班吃什么</t>
        </is>
      </c>
      <c r="E167" t="inlineStr">
        <is>
          <t>11434449706</t>
        </is>
      </c>
      <c r="F167" t="inlineStr">
        <is>
          <t>2025-11-14 11:55:00</t>
        </is>
      </c>
      <c r="G167" t="inlineStr">
        <is>
          <t>视频</t>
        </is>
      </c>
      <c r="H167" t="inlineStr">
        <is>
          <t>生蚝乳山生蚝海蛎子顺丰包邮</t>
        </is>
      </c>
      <c r="I167" t="inlineStr">
        <is>
          <t>690c70971b787900010866cc</t>
        </is>
      </c>
      <c r="J167" t="n">
        <v>30.0</v>
      </c>
      <c r="K167" t="n">
        <v>0.0</v>
      </c>
      <c r="L167" t="n">
        <v>0.0</v>
      </c>
      <c r="M167" t="n">
        <v>1.0</v>
      </c>
      <c r="N167" t="inlineStr">
        <is>
          <t>0.047619047619047616</t>
        </is>
      </c>
      <c r="O167" t="n">
        <v>1.0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inlineStr">
        <is>
          <t/>
        </is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21.0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8.0</v>
      </c>
      <c r="AL167" t="inlineStr">
        <is>
          <t>0.08695652173913043</t>
        </is>
      </c>
    </row>
    <row r="168">
      <c r="A168" t="inlineStr">
        <is>
          <t>鲜香甜糯，给甜虾脑袋哄成翘嘴了</t>
        </is>
      </c>
      <c r="B168" t="inlineStr">
        <is>
          <t>69a01b0d000000002203acff</t>
        </is>
      </c>
      <c r="C168" s="167" t="n">
        <f>HYPERLINK("https://www.xiaohongshu.com/explore/69a01b0d000000002203acff?xsec_token=TBGIgfrKGy2wDtxaQW-J26GTgrb6njNHpEsyJo_2qYJPQ=&amp;xsec_source=pc_trdark","https://www.xiaohongshu.com/explore/69a01b0d000000002203acff?xsec_token=TBGIgfrKGy2wDtxaQW-J26GTgrb6njNHpEsyJo_2qYJPQ=&amp;xsec_source=pc_trdark")</f>
        <v>0.0</v>
      </c>
      <c r="D168" t="inlineStr">
        <is>
          <t>鲜水湾甄选</t>
        </is>
      </c>
      <c r="E168" t="inlineStr">
        <is>
          <t>27401929161</t>
        </is>
      </c>
      <c r="F168" t="inlineStr">
        <is>
          <t>2026-02-26 18:06:05</t>
        </is>
      </c>
      <c r="G168" t="inlineStr">
        <is>
          <t>图文</t>
        </is>
      </c>
      <c r="H168" t="inlineStr">
        <is>
          <t>北极甜虾头籽甜虾元宝虾北极熊冰虾孕妈妈宝宝辅食顺丰</t>
        </is>
      </c>
      <c r="I168" t="inlineStr">
        <is>
          <t>6953717eb8f0bb000115158d</t>
        </is>
      </c>
      <c r="J168" t="inlineStr">
        <is>
          <t/>
        </is>
      </c>
      <c r="K168" t="n">
        <v>316.0</v>
      </c>
      <c r="L168" t="n">
        <v>1.0</v>
      </c>
      <c r="M168" t="n">
        <v>6.0</v>
      </c>
      <c r="N168" t="n">
        <v>0.3</v>
      </c>
      <c r="O168" t="n">
        <v>6.0</v>
      </c>
      <c r="P168" t="n">
        <v>1.0</v>
      </c>
      <c r="Q168" t="inlineStr">
        <is>
          <t>0.16666666666666666</t>
        </is>
      </c>
      <c r="R168" t="inlineStr">
        <is>
          <t>0.16666666666666666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1.0</v>
      </c>
      <c r="Z168" t="n">
        <v>0.0</v>
      </c>
      <c r="AA168" t="n">
        <v>0.0</v>
      </c>
      <c r="AB168" t="n">
        <v>0.0</v>
      </c>
      <c r="AC168" t="n">
        <v>0.0</v>
      </c>
      <c r="AD168" t="n">
        <v>20.0</v>
      </c>
      <c r="AE168" t="n">
        <v>1.0</v>
      </c>
      <c r="AF168" t="n">
        <v>0.0</v>
      </c>
      <c r="AG168" t="n">
        <v>0.0</v>
      </c>
      <c r="AH168" t="n">
        <v>2.0</v>
      </c>
      <c r="AI168" t="n">
        <v>0.0</v>
      </c>
      <c r="AJ168" t="n">
        <v>0.0</v>
      </c>
      <c r="AK168" t="n">
        <v>5.15</v>
      </c>
      <c r="AL168" t="inlineStr">
        <is>
          <t/>
        </is>
      </c>
    </row>
    <row r="169">
      <c r="A169" t="inlineStr">
        <is>
          <t>今年不送烟酒了！整条三文鱼，长辈都说太高级</t>
        </is>
      </c>
      <c r="B169" t="inlineStr">
        <is>
          <t>698c1349000000002801ff47</t>
        </is>
      </c>
      <c r="C169" s="168" t="n">
        <f>HYPERLINK("https://www.xiaohongshu.com/explore/698c1349000000002801ff47?xsec_token=TBpbSmv2Dvzozu0JyB91ReCzbSBE-1-TQJzqMrWZBehkY=&amp;xsec_source=pc_trdark","https://www.xiaohongshu.com/explore/698c1349000000002801ff47?xsec_token=TBpbSmv2Dvzozu0JyB91ReCzbSBE-1-TQJzqMrWZBehkY=&amp;xsec_source=pc_trdark")</f>
        <v>0.0</v>
      </c>
      <c r="D169" t="inlineStr">
        <is>
          <t>鲜水湾</t>
        </is>
      </c>
      <c r="E169" t="inlineStr">
        <is>
          <t>49316638994</t>
        </is>
      </c>
      <c r="F169" t="inlineStr">
        <is>
          <t>2026-02-11 13:27:37</t>
        </is>
      </c>
      <c r="G169" t="inlineStr">
        <is>
          <t>图文</t>
        </is>
      </c>
      <c r="H169" t="inlineStr">
        <is>
          <t>智利三文鱼切块·整条三文鱼·深海鱼一人食健康饮食</t>
        </is>
      </c>
      <c r="I169" t="inlineStr">
        <is>
          <t>691ac562a524ee0001b51d7b</t>
        </is>
      </c>
      <c r="J169" t="inlineStr">
        <is>
          <t/>
        </is>
      </c>
      <c r="K169" t="n">
        <v>0.0</v>
      </c>
      <c r="L169" t="n">
        <v>0.0</v>
      </c>
      <c r="M169" t="n">
        <v>4.0</v>
      </c>
      <c r="N169" t="inlineStr">
        <is>
          <t>0.21052631578947367</t>
        </is>
      </c>
      <c r="O169" t="n">
        <v>4.0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inlineStr">
        <is>
          <t/>
        </is>
      </c>
      <c r="X169" t="n">
        <v>0.0</v>
      </c>
      <c r="Y169" t="n">
        <v>1.0</v>
      </c>
      <c r="Z169" t="n">
        <v>4.0</v>
      </c>
      <c r="AA169" t="n">
        <v>0.0</v>
      </c>
      <c r="AB169" t="n">
        <v>0.0</v>
      </c>
      <c r="AC169" t="n">
        <v>0.0</v>
      </c>
      <c r="AD169" t="n">
        <v>19.0</v>
      </c>
      <c r="AE169" t="n">
        <v>0.0</v>
      </c>
      <c r="AF169" t="n">
        <v>0.0</v>
      </c>
      <c r="AG169" t="n">
        <v>0.0</v>
      </c>
      <c r="AH169" t="n">
        <v>2.0</v>
      </c>
      <c r="AI169" t="n">
        <v>0.0</v>
      </c>
      <c r="AJ169" t="n">
        <v>0.0</v>
      </c>
      <c r="AK169" t="n">
        <v>21.842105263157894</v>
      </c>
      <c r="AL169" t="inlineStr">
        <is>
          <t/>
        </is>
      </c>
    </row>
    <row r="170">
      <c r="A170" t="inlineStr">
        <is>
          <t>听教练的！健身爬坡的姐妹都去吃高蛋白</t>
        </is>
      </c>
      <c r="B170" t="inlineStr">
        <is>
          <t>69846671000000002801fca8</t>
        </is>
      </c>
      <c r="C170" s="169" t="n">
        <f>HYPERLINK("https://www.xiaohongshu.com/explore/69846671000000002801fca8?xsec_token=TBn0ftdrPlwv37Gn1tDFpAI8Oa4NzhM1ITZJXQqcQILNs=&amp;xsec_source=pc_trdark","https://www.xiaohongshu.com/explore/69846671000000002801fca8?xsec_token=TBn0ftdrPlwv37Gn1tDFpAI8Oa4NzhM1ITZJXQqcQILNs=&amp;xsec_source=pc_trdark")</f>
        <v>0.0</v>
      </c>
      <c r="D170" t="inlineStr">
        <is>
          <t>鲜水湾</t>
        </is>
      </c>
      <c r="E170" t="inlineStr">
        <is>
          <t>49316638994</t>
        </is>
      </c>
      <c r="F170" t="inlineStr">
        <is>
          <t>2026-02-05 17:44:17</t>
        </is>
      </c>
      <c r="G170" t="inlineStr">
        <is>
          <t>图文</t>
        </is>
      </c>
      <c r="H170" t="inlineStr">
        <is>
          <t>智利三文鱼切块·整条三文鱼·深海鱼一人食健康饮食</t>
        </is>
      </c>
      <c r="I170" t="inlineStr">
        <is>
          <t>691ac562a524ee0001b51d7b</t>
        </is>
      </c>
      <c r="J170" t="inlineStr">
        <is>
          <t/>
        </is>
      </c>
      <c r="K170" t="n">
        <v>0.0</v>
      </c>
      <c r="L170" t="n">
        <v>0.0</v>
      </c>
      <c r="M170" t="n">
        <v>1.0</v>
      </c>
      <c r="N170" t="inlineStr">
        <is>
          <t>0.05263157894736842</t>
        </is>
      </c>
      <c r="O170" t="n">
        <v>1.0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inlineStr">
        <is>
          <t/>
        </is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19.0</v>
      </c>
      <c r="AE170" t="n">
        <v>2.0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7.2105263157894735</v>
      </c>
      <c r="AL170" t="inlineStr">
        <is>
          <t/>
        </is>
      </c>
    </row>
    <row r="171">
      <c r="A171" t="inlineStr">
        <is>
          <t>三文鱼补蛋白质比牛肉还猛，整条才300多…</t>
        </is>
      </c>
      <c r="B171" t="inlineStr">
        <is>
          <t>6978cf1c000000000e00df74</t>
        </is>
      </c>
      <c r="C171" s="170" t="n">
        <f>HYPERLINK("https://www.xiaohongshu.com/explore/6978cf1c000000000e00df74?xsec_token=TB4uixe4FoDg0vEpIlbspmipHM29uc79_xYphutBinVZY=&amp;xsec_source=pc_trdark","https://www.xiaohongshu.com/explore/6978cf1c000000000e00df74?xsec_token=TB4uixe4FoDg0vEpIlbspmipHM29uc79_xYphutBinVZY=&amp;xsec_source=pc_trdark")</f>
        <v>0.0</v>
      </c>
      <c r="D171" t="inlineStr">
        <is>
          <t>鲜水湾</t>
        </is>
      </c>
      <c r="E171" t="inlineStr">
        <is>
          <t>49316638994</t>
        </is>
      </c>
      <c r="F171" t="inlineStr">
        <is>
          <t>2026-01-27 22:43:40</t>
        </is>
      </c>
      <c r="G171" t="inlineStr">
        <is>
          <t>图文</t>
        </is>
      </c>
      <c r="H171" t="inlineStr">
        <is>
          <t>智利三文鱼切块·整条三文鱼·深海鱼一人食健康饮食</t>
        </is>
      </c>
      <c r="I171" t="inlineStr">
        <is>
          <t>691ac562a524ee0001b51d7b</t>
        </is>
      </c>
      <c r="J171" t="inlineStr">
        <is>
          <t/>
        </is>
      </c>
      <c r="K171" t="n">
        <v>0.0</v>
      </c>
      <c r="L171" t="n">
        <v>0.0</v>
      </c>
      <c r="M171" t="n">
        <v>4.0</v>
      </c>
      <c r="N171" t="inlineStr">
        <is>
          <t>0.21052631578947367</t>
        </is>
      </c>
      <c r="O171" t="n">
        <v>4.0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inlineStr">
        <is>
          <t/>
        </is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19.0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7.947368421052632</v>
      </c>
      <c r="AL171" t="inlineStr">
        <is>
          <t/>
        </is>
      </c>
    </row>
    <row r="172">
      <c r="A172" t="inlineStr">
        <is>
          <t>感谢小红书‼️让我实现三文鱼自由</t>
        </is>
      </c>
      <c r="B172" t="inlineStr">
        <is>
          <t>693ec388000000001e02f0d0</t>
        </is>
      </c>
      <c r="C172" s="171" t="n">
        <f>HYPERLINK("https://www.xiaohongshu.com/explore/693ec388000000001e02f0d0?xsec_token=TBoM4IjxTW7h2pIceDY6ppQGnMianfmmw6EHwKcS0XVwA=&amp;xsec_source=pc_trdark","https://www.xiaohongshu.com/explore/693ec388000000001e02f0d0?xsec_token=TBoM4IjxTW7h2pIceDY6ppQGnMianfmmw6EHwKcS0XVwA=&amp;xsec_source=pc_trdark")</f>
        <v>0.0</v>
      </c>
      <c r="D172" t="inlineStr">
        <is>
          <t>鲜水湾</t>
        </is>
      </c>
      <c r="E172" t="inlineStr">
        <is>
          <t>49316638994</t>
        </is>
      </c>
      <c r="F172" t="inlineStr">
        <is>
          <t>2025-12-14 22:02:49</t>
        </is>
      </c>
      <c r="G172" t="inlineStr">
        <is>
          <t>图文</t>
        </is>
      </c>
      <c r="H172" t="inlineStr">
        <is>
          <t>智利三文鱼切块·整条三文鱼·深海鱼一人食健康饮食</t>
        </is>
      </c>
      <c r="I172" t="inlineStr">
        <is>
          <t>691ac562a524ee0001b51d7b</t>
        </is>
      </c>
      <c r="J172" t="inlineStr">
        <is>
          <t/>
        </is>
      </c>
      <c r="K172" t="n">
        <v>0.0</v>
      </c>
      <c r="L172" t="n">
        <v>0.0</v>
      </c>
      <c r="M172" t="n">
        <v>1.0</v>
      </c>
      <c r="N172" t="inlineStr">
        <is>
          <t>0.05263157894736842</t>
        </is>
      </c>
      <c r="O172" t="n">
        <v>1.0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inlineStr">
        <is>
          <t/>
        </is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19.0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7.7368421052631575</v>
      </c>
      <c r="AL172" t="inlineStr">
        <is>
          <t/>
        </is>
      </c>
    </row>
    <row r="173">
      <c r="A173" t="inlineStr">
        <is>
          <t>不愧是健身教练推荐的！抗炎神器</t>
        </is>
      </c>
      <c r="B173" t="inlineStr">
        <is>
          <t>693ad1d4000000001e02025e</t>
        </is>
      </c>
      <c r="C173" s="172" t="n">
        <f>HYPERLINK("https://www.xiaohongshu.com/explore/693ad1d4000000001e02025e?xsec_token=TBSe-eT4tPFhzXSmwZAcjHHyafMYmfcrkSqIihNjLOj3Q=&amp;xsec_source=pc_trdark","https://www.xiaohongshu.com/explore/693ad1d4000000001e02025e?xsec_token=TBSe-eT4tPFhzXSmwZAcjHHyafMYmfcrkSqIihNjLOj3Q=&amp;xsec_source=pc_trdark")</f>
        <v>0.0</v>
      </c>
      <c r="D173" t="inlineStr">
        <is>
          <t>鲜水湾</t>
        </is>
      </c>
      <c r="E173" t="inlineStr">
        <is>
          <t>49316638994</t>
        </is>
      </c>
      <c r="F173" t="inlineStr">
        <is>
          <t>2025-12-11 22:14:44</t>
        </is>
      </c>
      <c r="G173" t="inlineStr">
        <is>
          <t>图文</t>
        </is>
      </c>
      <c r="H173" t="inlineStr">
        <is>
          <t>智利三文鱼切块·整条三文鱼·深海鱼一人食健康饮食</t>
        </is>
      </c>
      <c r="I173" t="inlineStr">
        <is>
          <t>691ac562a524ee0001b51d7b</t>
        </is>
      </c>
      <c r="J173" t="inlineStr">
        <is>
          <t/>
        </is>
      </c>
      <c r="K173" t="n">
        <v>0.0</v>
      </c>
      <c r="L173" t="n">
        <v>0.0</v>
      </c>
      <c r="M173" t="n">
        <v>7.0</v>
      </c>
      <c r="N173" t="n">
        <v>0.3684210526315789</v>
      </c>
      <c r="O173" t="n">
        <v>7.0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inlineStr">
        <is>
          <t/>
        </is>
      </c>
      <c r="X173" t="n">
        <v>0.0</v>
      </c>
      <c r="Y173" t="n">
        <v>3.0</v>
      </c>
      <c r="Z173" t="n">
        <v>0.0</v>
      </c>
      <c r="AA173" t="n">
        <v>0.0</v>
      </c>
      <c r="AB173" t="n">
        <v>0.0</v>
      </c>
      <c r="AC173" t="n">
        <v>0.0</v>
      </c>
      <c r="AD173" t="n">
        <v>19.0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25.263157894736842</v>
      </c>
      <c r="AL173" t="inlineStr">
        <is>
          <t/>
        </is>
      </c>
    </row>
    <row r="174">
      <c r="A174" t="inlineStr">
        <is>
          <t>在鲜水湾买的整条三文鱼…</t>
        </is>
      </c>
      <c r="B174" t="inlineStr">
        <is>
          <t>692d40f7000000001e035d9c</t>
        </is>
      </c>
      <c r="C174" s="173" t="n">
        <f>HYPERLINK("https://www.xiaohongshu.com/explore/692d40f7000000001e035d9c?xsec_token=TBOFwnatFKqkrDgIPXNtNGvyrJ-V0NOOSGiFXyf08rjmw=&amp;xsec_source=pc_trdark","https://www.xiaohongshu.com/explore/692d40f7000000001e035d9c?xsec_token=TBOFwnatFKqkrDgIPXNtNGvyrJ-V0NOOSGiFXyf08rjmw=&amp;xsec_source=pc_trdark")</f>
        <v>0.0</v>
      </c>
      <c r="D174" t="inlineStr">
        <is>
          <t>鲜水湾</t>
        </is>
      </c>
      <c r="E174" t="inlineStr">
        <is>
          <t>49316638994</t>
        </is>
      </c>
      <c r="F174" t="inlineStr">
        <is>
          <t>2025-12-01 15:17:11</t>
        </is>
      </c>
      <c r="G174" t="inlineStr">
        <is>
          <t>图文</t>
        </is>
      </c>
      <c r="H174" t="inlineStr">
        <is>
          <t>智利三文鱼切块·整条三文鱼·深海鱼一人食健康饮食</t>
        </is>
      </c>
      <c r="I174" t="inlineStr">
        <is>
          <t>691ac562a524ee0001b51d7b</t>
        </is>
      </c>
      <c r="J174" t="inlineStr">
        <is>
          <t/>
        </is>
      </c>
      <c r="K174" t="n">
        <v>0.0</v>
      </c>
      <c r="L174" t="n">
        <v>0.0</v>
      </c>
      <c r="M174" t="n">
        <v>3.0</v>
      </c>
      <c r="N174" t="inlineStr">
        <is>
          <t>0.15789473684210525</t>
        </is>
      </c>
      <c r="O174" t="n">
        <v>3.0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inlineStr">
        <is>
          <t/>
        </is>
      </c>
      <c r="X174" t="n">
        <v>0.0</v>
      </c>
      <c r="Y174" t="n">
        <v>1.0</v>
      </c>
      <c r="Z174" t="n">
        <v>1.0</v>
      </c>
      <c r="AA174" t="n">
        <v>0.0</v>
      </c>
      <c r="AB174" t="n">
        <v>0.0</v>
      </c>
      <c r="AC174" t="n">
        <v>0.0</v>
      </c>
      <c r="AD174" t="n">
        <v>19.0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10.473684210526315</v>
      </c>
      <c r="AL174" t="inlineStr">
        <is>
          <t/>
        </is>
      </c>
    </row>
    <row r="175">
      <c r="A175" t="inlineStr">
        <is>
          <t>100块的购买力越来越刷新我的认知了！</t>
        </is>
      </c>
      <c r="B175" t="inlineStr">
        <is>
          <t>6986a039000000000d00af7f</t>
        </is>
      </c>
      <c r="C175" s="174" t="n">
        <f>HYPERLINK("https://www.xiaohongshu.com/explore/6986a039000000000d00af7f?xsec_token=TB-LsRJw2UEyjZbU1RZqmjviQ0sgg50uAg92dV8tGzTuw=&amp;xsec_source=pc_trdark","https://www.xiaohongshu.com/explore/6986a039000000000d00af7f?xsec_token=TB-LsRJw2UEyjZbU1RZqmjviQ0sgg50uAg92dV8tGzTuw=&amp;xsec_source=pc_trdark")</f>
        <v>0.0</v>
      </c>
      <c r="D175" t="inlineStr">
        <is>
          <t>鲜水湾</t>
        </is>
      </c>
      <c r="E175" t="inlineStr">
        <is>
          <t>49316638994</t>
        </is>
      </c>
      <c r="F175" t="inlineStr">
        <is>
          <t>2026-02-07 10:15:21</t>
        </is>
      </c>
      <c r="G175" t="inlineStr">
        <is>
          <t>图文</t>
        </is>
      </c>
      <c r="H175" t="inlineStr">
        <is>
          <t>智利三文鱼切块·整条三文鱼·深海鱼一人食健康饮食</t>
        </is>
      </c>
      <c r="I175" t="inlineStr">
        <is>
          <t>691ac562a524ee0001b51d7b</t>
        </is>
      </c>
      <c r="J175" t="inlineStr">
        <is>
          <t/>
        </is>
      </c>
      <c r="K175" t="n">
        <v>0.0</v>
      </c>
      <c r="L175" t="n">
        <v>0.0</v>
      </c>
      <c r="M175" t="n">
        <v>2.0</v>
      </c>
      <c r="N175" t="inlineStr">
        <is>
          <t>0.11764705882352941</t>
        </is>
      </c>
      <c r="O175" t="n">
        <v>2.0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inlineStr">
        <is>
          <t/>
        </is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17.0</v>
      </c>
      <c r="AE175" t="n">
        <v>0.0</v>
      </c>
      <c r="AF175" t="n">
        <v>0.0</v>
      </c>
      <c r="AG175" t="n">
        <v>0.0</v>
      </c>
      <c r="AH175" t="n">
        <v>2.0</v>
      </c>
      <c r="AI175" t="n">
        <v>0.0</v>
      </c>
      <c r="AJ175" t="n">
        <v>0.0</v>
      </c>
      <c r="AK175" t="n">
        <v>9.941176470588236</v>
      </c>
      <c r="AL175" t="inlineStr">
        <is>
          <t/>
        </is>
      </c>
    </row>
    <row r="176">
      <c r="A176" t="inlineStr">
        <is>
          <t>58元吃一周！打工人闭眼冲的高性价比虾仁</t>
        </is>
      </c>
      <c r="B176" t="inlineStr">
        <is>
          <t>69a25ce9000000000e00c0fb</t>
        </is>
      </c>
      <c r="C176" s="175" t="n">
        <f>HYPERLINK("https://www.xiaohongshu.com/explore/69a25ce9000000000e00c0fb?xsec_token=TBUws-qSGfQm7WfIK5gxFwZ8t68tICOWomcVNbSKDuDXo=&amp;xsec_source=pc_trdark","https://www.xiaohongshu.com/explore/69a25ce9000000000e00c0fb?xsec_token=TBUws-qSGfQm7WfIK5gxFwZ8t68tICOWomcVNbSKDuDXo=&amp;xsec_source=pc_trdark")</f>
        <v>0.0</v>
      </c>
      <c r="D176" t="inlineStr">
        <is>
          <t>鲜水湾</t>
        </is>
      </c>
      <c r="E176" t="inlineStr">
        <is>
          <t>49316638994</t>
        </is>
      </c>
      <c r="F176" t="inlineStr">
        <is>
          <t>2026-02-28 11:11:37</t>
        </is>
      </c>
      <c r="G176" t="inlineStr">
        <is>
          <t>图文</t>
        </is>
      </c>
      <c r="H176" t="inlineStr">
        <is>
          <t>手剥虾仁 无冰衣无添加 低脂餐一人食 上班带饭 顺丰包邮 5盒装</t>
        </is>
      </c>
      <c r="I176" t="inlineStr">
        <is>
          <t>694baba01d450d00013662f0</t>
        </is>
      </c>
      <c r="J176" t="inlineStr">
        <is>
          <t/>
        </is>
      </c>
      <c r="K176" t="n">
        <v>0.0</v>
      </c>
      <c r="L176" t="n">
        <v>0.0</v>
      </c>
      <c r="M176" t="n">
        <v>2.0</v>
      </c>
      <c r="N176" t="n">
        <v>0.125</v>
      </c>
      <c r="O176" t="n">
        <v>2.0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inlineStr">
        <is>
          <t/>
        </is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16.0</v>
      </c>
      <c r="AE176" t="n">
        <v>0.0</v>
      </c>
      <c r="AF176" t="n">
        <v>0.0</v>
      </c>
      <c r="AG176" t="n">
        <v>0.0</v>
      </c>
      <c r="AH176" t="n">
        <v>2.0</v>
      </c>
      <c r="AI176" t="n">
        <v>0.0</v>
      </c>
      <c r="AJ176" t="n">
        <v>0.0</v>
      </c>
      <c r="AK176" t="n">
        <v>6.6875</v>
      </c>
      <c r="AL176" t="inlineStr">
        <is>
          <t/>
        </is>
      </c>
    </row>
    <row r="177">
      <c r="A177" t="inlineStr">
        <is>
          <t>年后控体，我就这样吃！</t>
        </is>
      </c>
      <c r="B177" t="inlineStr">
        <is>
          <t>699fd576000000001a020e66</t>
        </is>
      </c>
      <c r="C177" s="176" t="n">
        <f>HYPERLINK("https://www.xiaohongshu.com/explore/699fd576000000001a020e66?xsec_token=TBmPrNsEp7sytnt8BzCMtNTQgQ3Vb5xIjTVs5OPmtWhyI=&amp;xsec_source=pc_trdark","https://www.xiaohongshu.com/explore/699fd576000000001a020e66?xsec_token=TBmPrNsEp7sytnt8BzCMtNTQgQ3Vb5xIjTVs5OPmtWhyI=&amp;xsec_source=pc_trdark")</f>
        <v>0.0</v>
      </c>
      <c r="D177" t="inlineStr">
        <is>
          <t>鲜水湾</t>
        </is>
      </c>
      <c r="E177" t="inlineStr">
        <is>
          <t>49316638994</t>
        </is>
      </c>
      <c r="F177" t="inlineStr">
        <is>
          <t>2026-02-26 13:09:11</t>
        </is>
      </c>
      <c r="G177" t="inlineStr">
        <is>
          <t>图文</t>
        </is>
      </c>
      <c r="H177" t="inlineStr">
        <is>
          <t>手剥虾仁 无冰衣无添加 低脂餐一人食 上班带饭 顺丰包邮 5盒装</t>
        </is>
      </c>
      <c r="I177" t="inlineStr">
        <is>
          <t>694baba01d450d00013662f0</t>
        </is>
      </c>
      <c r="J177" t="inlineStr">
        <is>
          <t/>
        </is>
      </c>
      <c r="K177" t="n">
        <v>0.0</v>
      </c>
      <c r="L177" t="n">
        <v>0.0</v>
      </c>
      <c r="M177" t="n">
        <v>1.0</v>
      </c>
      <c r="N177" t="n">
        <v>0.0625</v>
      </c>
      <c r="O177" t="n">
        <v>1.0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inlineStr">
        <is>
          <t/>
        </is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16.0</v>
      </c>
      <c r="AE177" t="n">
        <v>0.0</v>
      </c>
      <c r="AF177" t="n">
        <v>0.0</v>
      </c>
      <c r="AG177" t="n">
        <v>0.0</v>
      </c>
      <c r="AH177" t="n">
        <v>2.0</v>
      </c>
      <c r="AI177" t="n">
        <v>0.0</v>
      </c>
      <c r="AJ177" t="n">
        <v>0.0</v>
      </c>
      <c r="AK177" t="n">
        <v>5.1875</v>
      </c>
      <c r="AL177" t="inlineStr">
        <is>
          <t/>
        </is>
      </c>
    </row>
    <row r="178">
      <c r="A178" t="inlineStr">
        <is>
          <t>和老爸商量后，推出专属早八人的小包装</t>
        </is>
      </c>
      <c r="B178" t="inlineStr">
        <is>
          <t>698988d3000000000d00b5bf</t>
        </is>
      </c>
      <c r="C178" s="177" t="n">
        <f>HYPERLINK("https://www.xiaohongshu.com/explore/698988d3000000000d00b5bf?xsec_token=TBeAeWMkLJ9etYlFDlK3pgucHHQ1HDHlCn26aqxGKYZg8=&amp;xsec_source=pc_trdark","https://www.xiaohongshu.com/explore/698988d3000000000d00b5bf?xsec_token=TBeAeWMkLJ9etYlFDlK3pgucHHQ1HDHlCn26aqxGKYZg8=&amp;xsec_source=pc_trdark")</f>
        <v>0.0</v>
      </c>
      <c r="D178" t="inlineStr">
        <is>
          <t>鲜水湾</t>
        </is>
      </c>
      <c r="E178" t="inlineStr">
        <is>
          <t>49316638994</t>
        </is>
      </c>
      <c r="F178" t="inlineStr">
        <is>
          <t>2026-02-09 15:12:19</t>
        </is>
      </c>
      <c r="G178" t="inlineStr">
        <is>
          <t>图文</t>
        </is>
      </c>
      <c r="H178" t="inlineStr">
        <is>
          <t>手剥虾仁 无冰衣无添加 低脂餐一人食 上班带饭 顺丰包邮 5盒装</t>
        </is>
      </c>
      <c r="I178" t="inlineStr">
        <is>
          <t>694baba01d450d00013662f0</t>
        </is>
      </c>
      <c r="J178" t="inlineStr">
        <is>
          <t/>
        </is>
      </c>
      <c r="K178" t="n">
        <v>0.0</v>
      </c>
      <c r="L178" t="n">
        <v>0.0</v>
      </c>
      <c r="M178" t="n">
        <v>7.0</v>
      </c>
      <c r="N178" t="n">
        <v>0.4375</v>
      </c>
      <c r="O178" t="n">
        <v>2.0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inlineStr">
        <is>
          <t/>
        </is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16.0</v>
      </c>
      <c r="AE178" t="n">
        <v>0.0</v>
      </c>
      <c r="AF178" t="n">
        <v>0.0</v>
      </c>
      <c r="AG178" t="n">
        <v>1.0</v>
      </c>
      <c r="AH178" t="n">
        <v>0.0</v>
      </c>
      <c r="AI178" t="n">
        <v>0.0</v>
      </c>
      <c r="AJ178" t="n">
        <v>0.0</v>
      </c>
      <c r="AK178" t="n">
        <v>18.25</v>
      </c>
      <c r="AL178" t="inlineStr">
        <is>
          <t/>
        </is>
      </c>
    </row>
    <row r="179">
      <c r="A179" t="inlineStr">
        <is>
          <t>区区300块！承包管理期一个月晚餐🍣</t>
        </is>
      </c>
      <c r="B179" t="inlineStr">
        <is>
          <t>698404a5000000001a02515f</t>
        </is>
      </c>
      <c r="C179" s="178" t="n">
        <f>HYPERLINK("https://www.xiaohongshu.com/explore/698404a5000000001a02515f?xsec_token=TBn0ftdrPlwv37Gn1tDFpAI-44n--kANrJmbPcJicRDLM=&amp;xsec_source=pc_trdark","https://www.xiaohongshu.com/explore/698404a5000000001a02515f?xsec_token=TBn0ftdrPlwv37Gn1tDFpAI-44n--kANrJmbPcJicRDLM=&amp;xsec_source=pc_trdark")</f>
        <v>0.0</v>
      </c>
      <c r="D179" t="inlineStr">
        <is>
          <t>鲜水湾</t>
        </is>
      </c>
      <c r="E179" t="inlineStr">
        <is>
          <t>49316638994</t>
        </is>
      </c>
      <c r="F179" t="inlineStr">
        <is>
          <t>2026-02-05 10:47:01</t>
        </is>
      </c>
      <c r="G179" t="inlineStr">
        <is>
          <t>图文</t>
        </is>
      </c>
      <c r="H179" t="inlineStr">
        <is>
          <t>智利三文鱼切块·整条三文鱼·深海鱼一人食健康饮食</t>
        </is>
      </c>
      <c r="I179" t="inlineStr">
        <is>
          <t>691ac562a524ee0001b51d7b</t>
        </is>
      </c>
      <c r="J179" t="inlineStr">
        <is>
          <t/>
        </is>
      </c>
      <c r="K179" t="n">
        <v>0.0</v>
      </c>
      <c r="L179" t="n">
        <v>0.0</v>
      </c>
      <c r="M179" t="n">
        <v>1.0</v>
      </c>
      <c r="N179" t="n">
        <v>0.0625</v>
      </c>
      <c r="O179" t="n">
        <v>1.0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inlineStr">
        <is>
          <t/>
        </is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16.0</v>
      </c>
      <c r="AE179" t="n">
        <v>0.0</v>
      </c>
      <c r="AF179" t="n">
        <v>0.0</v>
      </c>
      <c r="AG179" t="n">
        <v>0.0</v>
      </c>
      <c r="AH179" t="n">
        <v>3.0</v>
      </c>
      <c r="AI179" t="n">
        <v>0.0</v>
      </c>
      <c r="AJ179" t="n">
        <v>0.0</v>
      </c>
      <c r="AK179" t="n">
        <v>15.9375</v>
      </c>
      <c r="AL179" t="inlineStr">
        <is>
          <t/>
        </is>
      </c>
    </row>
    <row r="180">
      <c r="A180" t="inlineStr">
        <is>
          <t>过年给老爸老妈买的一整条三文鱼！</t>
        </is>
      </c>
      <c r="B180" t="inlineStr">
        <is>
          <t>697c559a000000001a035ccc</t>
        </is>
      </c>
      <c r="C180" s="179" t="n">
        <f>HYPERLINK("https://www.xiaohongshu.com/explore/697c559a000000001a035ccc?xsec_token=TBV-62_c6Sms9X18ENcOcpiEd6DJ77aX2nqBDIN91pMVU=&amp;xsec_source=pc_trdark","https://www.xiaohongshu.com/explore/697c559a000000001a035ccc?xsec_token=TBV-62_c6Sms9X18ENcOcpiEd6DJ77aX2nqBDIN91pMVU=&amp;xsec_source=pc_trdark")</f>
        <v>0.0</v>
      </c>
      <c r="D180" t="inlineStr">
        <is>
          <t>鲜水湾</t>
        </is>
      </c>
      <c r="E180" t="inlineStr">
        <is>
          <t>49316638994</t>
        </is>
      </c>
      <c r="F180" t="inlineStr">
        <is>
          <t>2026-01-30 14:54:18</t>
        </is>
      </c>
      <c r="G180" t="inlineStr">
        <is>
          <t>图文</t>
        </is>
      </c>
      <c r="H180" t="inlineStr">
        <is>
          <t>智利三文鱼切块·整条三文鱼·深海鱼一人食健康饮食</t>
        </is>
      </c>
      <c r="I180" t="inlineStr">
        <is>
          <t>691ac562a524ee0001b51d7b</t>
        </is>
      </c>
      <c r="J180" t="inlineStr">
        <is>
          <t/>
        </is>
      </c>
      <c r="K180" t="n">
        <v>0.0</v>
      </c>
      <c r="L180" t="n">
        <v>0.0</v>
      </c>
      <c r="M180" t="n">
        <v>1.0</v>
      </c>
      <c r="N180" t="n">
        <v>0.0625</v>
      </c>
      <c r="O180" t="n">
        <v>1.0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inlineStr">
        <is>
          <t/>
        </is>
      </c>
      <c r="X180" t="n">
        <v>0.0</v>
      </c>
      <c r="Y180" t="n">
        <v>0.0</v>
      </c>
      <c r="Z180" t="n">
        <v>1.0</v>
      </c>
      <c r="AA180" t="n">
        <v>0.0</v>
      </c>
      <c r="AB180" t="n">
        <v>0.0</v>
      </c>
      <c r="AC180" t="n">
        <v>0.0</v>
      </c>
      <c r="AD180" t="n">
        <v>16.0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7.25</v>
      </c>
      <c r="AL180" t="inlineStr">
        <is>
          <t/>
        </is>
      </c>
    </row>
    <row r="181">
      <c r="A181" t="inlineStr">
        <is>
          <t>现在的年轻人真的对40多的购买力没概念了…</t>
        </is>
      </c>
      <c r="B181" t="inlineStr">
        <is>
          <t>6953f2f4000000001f005a86</t>
        </is>
      </c>
      <c r="C181" s="180" t="n">
        <f>HYPERLINK("https://www.xiaohongshu.com/explore/6953f2f4000000001f005a86?xsec_token=TBmzMOJ_zly84G2ZjeUVNrpc1-iDtOtcbaxweQJHnAiAQ=&amp;xsec_source=pc_trdark","https://www.xiaohongshu.com/explore/6953f2f4000000001f005a86?xsec_token=TBmzMOJ_zly84G2ZjeUVNrpc1-iDtOtcbaxweQJHnAiAQ=&amp;xsec_source=pc_trdark")</f>
        <v>0.0</v>
      </c>
      <c r="D181" t="inlineStr">
        <is>
          <t>鲜水湾</t>
        </is>
      </c>
      <c r="E181" t="inlineStr">
        <is>
          <t>49316638994</t>
        </is>
      </c>
      <c r="F181" t="inlineStr">
        <is>
          <t>2025-12-30 23:42:44</t>
        </is>
      </c>
      <c r="G181" t="inlineStr">
        <is>
          <t>图文</t>
        </is>
      </c>
      <c r="H181" t="inlineStr">
        <is>
          <t>生蚝乳山生蚝海蛎子顺丰包邮</t>
        </is>
      </c>
      <c r="I181" t="inlineStr">
        <is>
          <t>690c70971b787900010866cc</t>
        </is>
      </c>
      <c r="J181" t="inlineStr">
        <is>
          <t/>
        </is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inlineStr">
        <is>
          <t/>
        </is>
      </c>
      <c r="R181" t="inlineStr">
        <is>
          <t/>
        </is>
      </c>
      <c r="S181" t="n">
        <v>0.0</v>
      </c>
      <c r="T181" t="n">
        <v>0.0</v>
      </c>
      <c r="U181" t="n">
        <v>0.0</v>
      </c>
      <c r="V181" t="n">
        <v>0.0</v>
      </c>
      <c r="W181" t="inlineStr">
        <is>
          <t/>
        </is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15.0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4.266666666666667</v>
      </c>
      <c r="AL181" t="inlineStr">
        <is>
          <t/>
        </is>
      </c>
    </row>
    <row r="182">
      <c r="A182" t="inlineStr">
        <is>
          <t>三文鱼要好吃，煎鱼基础，鱼搭子就不基础</t>
        </is>
      </c>
      <c r="B182" t="inlineStr">
        <is>
          <t>694396c2000000001e039870</t>
        </is>
      </c>
      <c r="C182" s="181" t="n">
        <f>HYPERLINK("https://www.xiaohongshu.com/explore/694396c2000000001e039870?xsec_token=TB3ISCGERC3xZFl0ewfdTFyM58d86DCe--zZTX8HivPVY=&amp;xsec_source=pc_trdark","https://www.xiaohongshu.com/explore/694396c2000000001e039870?xsec_token=TB3ISCGERC3xZFl0ewfdTFyM58d86DCe--zZTX8HivPVY=&amp;xsec_source=pc_trdark")</f>
        <v>0.0</v>
      </c>
      <c r="D182" t="inlineStr">
        <is>
          <t>鲜水湾</t>
        </is>
      </c>
      <c r="E182" t="inlineStr">
        <is>
          <t>49316638994</t>
        </is>
      </c>
      <c r="F182" t="inlineStr">
        <is>
          <t>2025-12-18 13:53:06</t>
        </is>
      </c>
      <c r="G182" t="inlineStr">
        <is>
          <t>图文</t>
        </is>
      </c>
      <c r="H182" t="inlineStr">
        <is>
          <t>智利三文鱼切块·整条三文鱼·深海鱼一人食健康饮食</t>
        </is>
      </c>
      <c r="I182" t="inlineStr">
        <is>
          <t>691ac562a524ee0001b51d7b</t>
        </is>
      </c>
      <c r="J182" t="inlineStr">
        <is>
          <t/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inlineStr">
        <is>
          <t/>
        </is>
      </c>
      <c r="R182" t="inlineStr">
        <is>
          <t/>
        </is>
      </c>
      <c r="S182" t="n">
        <v>0.0</v>
      </c>
      <c r="T182" t="n">
        <v>0.0</v>
      </c>
      <c r="U182" t="n">
        <v>0.0</v>
      </c>
      <c r="V182" t="n">
        <v>0.0</v>
      </c>
      <c r="W182" t="inlineStr">
        <is>
          <t/>
        </is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15.0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25.866666666666667</v>
      </c>
      <c r="AL182" t="inlineStr">
        <is>
          <t/>
        </is>
      </c>
    </row>
    <row r="183">
      <c r="A183" t="inlineStr">
        <is>
          <t>49.9我微微心动，你说顺丰包邮我直接冲</t>
        </is>
      </c>
      <c r="B183" t="inlineStr">
        <is>
          <t>69311c76000000001e036021</t>
        </is>
      </c>
      <c r="C183" s="182" t="n">
        <f>HYPERLINK("https://www.xiaohongshu.com/explore/69311c76000000001e036021?xsec_token=TBE4JBHwTJxKVcqB99kbkXOHJ5namYD_XyUi-aVpw-TJ0=&amp;xsec_source=pc_trdark","https://www.xiaohongshu.com/explore/69311c76000000001e036021?xsec_token=TBE4JBHwTJxKVcqB99kbkXOHJ5namYD_XyUi-aVpw-TJ0=&amp;xsec_source=pc_trdark")</f>
        <v>0.0</v>
      </c>
      <c r="D183" t="inlineStr">
        <is>
          <t>婉婉上班吃什么</t>
        </is>
      </c>
      <c r="E183" t="inlineStr">
        <is>
          <t>11434449706</t>
        </is>
      </c>
      <c r="F183" t="inlineStr">
        <is>
          <t>2025-12-04 13:30:30</t>
        </is>
      </c>
      <c r="G183" t="inlineStr">
        <is>
          <t>视频</t>
        </is>
      </c>
      <c r="H183" t="inlineStr">
        <is>
          <t>生蚝乳山生蚝海蛎子顺丰包邮</t>
        </is>
      </c>
      <c r="I183" t="inlineStr">
        <is>
          <t>690c70971b787900010866cc</t>
        </is>
      </c>
      <c r="J183" t="n">
        <v>37.0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inlineStr">
        <is>
          <t/>
        </is>
      </c>
      <c r="R183" t="inlineStr">
        <is>
          <t/>
        </is>
      </c>
      <c r="S183" t="n">
        <v>0.0</v>
      </c>
      <c r="T183" t="n">
        <v>0.0</v>
      </c>
      <c r="U183" t="n">
        <v>0.0</v>
      </c>
      <c r="V183" t="n">
        <v>0.0</v>
      </c>
      <c r="W183" t="inlineStr">
        <is>
          <t/>
        </is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15.0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3.2666666666666666</v>
      </c>
      <c r="AL183" t="n">
        <v>0.0</v>
      </c>
    </row>
    <row r="184">
      <c r="A184" t="inlineStr">
        <is>
          <t>网购了一整条三文鱼，安全下车</t>
        </is>
      </c>
      <c r="B184" t="inlineStr">
        <is>
          <t>692efa4e000000001e031463</t>
        </is>
      </c>
      <c r="C184" s="183" t="n">
        <f>HYPERLINK("https://www.xiaohongshu.com/explore/692efa4e000000001e031463?xsec_token=TBhc9WPqfa5dhWfRrPj8DX7cIgblguwcH-tlVsfoRDmiM=&amp;xsec_source=pc_trdark","https://www.xiaohongshu.com/explore/692efa4e000000001e031463?xsec_token=TBhc9WPqfa5dhWfRrPj8DX7cIgblguwcH-tlVsfoRDmiM=&amp;xsec_source=pc_trdark")</f>
        <v>0.0</v>
      </c>
      <c r="D184" t="inlineStr">
        <is>
          <t>鲜水湾</t>
        </is>
      </c>
      <c r="E184" t="inlineStr">
        <is>
          <t>49316638994</t>
        </is>
      </c>
      <c r="F184" t="inlineStr">
        <is>
          <t>2025-12-02 22:40:14</t>
        </is>
      </c>
      <c r="G184" t="inlineStr">
        <is>
          <t>图文</t>
        </is>
      </c>
      <c r="H184" t="inlineStr">
        <is>
          <t>智利三文鱼切块·整条三文鱼·深海鱼一人食健康饮食</t>
        </is>
      </c>
      <c r="I184" t="inlineStr">
        <is>
          <t>691ac562a524ee0001b51d7b</t>
        </is>
      </c>
      <c r="J184" t="inlineStr">
        <is>
          <t/>
        </is>
      </c>
      <c r="K184" t="n">
        <v>0.0</v>
      </c>
      <c r="L184" t="n">
        <v>0.0</v>
      </c>
      <c r="M184" t="n">
        <v>4.0</v>
      </c>
      <c r="N184" t="inlineStr">
        <is>
          <t>0.26666666666666666</t>
        </is>
      </c>
      <c r="O184" t="n">
        <v>4.0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inlineStr">
        <is>
          <t/>
        </is>
      </c>
      <c r="X184" t="n">
        <v>0.0</v>
      </c>
      <c r="Y184" t="n">
        <v>1.0</v>
      </c>
      <c r="Z184" t="n">
        <v>0.0</v>
      </c>
      <c r="AA184" t="n">
        <v>0.0</v>
      </c>
      <c r="AB184" t="n">
        <v>0.0</v>
      </c>
      <c r="AC184" t="n">
        <v>0.0</v>
      </c>
      <c r="AD184" t="n">
        <v>15.0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16.533333333333335</v>
      </c>
      <c r="AL184" t="inlineStr">
        <is>
          <t/>
        </is>
      </c>
    </row>
    <row r="185">
      <c r="A185" t="inlineStr">
        <is>
          <t>我妈让我通知各位：23一斤的大虾真的可以冲</t>
        </is>
      </c>
      <c r="B185" t="inlineStr">
        <is>
          <t>693d3be4000000001e0339c1</t>
        </is>
      </c>
      <c r="C185" s="184" t="n">
        <f>HYPERLINK("https://www.xiaohongshu.com/explore/693d3be4000000001e0339c1?xsec_token=TBz651BHP1Dr15NeLsAqSGPjA0MwwK3lizKrf8Smu6AWc=&amp;xsec_source=pc_trdark","https://www.xiaohongshu.com/explore/693d3be4000000001e0339c1?xsec_token=TBz651BHP1Dr15NeLsAqSGPjA0MwwK3lizKrf8Smu6AWc=&amp;xsec_source=pc_trdark")</f>
        <v>0.0</v>
      </c>
      <c r="D185" t="inlineStr">
        <is>
          <t>鲜水湾</t>
        </is>
      </c>
      <c r="E185" t="inlineStr">
        <is>
          <t>49316638994</t>
        </is>
      </c>
      <c r="F185" t="inlineStr">
        <is>
          <t>2025-12-13 18:11:48</t>
        </is>
      </c>
      <c r="G185" t="inlineStr">
        <is>
          <t>图文</t>
        </is>
      </c>
      <c r="H185" t="inlineStr">
        <is>
          <t>大虾基围虾王牌大虾厄瓜多尔白虾盐冻虾仁海洋大虾送礼顺丰包邮</t>
        </is>
      </c>
      <c r="I185" t="inlineStr">
        <is>
          <t>690aeb7be379430001e686ac</t>
        </is>
      </c>
      <c r="J185" t="inlineStr">
        <is>
          <t/>
        </is>
      </c>
      <c r="K185" t="n">
        <v>0.0</v>
      </c>
      <c r="L185" t="n">
        <v>0.0</v>
      </c>
      <c r="M185" t="n">
        <v>3.0</v>
      </c>
      <c r="N185" t="inlineStr">
        <is>
          <t>0.21428571428571427</t>
        </is>
      </c>
      <c r="O185" t="n">
        <v>3.0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inlineStr">
        <is>
          <t/>
        </is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14.0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5.5</v>
      </c>
      <c r="AL185" t="inlineStr">
        <is>
          <t/>
        </is>
      </c>
    </row>
    <row r="186">
      <c r="A186" t="inlineStr">
        <is>
          <t>原产地海蛎子直发！这海蛎子真的肥到没边了</t>
        </is>
      </c>
      <c r="B186" t="inlineStr">
        <is>
          <t>6912feac000000000302d5f9</t>
        </is>
      </c>
      <c r="C186" s="185" t="n">
        <f>HYPERLINK("https://www.xiaohongshu.com/explore/6912feac000000000302d5f9?xsec_token=TBnZN0DmKGIQMnPXPN25j7p48mbHqVct7EZyY-hUxfDfg=&amp;xsec_source=pc_trdark","https://www.xiaohongshu.com/explore/6912feac000000000302d5f9?xsec_token=TBnZN0DmKGIQMnPXPN25j7p48mbHqVct7EZyY-hUxfDfg=&amp;xsec_source=pc_trdark")</f>
        <v>0.0</v>
      </c>
      <c r="D186" t="inlineStr">
        <is>
          <t>婉婉上班吃什么</t>
        </is>
      </c>
      <c r="E186" t="inlineStr">
        <is>
          <t>11434449706</t>
        </is>
      </c>
      <c r="F186" t="inlineStr">
        <is>
          <t>2025-11-11 17:15:24</t>
        </is>
      </c>
      <c r="G186" t="inlineStr">
        <is>
          <t>视频</t>
        </is>
      </c>
      <c r="H186" t="inlineStr">
        <is>
          <t>生蚝乳山生蚝海蛎子顺丰包邮</t>
        </is>
      </c>
      <c r="I186" t="inlineStr">
        <is>
          <t>690c70971b787900010866cc</t>
        </is>
      </c>
      <c r="J186" t="n">
        <v>19.0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inlineStr">
        <is>
          <t/>
        </is>
      </c>
      <c r="R186" t="inlineStr">
        <is>
          <t/>
        </is>
      </c>
      <c r="S186" t="n">
        <v>0.0</v>
      </c>
      <c r="T186" t="n">
        <v>0.0</v>
      </c>
      <c r="U186" t="n">
        <v>0.0</v>
      </c>
      <c r="V186" t="n">
        <v>0.0</v>
      </c>
      <c r="W186" t="inlineStr">
        <is>
          <t/>
        </is>
      </c>
      <c r="X186" t="n">
        <v>0.0</v>
      </c>
      <c r="Y186" t="n">
        <v>0.0</v>
      </c>
      <c r="Z186" t="n">
        <v>1.0</v>
      </c>
      <c r="AA186" t="n">
        <v>0.0</v>
      </c>
      <c r="AB186" t="n">
        <v>0.0</v>
      </c>
      <c r="AC186" t="n">
        <v>0.0</v>
      </c>
      <c r="AD186" t="n">
        <v>14.0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18.5</v>
      </c>
      <c r="AL186" t="inlineStr">
        <is>
          <t>0.46153846153846156</t>
        </is>
      </c>
    </row>
    <row r="187">
      <c r="A187" t="inlineStr">
        <is>
          <t>今年走亲戚别送奶了❗️送这鱼备有面儿</t>
        </is>
      </c>
      <c r="B187" t="inlineStr">
        <is>
          <t>697b2834000000000d008a39</t>
        </is>
      </c>
      <c r="C187" s="186" t="n">
        <f>HYPERLINK("https://www.xiaohongshu.com/explore/697b2834000000000d008a39?xsec_token=TBx0gf9xFBuo-Uf0_oTJMkRGIGml1cD74L8EYqARDVQLU=&amp;xsec_source=pc_trdark","https://www.xiaohongshu.com/explore/697b2834000000000d008a39?xsec_token=TBx0gf9xFBuo-Uf0_oTJMkRGIGml1cD74L8EYqARDVQLU=&amp;xsec_source=pc_trdark")</f>
        <v>0.0</v>
      </c>
      <c r="D187" t="inlineStr">
        <is>
          <t>鲜水湾</t>
        </is>
      </c>
      <c r="E187" t="inlineStr">
        <is>
          <t>49316638994</t>
        </is>
      </c>
      <c r="F187" t="inlineStr">
        <is>
          <t>2026-01-29 17:28:20</t>
        </is>
      </c>
      <c r="G187" t="inlineStr">
        <is>
          <t>图文</t>
        </is>
      </c>
      <c r="H187" t="inlineStr">
        <is>
          <t>智利三文鱼切块·整条三文鱼·深海鱼一人食健康饮食</t>
        </is>
      </c>
      <c r="I187" t="inlineStr">
        <is>
          <t>691ac562a524ee0001b51d7b</t>
        </is>
      </c>
      <c r="J187" t="inlineStr">
        <is>
          <t/>
        </is>
      </c>
      <c r="K187" t="n">
        <v>0.0</v>
      </c>
      <c r="L187" t="n">
        <v>0.0</v>
      </c>
      <c r="M187" t="n">
        <v>1.0</v>
      </c>
      <c r="N187" t="inlineStr">
        <is>
          <t>0.07692307692307693</t>
        </is>
      </c>
      <c r="O187" t="n">
        <v>1.0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inlineStr">
        <is>
          <t/>
        </is>
      </c>
      <c r="X187" t="n">
        <v>0.0</v>
      </c>
      <c r="Y187" t="n">
        <v>0.0</v>
      </c>
      <c r="Z187" t="n">
        <v>1.0</v>
      </c>
      <c r="AA187" t="n">
        <v>0.0</v>
      </c>
      <c r="AB187" t="n">
        <v>0.0</v>
      </c>
      <c r="AC187" t="n">
        <v>0.0</v>
      </c>
      <c r="AD187" t="n">
        <v>13.0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7.615384615384615</v>
      </c>
      <c r="AL187" t="inlineStr">
        <is>
          <t/>
        </is>
      </c>
    </row>
    <row r="188">
      <c r="A188" t="inlineStr">
        <is>
          <t>以为69没多少，但一盒够我吃一周的了🥹</t>
        </is>
      </c>
      <c r="B188" t="inlineStr">
        <is>
          <t>69787b64000000001a02d584</t>
        </is>
      </c>
      <c r="C188" s="187" t="n">
        <f>HYPERLINK("https://www.xiaohongshu.com/explore/69787b64000000001a02d584?xsec_token=TB4uixe4FoDg0vEpIlbspmiiDHdct7wttXqXSRfpGWphA=&amp;xsec_source=pc_trdark","https://www.xiaohongshu.com/explore/69787b64000000001a02d584?xsec_token=TB4uixe4FoDg0vEpIlbspmiiDHdct7wttXqXSRfpGWphA=&amp;xsec_source=pc_trdark")</f>
        <v>0.0</v>
      </c>
      <c r="D188" t="inlineStr">
        <is>
          <t>鲜水湾</t>
        </is>
      </c>
      <c r="E188" t="inlineStr">
        <is>
          <t>49316638994</t>
        </is>
      </c>
      <c r="F188" t="inlineStr">
        <is>
          <t>2026-01-27 16:46:28</t>
        </is>
      </c>
      <c r="G188" t="inlineStr">
        <is>
          <t>图文</t>
        </is>
      </c>
      <c r="H188" t="inlineStr">
        <is>
          <t>王牌大虾鲜冻大虾厄瓜多尔白虾盐冻大虾年货过年送礼顺丰包邮</t>
        </is>
      </c>
      <c r="I188" t="inlineStr">
        <is>
          <t>69782738eb0d9a0001cd8a32</t>
        </is>
      </c>
      <c r="J188" t="inlineStr">
        <is>
          <t/>
        </is>
      </c>
      <c r="K188" t="n">
        <v>0.0</v>
      </c>
      <c r="L188" t="n">
        <v>0.0</v>
      </c>
      <c r="M188" t="n">
        <v>2.0</v>
      </c>
      <c r="N188" t="inlineStr">
        <is>
          <t>0.15384615384615385</t>
        </is>
      </c>
      <c r="O188" t="n">
        <v>2.0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inlineStr">
        <is>
          <t/>
        </is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13.0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5.3076923076923075</v>
      </c>
      <c r="AL188" t="inlineStr">
        <is>
          <t/>
        </is>
      </c>
    </row>
    <row r="189">
      <c r="A189" t="inlineStr">
        <is>
          <t>被差评了😭建议吃生蚝之前看下详情</t>
        </is>
      </c>
      <c r="B189" t="inlineStr">
        <is>
          <t>693a3286000000001f004188</t>
        </is>
      </c>
      <c r="C189" s="188" t="n">
        <f>HYPERLINK("https://www.xiaohongshu.com/explore/693a3286000000001f004188?xsec_token=TBSe-eT4tPFhzXSmwZAcjHHyWS2i6TsJ7_jyXUvcozKJE=&amp;xsec_source=pc_trdark","https://www.xiaohongshu.com/explore/693a3286000000001f004188?xsec_token=TBSe-eT4tPFhzXSmwZAcjHHyWS2i6TsJ7_jyXUvcozKJE=&amp;xsec_source=pc_trdark")</f>
        <v>0.0</v>
      </c>
      <c r="D189" t="inlineStr">
        <is>
          <t>鲜水湾</t>
        </is>
      </c>
      <c r="E189" t="inlineStr">
        <is>
          <t>49316638994</t>
        </is>
      </c>
      <c r="F189" t="inlineStr">
        <is>
          <t>2025-12-11 10:55:02</t>
        </is>
      </c>
      <c r="G189" t="inlineStr">
        <is>
          <t>图文</t>
        </is>
      </c>
      <c r="H189" t="inlineStr">
        <is>
          <t>生蚝乳山生蚝海蛎子顺丰包邮</t>
        </is>
      </c>
      <c r="I189" t="inlineStr">
        <is>
          <t>690c70971b787900010866cc</t>
        </is>
      </c>
      <c r="J189" t="inlineStr">
        <is>
          <t/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inlineStr">
        <is>
          <t/>
        </is>
      </c>
      <c r="R189" t="inlineStr">
        <is>
          <t/>
        </is>
      </c>
      <c r="S189" t="n">
        <v>0.0</v>
      </c>
      <c r="T189" t="n">
        <v>0.0</v>
      </c>
      <c r="U189" t="n">
        <v>0.0</v>
      </c>
      <c r="V189" t="n">
        <v>0.0</v>
      </c>
      <c r="W189" t="inlineStr">
        <is>
          <t/>
        </is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13.0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17.153846153846153</v>
      </c>
      <c r="AL189" t="inlineStr">
        <is>
          <t/>
        </is>
      </c>
    </row>
    <row r="190">
      <c r="A190" t="inlineStr">
        <is>
          <t>说一个撑死人但热量很低的东西</t>
        </is>
      </c>
      <c r="B190" t="inlineStr">
        <is>
          <t>69a1579a000000001a02c7db</t>
        </is>
      </c>
      <c r="C190" s="189" t="n">
        <f>HYPERLINK("https://www.xiaohongshu.com/explore/69a1579a000000001a02c7db?xsec_token=TBk7Tu9foWGIsieMmGc2tlwqr8bBKDkj0-BDl6x5WukJU=&amp;xsec_source=pc_trdark","https://www.xiaohongshu.com/explore/69a1579a000000001a02c7db?xsec_token=TBk7Tu9foWGIsieMmGc2tlwqr8bBKDkj0-BDl6x5WukJU=&amp;xsec_source=pc_trdark")</f>
        <v>0.0</v>
      </c>
      <c r="D190" t="inlineStr">
        <is>
          <t>鲜水湾</t>
        </is>
      </c>
      <c r="E190" t="inlineStr">
        <is>
          <t>49316638994</t>
        </is>
      </c>
      <c r="F190" t="inlineStr">
        <is>
          <t>2026-02-27 16:36:42</t>
        </is>
      </c>
      <c r="G190" t="inlineStr">
        <is>
          <t>图文</t>
        </is>
      </c>
      <c r="H190" t="inlineStr">
        <is>
          <t>手剥虾仁 无冰衣无添加 低脂餐一人食 上班带饭 顺丰包邮 5盒装</t>
        </is>
      </c>
      <c r="I190" t="inlineStr">
        <is>
          <t>694baba01d450d00013662f0</t>
        </is>
      </c>
      <c r="J190" t="inlineStr">
        <is>
          <t/>
        </is>
      </c>
      <c r="K190" t="n">
        <v>0.0</v>
      </c>
      <c r="L190" t="n">
        <v>0.0</v>
      </c>
      <c r="M190" t="n">
        <v>1.0</v>
      </c>
      <c r="N190" t="inlineStr">
        <is>
          <t>0.08333333333333333</t>
        </is>
      </c>
      <c r="O190" t="n">
        <v>1.0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inlineStr">
        <is>
          <t/>
        </is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12.0</v>
      </c>
      <c r="AE190" t="n">
        <v>0.0</v>
      </c>
      <c r="AF190" t="n">
        <v>0.0</v>
      </c>
      <c r="AG190" t="n">
        <v>0.0</v>
      </c>
      <c r="AH190" t="n">
        <v>2.0</v>
      </c>
      <c r="AI190" t="n">
        <v>0.0</v>
      </c>
      <c r="AJ190" t="n">
        <v>0.0</v>
      </c>
      <c r="AK190" t="n">
        <v>9.916666666666666</v>
      </c>
      <c r="AL190" t="inlineStr">
        <is>
          <t/>
        </is>
      </c>
    </row>
    <row r="191">
      <c r="A191" t="inlineStr">
        <is>
          <t>这么大的生蚝你能吃几个？</t>
        </is>
      </c>
      <c r="B191" t="inlineStr">
        <is>
          <t>6925754f000000001e02c06b</t>
        </is>
      </c>
      <c r="C191" s="190" t="n">
        <f>HYPERLINK("https://www.xiaohongshu.com/explore/6925754f000000001e02c06b?xsec_token=TBVx22ZAFho_bBgysCIliGP3vqKLftKs_THH_Wnmk1JDk=&amp;xsec_source=pc_trdark","https://www.xiaohongshu.com/explore/6925754f000000001e02c06b?xsec_token=TBVx22ZAFho_bBgysCIliGP3vqKLftKs_THH_Wnmk1JDk=&amp;xsec_source=pc_trdark")</f>
        <v>0.0</v>
      </c>
      <c r="D191" t="inlineStr">
        <is>
          <t>婉婉上班吃什么</t>
        </is>
      </c>
      <c r="E191" t="inlineStr">
        <is>
          <t>11434449706</t>
        </is>
      </c>
      <c r="F191" t="inlineStr">
        <is>
          <t>2025-11-25 17:22:23</t>
        </is>
      </c>
      <c r="G191" t="inlineStr">
        <is>
          <t>视频</t>
        </is>
      </c>
      <c r="H191" t="inlineStr">
        <is>
          <t>生蚝乳山生蚝海蛎子顺丰包邮</t>
        </is>
      </c>
      <c r="I191" t="inlineStr">
        <is>
          <t>690c70971b787900010866cc</t>
        </is>
      </c>
      <c r="J191" t="n">
        <v>15.0</v>
      </c>
      <c r="K191" t="n">
        <v>0.0</v>
      </c>
      <c r="L191" t="n">
        <v>0.0</v>
      </c>
      <c r="M191" t="n">
        <v>2.0</v>
      </c>
      <c r="N191" t="inlineStr">
        <is>
          <t>0.16666666666666666</t>
        </is>
      </c>
      <c r="O191" t="n">
        <v>2.0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inlineStr">
        <is>
          <t/>
        </is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12.0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15.25</v>
      </c>
      <c r="AL191" t="n">
        <v>0.4090909090909091</v>
      </c>
    </row>
    <row r="192">
      <c r="A192" t="inlineStr">
        <is>
          <t>减脂界的天花板🦐… 低卡高蛋白的神仙食材‼️</t>
        </is>
      </c>
      <c r="B192" t="inlineStr">
        <is>
          <t>69a13fec000000000e03d4db</t>
        </is>
      </c>
      <c r="C192" s="191" t="n">
        <f>HYPERLINK("https://www.xiaohongshu.com/explore/69a13fec000000000e03d4db?xsec_token=TBk7Tu9foWGIsieMmGc2tlwjEOD4OCZs9l6eUaeWjGmL8=&amp;xsec_source=pc_trdark","https://www.xiaohongshu.com/explore/69a13fec000000000e03d4db?xsec_token=TBk7Tu9foWGIsieMmGc2tlwjEOD4OCZs9l6eUaeWjGmL8=&amp;xsec_source=pc_trdark")</f>
        <v>0.0</v>
      </c>
      <c r="D192" t="inlineStr">
        <is>
          <t>鲜水湾</t>
        </is>
      </c>
      <c r="E192" t="inlineStr">
        <is>
          <t>49316638994</t>
        </is>
      </c>
      <c r="F192" t="inlineStr">
        <is>
          <t>2026-02-27 14:55:40</t>
        </is>
      </c>
      <c r="G192" t="inlineStr">
        <is>
          <t>图文</t>
        </is>
      </c>
      <c r="H192" t="inlineStr">
        <is>
          <t>手剥虾仁 无冰衣无添加 低脂餐一人食 上班带饭 顺丰包邮 5盒装</t>
        </is>
      </c>
      <c r="I192" t="inlineStr">
        <is>
          <t>694baba01d450d00013662f0</t>
        </is>
      </c>
      <c r="J192" t="inlineStr">
        <is>
          <t/>
        </is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inlineStr">
        <is>
          <t/>
        </is>
      </c>
      <c r="R192" t="inlineStr">
        <is>
          <t/>
        </is>
      </c>
      <c r="S192" t="n">
        <v>0.0</v>
      </c>
      <c r="T192" t="n">
        <v>0.0</v>
      </c>
      <c r="U192" t="n">
        <v>0.0</v>
      </c>
      <c r="V192" t="n">
        <v>0.0</v>
      </c>
      <c r="W192" t="inlineStr">
        <is>
          <t/>
        </is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11.0</v>
      </c>
      <c r="AE192" t="n">
        <v>0.0</v>
      </c>
      <c r="AF192" t="n">
        <v>0.0</v>
      </c>
      <c r="AG192" t="n">
        <v>0.0</v>
      </c>
      <c r="AH192" t="n">
        <v>2.0</v>
      </c>
      <c r="AI192" t="n">
        <v>0.0</v>
      </c>
      <c r="AJ192" t="n">
        <v>0.0</v>
      </c>
      <c r="AK192" t="n">
        <v>4.7272727272727275</v>
      </c>
      <c r="AL192" t="inlineStr">
        <is>
          <t/>
        </is>
      </c>
    </row>
    <row r="193">
      <c r="A193" t="inlineStr">
        <is>
          <t>孕妈妈放心炫的虾！鲜到跳脚还补钙</t>
        </is>
      </c>
      <c r="B193" t="inlineStr">
        <is>
          <t>694aad5f000000001f0085bc</t>
        </is>
      </c>
      <c r="C193" s="192" t="n">
        <f>HYPERLINK("https://www.xiaohongshu.com/explore/694aad5f000000001f0085bc?xsec_token=TBdeZ0Rm1wYmDrNYnjdb_05teoGDji6c5OUtoJGvaOS34=&amp;xsec_source=pc_trdark","https://www.xiaohongshu.com/explore/694aad5f000000001f0085bc?xsec_token=TBdeZ0Rm1wYmDrNYnjdb_05teoGDji6c5OUtoJGvaOS34=&amp;xsec_source=pc_trdark")</f>
        <v>0.0</v>
      </c>
      <c r="D193" t="inlineStr">
        <is>
          <t>鲜水湾</t>
        </is>
      </c>
      <c r="E193" t="inlineStr">
        <is>
          <t>49316638994</t>
        </is>
      </c>
      <c r="F193" t="inlineStr">
        <is>
          <t>2025-12-23 22:55:27</t>
        </is>
      </c>
      <c r="G193" t="inlineStr">
        <is>
          <t>图文</t>
        </is>
      </c>
      <c r="H193" t="inlineStr">
        <is>
          <t>大虾基围虾王牌大虾厄瓜多尔白虾盐冻虾仁海洋大虾送礼顺丰包邮</t>
        </is>
      </c>
      <c r="I193" t="inlineStr">
        <is>
          <t>690aeb7be379430001e686ac</t>
        </is>
      </c>
      <c r="J193" t="inlineStr">
        <is>
          <t/>
        </is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inlineStr">
        <is>
          <t/>
        </is>
      </c>
      <c r="R193" t="inlineStr">
        <is>
          <t/>
        </is>
      </c>
      <c r="S193" t="n">
        <v>0.0</v>
      </c>
      <c r="T193" t="n">
        <v>0.0</v>
      </c>
      <c r="U193" t="n">
        <v>0.0</v>
      </c>
      <c r="V193" t="n">
        <v>0.0</v>
      </c>
      <c r="W193" t="inlineStr">
        <is>
          <t/>
        </is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11.0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4.0</v>
      </c>
      <c r="AL193" t="inlineStr">
        <is>
          <t/>
        </is>
      </c>
    </row>
    <row r="194">
      <c r="A194" t="inlineStr">
        <is>
          <t>不要低估50💰的购买力，敞开吃吧……</t>
        </is>
      </c>
      <c r="B194" t="inlineStr">
        <is>
          <t>691c04390000000019025de9</t>
        </is>
      </c>
      <c r="C194" s="193" t="n">
        <f>HYPERLINK("https://www.xiaohongshu.com/explore/691c04390000000019025de9?xsec_token=TBIS8v-01Optb7rxCGgHk_CVmK85B0bSrdPFgldP-p7Po=&amp;xsec_source=pc_trdark","https://www.xiaohongshu.com/explore/691c04390000000019025de9?xsec_token=TBIS8v-01Optb7rxCGgHk_CVmK85B0bSrdPFgldP-p7Po=&amp;xsec_source=pc_trdark")</f>
        <v>0.0</v>
      </c>
      <c r="D194" t="inlineStr">
        <is>
          <t>婉婉上班吃什么</t>
        </is>
      </c>
      <c r="E194" t="inlineStr">
        <is>
          <t>11434449706</t>
        </is>
      </c>
      <c r="F194" t="inlineStr">
        <is>
          <t>2025-11-18 13:29:29</t>
        </is>
      </c>
      <c r="G194" t="inlineStr">
        <is>
          <t>视频</t>
        </is>
      </c>
      <c r="H194" t="inlineStr">
        <is>
          <t>生蚝乳山生蚝海蛎子顺丰包邮</t>
        </is>
      </c>
      <c r="I194" t="inlineStr">
        <is>
          <t>690c70971b787900010866cc</t>
        </is>
      </c>
      <c r="J194" t="n">
        <v>33.0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inlineStr">
        <is>
          <t/>
        </is>
      </c>
      <c r="R194" t="inlineStr">
        <is>
          <t/>
        </is>
      </c>
      <c r="S194" t="n">
        <v>0.0</v>
      </c>
      <c r="T194" t="n">
        <v>0.0</v>
      </c>
      <c r="U194" t="n">
        <v>0.0</v>
      </c>
      <c r="V194" t="n">
        <v>0.0</v>
      </c>
      <c r="W194" t="inlineStr">
        <is>
          <t/>
        </is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11.0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8.090909090909092</v>
      </c>
      <c r="AL194" t="n">
        <v>0.0</v>
      </c>
    </row>
    <row r="195">
      <c r="A195" t="inlineStr">
        <is>
          <t>过年了🧨买了整条三文鱼回家</t>
        </is>
      </c>
      <c r="B195" t="inlineStr">
        <is>
          <t>69466567000000001f00a3ce</t>
        </is>
      </c>
      <c r="C195" s="194" t="n">
        <f>HYPERLINK("https://www.xiaohongshu.com/explore/69466567000000001f00a3ce?xsec_token=TBHCyq_CQBT5wFdM6Ltqr7eyV_nAy0QE5ioCDsomteKuQ=&amp;xsec_source=pc_trdark","https://www.xiaohongshu.com/explore/69466567000000001f00a3ce?xsec_token=TBHCyq_CQBT5wFdM6Ltqr7eyV_nAy0QE5ioCDsomteKuQ=&amp;xsec_source=pc_trdark")</f>
        <v>0.0</v>
      </c>
      <c r="D195" t="inlineStr">
        <is>
          <t>鲜水湾</t>
        </is>
      </c>
      <c r="E195" t="inlineStr">
        <is>
          <t>49316638994</t>
        </is>
      </c>
      <c r="F195" t="inlineStr">
        <is>
          <t>2025-12-20 16:59:19</t>
        </is>
      </c>
      <c r="G195" t="inlineStr">
        <is>
          <t>图文</t>
        </is>
      </c>
      <c r="H195" t="inlineStr">
        <is>
          <t>智利三文鱼切块·整条三文鱼·深海鱼一人食健康饮食</t>
        </is>
      </c>
      <c r="I195" t="inlineStr">
        <is>
          <t>691ac562a524ee0001b51d7b</t>
        </is>
      </c>
      <c r="J195" t="inlineStr">
        <is>
          <t/>
        </is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inlineStr">
        <is>
          <t/>
        </is>
      </c>
      <c r="R195" t="inlineStr">
        <is>
          <t/>
        </is>
      </c>
      <c r="S195" t="n">
        <v>0.0</v>
      </c>
      <c r="T195" t="n">
        <v>0.0</v>
      </c>
      <c r="U195" t="n">
        <v>0.0</v>
      </c>
      <c r="V195" t="n">
        <v>0.0</v>
      </c>
      <c r="W195" t="inlineStr">
        <is>
          <t/>
        </is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10.0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5.0</v>
      </c>
      <c r="AL195" t="inlineStr">
        <is>
          <t/>
        </is>
      </c>
    </row>
    <row r="196">
      <c r="A196" t="inlineStr">
        <is>
          <t>月掉10斤的秘诀～原来都在这个三文鱼身上</t>
        </is>
      </c>
      <c r="B196" t="inlineStr">
        <is>
          <t>693935cf000000001e02bdfb</t>
        </is>
      </c>
      <c r="C196" s="195" t="n">
        <f>HYPERLINK("https://www.xiaohongshu.com/explore/693935cf000000001e02bdfb?xsec_token=TBaopk6NP1Kn3Gui1O5R_ovsTnM_jal7Uk8AmCVptIfvw=&amp;xsec_source=pc_trdark","https://www.xiaohongshu.com/explore/693935cf000000001e02bdfb?xsec_token=TBaopk6NP1Kn3Gui1O5R_ovsTnM_jal7Uk8AmCVptIfvw=&amp;xsec_source=pc_trdark")</f>
        <v>0.0</v>
      </c>
      <c r="D196" t="inlineStr">
        <is>
          <t>鲜水湾</t>
        </is>
      </c>
      <c r="E196" t="inlineStr">
        <is>
          <t>49316638994</t>
        </is>
      </c>
      <c r="F196" t="inlineStr">
        <is>
          <t>2025-12-10 16:56:47</t>
        </is>
      </c>
      <c r="G196" t="inlineStr">
        <is>
          <t>图文</t>
        </is>
      </c>
      <c r="H196" t="inlineStr">
        <is>
          <t>智利三文鱼切块·整条三文鱼·深海鱼一人食健康饮食</t>
        </is>
      </c>
      <c r="I196" t="inlineStr">
        <is>
          <t>691ac562a524ee0001b51d7b</t>
        </is>
      </c>
      <c r="J196" t="inlineStr">
        <is>
          <t/>
        </is>
      </c>
      <c r="K196" t="n">
        <v>0.0</v>
      </c>
      <c r="L196" t="n">
        <v>0.0</v>
      </c>
      <c r="M196" t="n">
        <v>1.0</v>
      </c>
      <c r="N196" t="n">
        <v>0.1</v>
      </c>
      <c r="O196" t="n">
        <v>1.0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inlineStr">
        <is>
          <t/>
        </is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10.0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10.6</v>
      </c>
      <c r="AL196" t="inlineStr">
        <is>
          <t/>
        </is>
      </c>
    </row>
    <row r="197">
      <c r="A197" t="inlineStr">
        <is>
          <t>没招了，我爸让我在网上卖生蚝，谁买啊🥲</t>
        </is>
      </c>
      <c r="B197" t="inlineStr">
        <is>
          <t>691c462f000000001e007a24</t>
        </is>
      </c>
      <c r="C197" s="196" t="n">
        <f>HYPERLINK("https://www.xiaohongshu.com/explore/691c462f000000001e007a24?xsec_token=TBIS8v-01Optb7rxCGgHk_CUD45soF8KRG4e2bLv4cw1c=&amp;xsec_source=pc_trdark","https://www.xiaohongshu.com/explore/691c462f000000001e007a24?xsec_token=TBIS8v-01Optb7rxCGgHk_CUD45soF8KRG4e2bLv4cw1c=&amp;xsec_source=pc_trdark")</f>
        <v>0.0</v>
      </c>
      <c r="D197" t="inlineStr">
        <is>
          <t>婉婉上班吃什么</t>
        </is>
      </c>
      <c r="E197" t="inlineStr">
        <is>
          <t>11434449706</t>
        </is>
      </c>
      <c r="F197" t="inlineStr">
        <is>
          <t>2025-11-18 19:10:50</t>
        </is>
      </c>
      <c r="G197" t="inlineStr">
        <is>
          <t>视频</t>
        </is>
      </c>
      <c r="H197" t="inlineStr">
        <is>
          <t>生蚝乳山生蚝海蛎子顺丰包邮</t>
        </is>
      </c>
      <c r="I197" t="inlineStr">
        <is>
          <t>690c70971b787900010866cc</t>
        </is>
      </c>
      <c r="J197" t="n">
        <v>28.0</v>
      </c>
      <c r="K197" t="n">
        <v>0.0</v>
      </c>
      <c r="L197" t="n">
        <v>0.0</v>
      </c>
      <c r="M197" t="n">
        <v>1.0</v>
      </c>
      <c r="N197" t="n">
        <v>0.1</v>
      </c>
      <c r="O197" t="n">
        <v>1.0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inlineStr">
        <is>
          <t/>
        </is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10.0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9.6</v>
      </c>
      <c r="AL197" t="inlineStr">
        <is>
          <t>0.08333333333333333</t>
        </is>
      </c>
    </row>
    <row r="198">
      <c r="A198" t="inlineStr">
        <is>
          <t>我爸说：五斤就卖49.9，总比倒闭了强</t>
        </is>
      </c>
      <c r="B198" t="inlineStr">
        <is>
          <t>69569555000000001e036b60</t>
        </is>
      </c>
      <c r="C198" s="197" t="n">
        <f>HYPERLINK("https://www.xiaohongshu.com/explore/69569555000000001e036b60?xsec_token=TB_oVdiqQUcCQlNseLa8XT9nsvA6PkVXNgqOex2xAT6lE=&amp;xsec_source=pc_trdark","https://www.xiaohongshu.com/explore/69569555000000001e036b60?xsec_token=TB_oVdiqQUcCQlNseLa8XT9nsvA6PkVXNgqOex2xAT6lE=&amp;xsec_source=pc_trdark")</f>
        <v>0.0</v>
      </c>
      <c r="D198" t="inlineStr">
        <is>
          <t>鲜水湾</t>
        </is>
      </c>
      <c r="E198" t="inlineStr">
        <is>
          <t>49316638994</t>
        </is>
      </c>
      <c r="F198" t="inlineStr">
        <is>
          <t>2026-01-01 23:40:05</t>
        </is>
      </c>
      <c r="G198" t="inlineStr">
        <is>
          <t>图文</t>
        </is>
      </c>
      <c r="H198" t="inlineStr">
        <is>
          <t>生蚝乳山生蚝海蛎子顺丰包邮</t>
        </is>
      </c>
      <c r="I198" t="inlineStr">
        <is>
          <t>690c70971b787900010866cc</t>
        </is>
      </c>
      <c r="J198" t="inlineStr">
        <is>
          <t/>
        </is>
      </c>
      <c r="K198" t="n">
        <v>0.0</v>
      </c>
      <c r="L198" t="n">
        <v>0.0</v>
      </c>
      <c r="M198" t="n">
        <v>2.0</v>
      </c>
      <c r="N198" t="n">
        <v>0.2222222222222222</v>
      </c>
      <c r="O198" t="n">
        <v>2.0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inlineStr">
        <is>
          <t/>
        </is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9.0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6.111111111111111</v>
      </c>
      <c r="AL198" t="inlineStr">
        <is>
          <t/>
        </is>
      </c>
    </row>
    <row r="199">
      <c r="A199" t="inlineStr">
        <is>
          <t>替大家试过了49.9💰五斤的生蚝是真的肥</t>
        </is>
      </c>
      <c r="B199" t="inlineStr">
        <is>
          <t>69479860000000001f006d2a</t>
        </is>
      </c>
      <c r="C199" s="198" t="n">
        <f>HYPERLINK("https://www.xiaohongshu.com/explore/69479860000000001f006d2a?xsec_token=TBnuuEENMsYpnBa1PDFqnFZMzS_oJZW4bj7QL8P7pGbTA=&amp;xsec_source=pc_trdark","https://www.xiaohongshu.com/explore/69479860000000001f006d2a?xsec_token=TBnuuEENMsYpnBa1PDFqnFZMzS_oJZW4bj7QL8P7pGbTA=&amp;xsec_source=pc_trdark")</f>
        <v>0.0</v>
      </c>
      <c r="D199" t="inlineStr">
        <is>
          <t>鲜水湾</t>
        </is>
      </c>
      <c r="E199" t="inlineStr">
        <is>
          <t>49316638994</t>
        </is>
      </c>
      <c r="F199" t="inlineStr">
        <is>
          <t>2025-12-21 14:49:04</t>
        </is>
      </c>
      <c r="G199" t="inlineStr">
        <is>
          <t>图文</t>
        </is>
      </c>
      <c r="H199" t="inlineStr">
        <is>
          <t>生蚝乳山生蚝海蛎子顺丰包邮</t>
        </is>
      </c>
      <c r="I199" t="inlineStr">
        <is>
          <t>690c70971b787900010866cc</t>
        </is>
      </c>
      <c r="J199" t="inlineStr">
        <is>
          <t/>
        </is>
      </c>
      <c r="K199" t="n">
        <v>0.0</v>
      </c>
      <c r="L199" t="n">
        <v>0.0</v>
      </c>
      <c r="M199" t="n">
        <v>2.0</v>
      </c>
      <c r="N199" t="n">
        <v>0.2222222222222222</v>
      </c>
      <c r="O199" t="n">
        <v>2.0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inlineStr">
        <is>
          <t/>
        </is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9.0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10.222222222222221</v>
      </c>
      <c r="AL199" t="inlineStr">
        <is>
          <t/>
        </is>
      </c>
    </row>
    <row r="200">
      <c r="A200" t="inlineStr">
        <is>
          <t>厨房小白看这里！0失败的香煎三文鱼教程✅</t>
        </is>
      </c>
      <c r="B200" t="inlineStr">
        <is>
          <t>69415ddb000000001e034d33</t>
        </is>
      </c>
      <c r="C200" s="199" t="n">
        <f>HYPERLINK("https://www.xiaohongshu.com/explore/69415ddb000000001e034d33?xsec_token=TBv6go0WlLO6PYi5tzBr5K9YRgNpyTaicAvnbadSUBCKA=&amp;xsec_source=pc_trdark","https://www.xiaohongshu.com/explore/69415ddb000000001e034d33?xsec_token=TBv6go0WlLO6PYi5tzBr5K9YRgNpyTaicAvnbadSUBCKA=&amp;xsec_source=pc_trdark")</f>
        <v>0.0</v>
      </c>
      <c r="D200" t="inlineStr">
        <is>
          <t>鲜水湾</t>
        </is>
      </c>
      <c r="E200" t="inlineStr">
        <is>
          <t>49316638994</t>
        </is>
      </c>
      <c r="F200" t="inlineStr">
        <is>
          <t>2025-12-16 21:25:47</t>
        </is>
      </c>
      <c r="G200" t="inlineStr">
        <is>
          <t>图文</t>
        </is>
      </c>
      <c r="H200" t="inlineStr">
        <is>
          <t>智利三文鱼切块·整条三文鱼·深海鱼一人食健康饮食</t>
        </is>
      </c>
      <c r="I200" t="inlineStr">
        <is>
          <t>691ac562a524ee0001b51d7b</t>
        </is>
      </c>
      <c r="J200" t="inlineStr">
        <is>
          <t/>
        </is>
      </c>
      <c r="K200" t="n">
        <v>0.0</v>
      </c>
      <c r="L200" t="n">
        <v>0.0</v>
      </c>
      <c r="M200" t="n">
        <v>1.0</v>
      </c>
      <c r="N200" t="n">
        <v>0.1111111111111111</v>
      </c>
      <c r="O200" t="n">
        <v>1.0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inlineStr">
        <is>
          <t/>
        </is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9.0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92.77777777777777</v>
      </c>
      <c r="AL200" t="inlineStr">
        <is>
          <t/>
        </is>
      </c>
    </row>
    <row r="201">
      <c r="A201" t="inlineStr">
        <is>
          <t>答应我，年后控体就吃这个手剥大虾仁！！</t>
        </is>
      </c>
      <c r="B201" t="inlineStr">
        <is>
          <t>69a28994000000002801ca50</t>
        </is>
      </c>
      <c r="C201" s="200" t="n">
        <f>HYPERLINK("https://www.xiaohongshu.com/explore/69a28994000000002801ca50?xsec_token=TBUws-qSGfQm7WfIK5gxFwZ-XeexN-N8XHYW0C_3PSaSY=&amp;xsec_source=pc_trdark","https://www.xiaohongshu.com/explore/69a28994000000002801ca50?xsec_token=TBUws-qSGfQm7WfIK5gxFwZ-XeexN-N8XHYW0C_3PSaSY=&amp;xsec_source=pc_trdark")</f>
        <v>0.0</v>
      </c>
      <c r="D201" t="inlineStr">
        <is>
          <t>鲜水湾</t>
        </is>
      </c>
      <c r="E201" t="inlineStr">
        <is>
          <t>49316638994</t>
        </is>
      </c>
      <c r="F201" t="inlineStr">
        <is>
          <t>2026-02-28 14:22:12</t>
        </is>
      </c>
      <c r="G201" t="inlineStr">
        <is>
          <t>图文</t>
        </is>
      </c>
      <c r="H201" t="inlineStr">
        <is>
          <t>手剥虾仁 无冰衣无添加 低脂餐一人食 上班带饭 顺丰包邮 5盒装</t>
        </is>
      </c>
      <c r="I201" t="inlineStr">
        <is>
          <t>694baba01d450d00013662f0</t>
        </is>
      </c>
      <c r="J201" t="inlineStr">
        <is>
          <t/>
        </is>
      </c>
      <c r="K201" t="n">
        <v>0.0</v>
      </c>
      <c r="L201" t="n">
        <v>0.0</v>
      </c>
      <c r="M201" t="n">
        <v>3.0</v>
      </c>
      <c r="N201" t="n">
        <v>0.375</v>
      </c>
      <c r="O201" t="n">
        <v>2.0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inlineStr">
        <is>
          <t/>
        </is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8.0</v>
      </c>
      <c r="AE201" t="n">
        <v>0.0</v>
      </c>
      <c r="AF201" t="n">
        <v>0.0</v>
      </c>
      <c r="AG201" t="n">
        <v>0.0</v>
      </c>
      <c r="AH201" t="n">
        <v>1.0</v>
      </c>
      <c r="AI201" t="n">
        <v>0.0</v>
      </c>
      <c r="AJ201" t="n">
        <v>0.0</v>
      </c>
      <c r="AK201" t="n">
        <v>15.125</v>
      </c>
      <c r="AL201" t="inlineStr">
        <is>
          <t/>
        </is>
      </c>
    </row>
    <row r="202">
      <c r="A202" t="inlineStr">
        <is>
          <t>年后控体，区区100多竟然够我吃一周！</t>
        </is>
      </c>
      <c r="B202" t="inlineStr">
        <is>
          <t>69a27ea40000000028022315</t>
        </is>
      </c>
      <c r="C202" s="201" t="n">
        <f>HYPERLINK("https://www.xiaohongshu.com/explore/69a27ea40000000028022315?xsec_token=TBUws-qSGfQm7WfIK5gxFwZ4tpOeF-KX4Q2pM0DtznF9A=&amp;xsec_source=pc_trdark","https://www.xiaohongshu.com/explore/69a27ea40000000028022315?xsec_token=TBUws-qSGfQm7WfIK5gxFwZ4tpOeF-KX4Q2pM0DtznF9A=&amp;xsec_source=pc_trdark")</f>
        <v>0.0</v>
      </c>
      <c r="D202" t="inlineStr">
        <is>
          <t>鲜水湾</t>
        </is>
      </c>
      <c r="E202" t="inlineStr">
        <is>
          <t>49316638994</t>
        </is>
      </c>
      <c r="F202" t="inlineStr">
        <is>
          <t>2026-02-28 13:35:33</t>
        </is>
      </c>
      <c r="G202" t="inlineStr">
        <is>
          <t>图文</t>
        </is>
      </c>
      <c r="H202" t="inlineStr">
        <is>
          <t>手剥虾仁 无冰衣无添加 低脂餐一人食 上班带饭 顺丰包邮 5盒装</t>
        </is>
      </c>
      <c r="I202" t="inlineStr">
        <is>
          <t>694baba01d450d00013662f0</t>
        </is>
      </c>
      <c r="J202" t="inlineStr">
        <is>
          <t/>
        </is>
      </c>
      <c r="K202" t="n">
        <v>0.0</v>
      </c>
      <c r="L202" t="n">
        <v>0.0</v>
      </c>
      <c r="M202" t="n">
        <v>1.0</v>
      </c>
      <c r="N202" t="n">
        <v>0.125</v>
      </c>
      <c r="O202" t="n">
        <v>1.0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inlineStr">
        <is>
          <t/>
        </is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8.0</v>
      </c>
      <c r="AE202" t="n">
        <v>0.0</v>
      </c>
      <c r="AF202" t="n">
        <v>0.0</v>
      </c>
      <c r="AG202" t="n">
        <v>0.0</v>
      </c>
      <c r="AH202" t="n">
        <v>2.0</v>
      </c>
      <c r="AI202" t="n">
        <v>0.0</v>
      </c>
      <c r="AJ202" t="n">
        <v>0.0</v>
      </c>
      <c r="AK202" t="n">
        <v>12.75</v>
      </c>
      <c r="AL202" t="inlineStr">
        <is>
          <t/>
        </is>
      </c>
    </row>
    <row r="203">
      <c r="A203" t="inlineStr">
        <is>
          <t>跟爸妈商量后，一整条只需360💰</t>
        </is>
      </c>
      <c r="B203" t="inlineStr">
        <is>
          <t>69382453000000001e023427</t>
        </is>
      </c>
      <c r="C203" s="202" t="n">
        <f>HYPERLINK("https://www.xiaohongshu.com/explore/69382453000000001e023427?xsec_token=TB0A09PqRCzsPFC3N13yAkHBSc4FjeHxA6IJUCtKGi4Z8=&amp;xsec_source=pc_trdark","https://www.xiaohongshu.com/explore/69382453000000001e023427?xsec_token=TB0A09PqRCzsPFC3N13yAkHBSc4FjeHxA6IJUCtKGi4Z8=&amp;xsec_source=pc_trdark")</f>
        <v>0.0</v>
      </c>
      <c r="D203" t="inlineStr">
        <is>
          <t>鲜水湾</t>
        </is>
      </c>
      <c r="E203" t="inlineStr">
        <is>
          <t>49316638994</t>
        </is>
      </c>
      <c r="F203" t="inlineStr">
        <is>
          <t>2025-12-09 21:29:55</t>
        </is>
      </c>
      <c r="G203" t="inlineStr">
        <is>
          <t>图文</t>
        </is>
      </c>
      <c r="H203" t="inlineStr">
        <is>
          <t>智利三文鱼切块·整条三文鱼·深海鱼一人食健康饮食</t>
        </is>
      </c>
      <c r="I203" t="inlineStr">
        <is>
          <t>691ac562a524ee0001b51d7b</t>
        </is>
      </c>
      <c r="J203" t="inlineStr">
        <is>
          <t/>
        </is>
      </c>
      <c r="K203" t="n">
        <v>0.0</v>
      </c>
      <c r="L203" t="n">
        <v>0.0</v>
      </c>
      <c r="M203" t="n">
        <v>1.0</v>
      </c>
      <c r="N203" t="n">
        <v>0.125</v>
      </c>
      <c r="O203" t="n">
        <v>1.0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inlineStr">
        <is>
          <t/>
        </is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8.0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14.125</v>
      </c>
      <c r="AL203" t="inlineStr">
        <is>
          <t/>
        </is>
      </c>
    </row>
    <row r="204">
      <c r="A204" t="inlineStr">
        <is>
          <t>一个很变态，但可以瘦的方法</t>
        </is>
      </c>
      <c r="B204" t="inlineStr">
        <is>
          <t>6936e236000000001e033d69</t>
        </is>
      </c>
      <c r="C204" s="203" t="n">
        <f>HYPERLINK("https://www.xiaohongshu.com/explore/6936e236000000001e033d69?xsec_token=TBlR01uRP0dY963Q_AxX8vHG9NopxmE4c_Kx3ofNqu-5I=&amp;xsec_source=pc_trdark","https://www.xiaohongshu.com/explore/6936e236000000001e033d69?xsec_token=TBlR01uRP0dY963Q_AxX8vHG9NopxmE4c_Kx3ofNqu-5I=&amp;xsec_source=pc_trdark")</f>
        <v>0.0</v>
      </c>
      <c r="D204" t="inlineStr">
        <is>
          <t>鲜水湾</t>
        </is>
      </c>
      <c r="E204" t="inlineStr">
        <is>
          <t>49316638994</t>
        </is>
      </c>
      <c r="F204" t="inlineStr">
        <is>
          <t>2025-12-08 22:35:34</t>
        </is>
      </c>
      <c r="G204" t="inlineStr">
        <is>
          <t>视频</t>
        </is>
      </c>
      <c r="H204" t="inlineStr">
        <is>
          <t>大虾基围虾王牌大虾厄瓜多尔白虾盐冻虾仁海洋大虾送礼顺丰包邮</t>
        </is>
      </c>
      <c r="I204" t="inlineStr">
        <is>
          <t>690aeb7be379430001e686ac</t>
        </is>
      </c>
      <c r="J204" t="n">
        <v>14.0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inlineStr">
        <is>
          <t/>
        </is>
      </c>
      <c r="R204" t="inlineStr">
        <is>
          <t/>
        </is>
      </c>
      <c r="S204" t="n">
        <v>0.0</v>
      </c>
      <c r="T204" t="n">
        <v>0.0</v>
      </c>
      <c r="U204" t="n">
        <v>0.0</v>
      </c>
      <c r="V204" t="n">
        <v>0.0</v>
      </c>
      <c r="W204" t="inlineStr">
        <is>
          <t/>
        </is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8.0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1.5</v>
      </c>
      <c r="AL204" t="n">
        <v>0.0</v>
      </c>
    </row>
    <row r="205">
      <c r="A205" t="inlineStr">
        <is>
          <t>有人爱吃生蚝吗？</t>
        </is>
      </c>
      <c r="B205" t="inlineStr">
        <is>
          <t>691e96e5000000001b0336b0</t>
        </is>
      </c>
      <c r="C205" s="204" t="n">
        <f>HYPERLINK("https://www.xiaohongshu.com/explore/691e96e5000000001b0336b0?xsec_token=TBP5gqTrG7DCZJhae0kWWz8E3gK_-i3XaMhK6pJ0ZsMR0=&amp;xsec_source=pc_trdark","https://www.xiaohongshu.com/explore/691e96e5000000001b0336b0?xsec_token=TBP5gqTrG7DCZJhae0kWWz8E3gK_-i3XaMhK6pJ0ZsMR0=&amp;xsec_source=pc_trdark")</f>
        <v>0.0</v>
      </c>
      <c r="D205" t="inlineStr">
        <is>
          <t>婉婉上班吃什么</t>
        </is>
      </c>
      <c r="E205" t="inlineStr">
        <is>
          <t>11434449706</t>
        </is>
      </c>
      <c r="F205" t="inlineStr">
        <is>
          <t>2025-11-20 12:19:49</t>
        </is>
      </c>
      <c r="G205" t="inlineStr">
        <is>
          <t>视频</t>
        </is>
      </c>
      <c r="H205" t="inlineStr">
        <is>
          <t>生蚝乳山生蚝海蛎子顺丰包邮</t>
        </is>
      </c>
      <c r="I205" t="inlineStr">
        <is>
          <t>690c70971b787900010866cc</t>
        </is>
      </c>
      <c r="J205" t="n">
        <v>26.0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inlineStr">
        <is>
          <t/>
        </is>
      </c>
      <c r="R205" t="inlineStr">
        <is>
          <t/>
        </is>
      </c>
      <c r="S205" t="n">
        <v>0.0</v>
      </c>
      <c r="T205" t="n">
        <v>0.0</v>
      </c>
      <c r="U205" t="n">
        <v>0.0</v>
      </c>
      <c r="V205" t="n">
        <v>0.0</v>
      </c>
      <c r="W205" t="inlineStr">
        <is>
          <t/>
        </is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8.0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6.25</v>
      </c>
      <c r="AL205" t="n">
        <v>0.1111111111111111</v>
      </c>
    </row>
    <row r="206">
      <c r="A206" t="inlineStr">
        <is>
          <t>我q。。。谁还没吃过这个乳山生蚝啊</t>
        </is>
      </c>
      <c r="B206" t="inlineStr">
        <is>
          <t>69145aa20000000004014a85</t>
        </is>
      </c>
      <c r="C206" s="205" t="n">
        <f>HYPERLINK("https://www.xiaohongshu.com/explore/69145aa20000000004014a85?xsec_token=TBaXvlcWwd_4ttBIqZOUWAkz5HweXigRbEy4Q2wvSxZeE=&amp;xsec_source=pc_trdark","https://www.xiaohongshu.com/explore/69145aa20000000004014a85?xsec_token=TBaXvlcWwd_4ttBIqZOUWAkz5HweXigRbEy4Q2wvSxZeE=&amp;xsec_source=pc_trdark")</f>
        <v>0.0</v>
      </c>
      <c r="D206" t="inlineStr">
        <is>
          <t>婉婉上班吃什么</t>
        </is>
      </c>
      <c r="E206" t="inlineStr">
        <is>
          <t>11434449706</t>
        </is>
      </c>
      <c r="F206" t="inlineStr">
        <is>
          <t>2025-11-12 18:00:02</t>
        </is>
      </c>
      <c r="G206" t="inlineStr">
        <is>
          <t>视频</t>
        </is>
      </c>
      <c r="H206" t="inlineStr">
        <is>
          <t>生蚝乳山生蚝海蛎子顺丰包邮</t>
        </is>
      </c>
      <c r="I206" t="inlineStr">
        <is>
          <t>690c70971b787900010866cc</t>
        </is>
      </c>
      <c r="J206" t="n">
        <v>22.0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inlineStr">
        <is>
          <t/>
        </is>
      </c>
      <c r="R206" t="inlineStr">
        <is>
          <t/>
        </is>
      </c>
      <c r="S206" t="n">
        <v>0.0</v>
      </c>
      <c r="T206" t="n">
        <v>0.0</v>
      </c>
      <c r="U206" t="n">
        <v>0.0</v>
      </c>
      <c r="V206" t="n">
        <v>0.0</v>
      </c>
      <c r="W206" t="inlineStr">
        <is>
          <t/>
        </is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8.0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16.25</v>
      </c>
      <c r="AL206" t="n">
        <v>0.3076923076923077</v>
      </c>
    </row>
    <row r="207">
      <c r="A207" t="inlineStr">
        <is>
          <t>早八人抄作业！十分钟搞定的早餐🥣</t>
        </is>
      </c>
      <c r="B207" t="inlineStr">
        <is>
          <t>69798e47000000001a02404b</t>
        </is>
      </c>
      <c r="C207" s="206" t="n">
        <f>HYPERLINK("https://www.xiaohongshu.com/explore/69798e47000000001a02404b?xsec_token=TBDUixuchs-ppRvZ3sgkNDRQgtSfn7IWS1xiBCT8lbZ5w=&amp;xsec_source=pc_trdark","https://www.xiaohongshu.com/explore/69798e47000000001a02404b?xsec_token=TBDUixuchs-ppRvZ3sgkNDRQgtSfn7IWS1xiBCT8lbZ5w=&amp;xsec_source=pc_trdark")</f>
        <v>0.0</v>
      </c>
      <c r="D207" t="inlineStr">
        <is>
          <t>鲜水湾</t>
        </is>
      </c>
      <c r="E207" t="inlineStr">
        <is>
          <t>49316638994</t>
        </is>
      </c>
      <c r="F207" t="inlineStr">
        <is>
          <t>2026-01-28 12:19:19</t>
        </is>
      </c>
      <c r="G207" t="inlineStr">
        <is>
          <t>图文</t>
        </is>
      </c>
      <c r="H207" t="inlineStr">
        <is>
          <t>大虾基围虾王牌大虾厄瓜多尔白虾盐冻虾仁海洋大虾送礼顺丰包邮</t>
        </is>
      </c>
      <c r="I207" t="inlineStr">
        <is>
          <t>690aeb7be379430001e686ac</t>
        </is>
      </c>
      <c r="J207" t="inlineStr">
        <is>
          <t/>
        </is>
      </c>
      <c r="K207" t="n">
        <v>0.0</v>
      </c>
      <c r="L207" t="n">
        <v>0.0</v>
      </c>
      <c r="M207" t="n">
        <v>1.0</v>
      </c>
      <c r="N207" t="inlineStr">
        <is>
          <t>0.14285714285714285</t>
        </is>
      </c>
      <c r="O207" t="n">
        <v>1.0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inlineStr">
        <is>
          <t/>
        </is>
      </c>
      <c r="X207" t="n">
        <v>0.0</v>
      </c>
      <c r="Y207" t="n">
        <v>1.0</v>
      </c>
      <c r="Z207" t="n">
        <v>0.0</v>
      </c>
      <c r="AA207" t="n">
        <v>0.0</v>
      </c>
      <c r="AB207" t="n">
        <v>0.0</v>
      </c>
      <c r="AC207" t="n">
        <v>0.0</v>
      </c>
      <c r="AD207" t="n">
        <v>7.0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9.142857142857142</v>
      </c>
      <c r="AL207" t="inlineStr">
        <is>
          <t/>
        </is>
      </c>
    </row>
    <row r="208">
      <c r="A208" t="inlineStr">
        <is>
          <t>巨惊艳❗️乳山真有好生蚝</t>
        </is>
      </c>
      <c r="B208" t="inlineStr">
        <is>
          <t>691c9929000000001f00e731</t>
        </is>
      </c>
      <c r="C208" s="207" t="n">
        <f>HYPERLINK("https://www.xiaohongshu.com/explore/691c9929000000001f00e731?xsec_token=TBIS8v-01Optb7rxCGgHk_CYuHmRqFoAej7AxOXXyebHw=&amp;xsec_source=pc_trdark","https://www.xiaohongshu.com/explore/691c9929000000001f00e731?xsec_token=TBIS8v-01Optb7rxCGgHk_CYuHmRqFoAej7AxOXXyebHw=&amp;xsec_source=pc_trdark")</f>
        <v>0.0</v>
      </c>
      <c r="D208" t="inlineStr">
        <is>
          <t>婉婉上班吃什么</t>
        </is>
      </c>
      <c r="E208" t="inlineStr">
        <is>
          <t>11434449706</t>
        </is>
      </c>
      <c r="F208" t="inlineStr">
        <is>
          <t>2025-11-19 00:04:57</t>
        </is>
      </c>
      <c r="G208" t="inlineStr">
        <is>
          <t>图文</t>
        </is>
      </c>
      <c r="H208" t="inlineStr">
        <is>
          <t>生蚝乳山生蚝海蛎子顺丰包邮</t>
        </is>
      </c>
      <c r="I208" t="inlineStr">
        <is>
          <t>690c70971b787900010866cc</t>
        </is>
      </c>
      <c r="J208" t="inlineStr">
        <is>
          <t/>
        </is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inlineStr">
        <is>
          <t/>
        </is>
      </c>
      <c r="R208" t="inlineStr">
        <is>
          <t/>
        </is>
      </c>
      <c r="S208" t="n">
        <v>0.0</v>
      </c>
      <c r="T208" t="n">
        <v>0.0</v>
      </c>
      <c r="U208" t="n">
        <v>0.0</v>
      </c>
      <c r="V208" t="n">
        <v>0.0</v>
      </c>
      <c r="W208" t="inlineStr">
        <is>
          <t/>
        </is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7.0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4.714285714285714</v>
      </c>
      <c r="AL208" t="inlineStr">
        <is>
          <t/>
        </is>
      </c>
    </row>
    <row r="209">
      <c r="A209" t="inlineStr">
        <is>
          <t>破案了！！！怪不得身材瘦的女生都喜欢吃虾</t>
        </is>
      </c>
      <c r="B209" t="inlineStr">
        <is>
          <t>6913fbb10000000005010120</t>
        </is>
      </c>
      <c r="C209" s="208" t="n">
        <f>HYPERLINK("https://www.xiaohongshu.com/explore/6913fbb10000000005010120?xsec_token=TBuRf-kx9cRMi3U9rbAm1Pe-2l94JterWmSi6Vd5TOvKs=&amp;xsec_source=pc_trdark","https://www.xiaohongshu.com/explore/6913fbb10000000005010120?xsec_token=TBuRf-kx9cRMi3U9rbAm1Pe-2l94JterWmSi6Vd5TOvKs=&amp;xsec_source=pc_trdark")</f>
        <v>0.0</v>
      </c>
      <c r="D209" t="inlineStr">
        <is>
          <t>鲜水湾</t>
        </is>
      </c>
      <c r="E209" t="inlineStr">
        <is>
          <t>49316638994</t>
        </is>
      </c>
      <c r="F209" t="inlineStr">
        <is>
          <t>2025-11-12 11:14:57</t>
        </is>
      </c>
      <c r="G209" t="inlineStr">
        <is>
          <t>图文</t>
        </is>
      </c>
      <c r="H209" t="inlineStr">
        <is>
          <t>大虾基围虾王牌大虾厄瓜多尔白虾盐冻虾仁海洋大虾送礼顺丰包邮</t>
        </is>
      </c>
      <c r="I209" t="inlineStr">
        <is>
          <t>690aeb7be379430001e686ac</t>
        </is>
      </c>
      <c r="J209" t="inlineStr">
        <is>
          <t/>
        </is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inlineStr">
        <is>
          <t/>
        </is>
      </c>
      <c r="R209" t="inlineStr">
        <is>
          <t/>
        </is>
      </c>
      <c r="S209" t="n">
        <v>0.0</v>
      </c>
      <c r="T209" t="n">
        <v>0.0</v>
      </c>
      <c r="U209" t="n">
        <v>0.0</v>
      </c>
      <c r="V209" t="n">
        <v>0.0</v>
      </c>
      <c r="W209" t="inlineStr">
        <is>
          <t/>
        </is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7.0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3.857142857142857</v>
      </c>
      <c r="AL209" t="inlineStr">
        <is>
          <t/>
        </is>
      </c>
    </row>
    <row r="210">
      <c r="A210" t="inlineStr">
        <is>
          <t>16+8吃了两周水煮虾后……</t>
        </is>
      </c>
      <c r="B210" t="inlineStr">
        <is>
          <t>6979c73c000000001a0353a3</t>
        </is>
      </c>
      <c r="C210" s="209" t="n">
        <f>HYPERLINK("https://www.xiaohongshu.com/explore/6979c73c000000001a0353a3?xsec_token=TBDUixuchs-ppRvZ3sgkNDRag-dx37KfzlBoxZ7TWicHs=&amp;xsec_source=pc_trdark","https://www.xiaohongshu.com/explore/6979c73c000000001a0353a3?xsec_token=TBDUixuchs-ppRvZ3sgkNDRag-dx37KfzlBoxZ7TWicHs=&amp;xsec_source=pc_trdark")</f>
        <v>0.0</v>
      </c>
      <c r="D210" t="inlineStr">
        <is>
          <t>鲜水湾</t>
        </is>
      </c>
      <c r="E210" t="inlineStr">
        <is>
          <t>49316638994</t>
        </is>
      </c>
      <c r="F210" t="inlineStr">
        <is>
          <t>2026-01-28 16:22:20</t>
        </is>
      </c>
      <c r="G210" t="inlineStr">
        <is>
          <t>图文</t>
        </is>
      </c>
      <c r="H210" t="inlineStr">
        <is>
          <t>大虾基围虾王牌大虾厄瓜多尔白虾盐冻虾仁海洋大虾送礼顺丰包邮</t>
        </is>
      </c>
      <c r="I210" t="inlineStr">
        <is>
          <t>690aeb7be379430001e686ac</t>
        </is>
      </c>
      <c r="J210" t="inlineStr">
        <is>
          <t/>
        </is>
      </c>
      <c r="K210" t="n">
        <v>0.0</v>
      </c>
      <c r="L210" t="n">
        <v>0.0</v>
      </c>
      <c r="M210" t="n">
        <v>2.0</v>
      </c>
      <c r="N210" t="n">
        <v>0.3333333333333333</v>
      </c>
      <c r="O210" t="n">
        <v>2.0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inlineStr">
        <is>
          <t/>
        </is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6.0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18.333333333333332</v>
      </c>
      <c r="AL210" t="inlineStr">
        <is>
          <t/>
        </is>
      </c>
    </row>
    <row r="211">
      <c r="A211" t="inlineStr">
        <is>
          <t>我妈：你就卖49.9五斤，保准能卖出去</t>
        </is>
      </c>
      <c r="B211" t="inlineStr">
        <is>
          <t>69524c4b000000001e030320</t>
        </is>
      </c>
      <c r="C211" s="210" t="n">
        <f>HYPERLINK("https://www.xiaohongshu.com/explore/69524c4b000000001e030320?xsec_token=TBD_qpfRw_GekiL1YWy-5sXsIqVD42SZY9a4Pgp-lfamM=&amp;xsec_source=pc_trdark","https://www.xiaohongshu.com/explore/69524c4b000000001e030320?xsec_token=TBD_qpfRw_GekiL1YWy-5sXsIqVD42SZY9a4Pgp-lfamM=&amp;xsec_source=pc_trdark")</f>
        <v>0.0</v>
      </c>
      <c r="D211" t="inlineStr">
        <is>
          <t>鲜水湾</t>
        </is>
      </c>
      <c r="E211" t="inlineStr">
        <is>
          <t>49316638994</t>
        </is>
      </c>
      <c r="F211" t="inlineStr">
        <is>
          <t>2025-12-29 17:39:23</t>
        </is>
      </c>
      <c r="G211" t="inlineStr">
        <is>
          <t>图文</t>
        </is>
      </c>
      <c r="H211" t="inlineStr">
        <is>
          <t>生蚝乳山生蚝海蛎子顺丰包邮</t>
        </is>
      </c>
      <c r="I211" t="inlineStr">
        <is>
          <t>690c70971b787900010866cc</t>
        </is>
      </c>
      <c r="J211" t="inlineStr">
        <is>
          <t/>
        </is>
      </c>
      <c r="K211" t="n">
        <v>0.0</v>
      </c>
      <c r="L211" t="n">
        <v>0.0</v>
      </c>
      <c r="M211" t="n">
        <v>2.0</v>
      </c>
      <c r="N211" t="n">
        <v>0.3333333333333333</v>
      </c>
      <c r="O211" t="n">
        <v>1.0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inlineStr">
        <is>
          <t/>
        </is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6.0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5.166666666666667</v>
      </c>
      <c r="AL211" t="inlineStr">
        <is>
          <t/>
        </is>
      </c>
    </row>
    <row r="212">
      <c r="A212" t="inlineStr">
        <is>
          <t>在鲜水湾囤了整条三文鱼</t>
        </is>
      </c>
      <c r="B212" t="inlineStr">
        <is>
          <t>6931794a000000001e0341c1</t>
        </is>
      </c>
      <c r="C212" s="211" t="n">
        <f>HYPERLINK("https://www.xiaohongshu.com/explore/6931794a000000001e0341c1?xsec_token=TBE4JBHwTJxKVcqB99kbkXON1IMczlroWgeidikGIS-VU=&amp;xsec_source=pc_trdark","https://www.xiaohongshu.com/explore/6931794a000000001e0341c1?xsec_token=TBE4JBHwTJxKVcqB99kbkXON1IMczlroWgeidikGIS-VU=&amp;xsec_source=pc_trdark")</f>
        <v>0.0</v>
      </c>
      <c r="D212" t="inlineStr">
        <is>
          <t>鲜水湾</t>
        </is>
      </c>
      <c r="E212" t="inlineStr">
        <is>
          <t>49316638994</t>
        </is>
      </c>
      <c r="F212" t="inlineStr">
        <is>
          <t>2025-12-04 20:06:34</t>
        </is>
      </c>
      <c r="G212" t="inlineStr">
        <is>
          <t>图文</t>
        </is>
      </c>
      <c r="H212" t="inlineStr">
        <is>
          <t>智利三文鱼切块·整条三文鱼·深海鱼一人食健康饮食</t>
        </is>
      </c>
      <c r="I212" t="inlineStr">
        <is>
          <t>691ac562a524ee0001b51d7b</t>
        </is>
      </c>
      <c r="J212" t="inlineStr">
        <is>
          <t/>
        </is>
      </c>
      <c r="K212" t="n">
        <v>0.0</v>
      </c>
      <c r="L212" t="n">
        <v>0.0</v>
      </c>
      <c r="M212" t="n">
        <v>3.0</v>
      </c>
      <c r="N212" t="n">
        <v>0.5</v>
      </c>
      <c r="O212" t="n">
        <v>3.0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inlineStr">
        <is>
          <t/>
        </is>
      </c>
      <c r="X212" t="n">
        <v>0.0</v>
      </c>
      <c r="Y212" t="n">
        <v>1.0</v>
      </c>
      <c r="Z212" t="n">
        <v>0.0</v>
      </c>
      <c r="AA212" t="n">
        <v>0.0</v>
      </c>
      <c r="AB212" t="n">
        <v>0.0</v>
      </c>
      <c r="AC212" t="n">
        <v>0.0</v>
      </c>
      <c r="AD212" t="n">
        <v>6.0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17.166666666666668</v>
      </c>
      <c r="AL212" t="inlineStr">
        <is>
          <t/>
        </is>
      </c>
    </row>
    <row r="213">
      <c r="A213" t="inlineStr">
        <is>
          <t>别再砍价啦！20+💰1斤的大虾真没赚头</t>
        </is>
      </c>
      <c r="B213" t="inlineStr">
        <is>
          <t>690ea0dc0000000004002f4f</t>
        </is>
      </c>
      <c r="C213" s="212" t="n">
        <f>HYPERLINK("https://www.xiaohongshu.com/explore/690ea0dc0000000004002f4f?xsec_token=TBJajQDaP2lymAuuRX7yQPUewVaoUQEzemwtjRoH_ABNg=&amp;xsec_source=pc_trdark","https://www.xiaohongshu.com/explore/690ea0dc0000000004002f4f?xsec_token=TBJajQDaP2lymAuuRX7yQPUewVaoUQEzemwtjRoH_ABNg=&amp;xsec_source=pc_trdark")</f>
        <v>0.0</v>
      </c>
      <c r="D213" t="inlineStr">
        <is>
          <t>鲜水湾</t>
        </is>
      </c>
      <c r="E213" t="inlineStr">
        <is>
          <t>49316638994</t>
        </is>
      </c>
      <c r="F213" t="inlineStr">
        <is>
          <t>2025-11-08 09:46:04</t>
        </is>
      </c>
      <c r="G213" t="inlineStr">
        <is>
          <t>图文</t>
        </is>
      </c>
      <c r="H213" t="inlineStr">
        <is>
          <t>大虾基围虾王牌大虾厄瓜多尔白虾盐冻虾仁海洋大虾送礼顺丰包邮</t>
        </is>
      </c>
      <c r="I213" t="inlineStr">
        <is>
          <t>690aeb7be379430001e686ac</t>
        </is>
      </c>
      <c r="J213" t="inlineStr">
        <is>
          <t/>
        </is>
      </c>
      <c r="K213" t="n">
        <v>0.0</v>
      </c>
      <c r="L213" t="n">
        <v>0.0</v>
      </c>
      <c r="M213" t="n">
        <v>1.0</v>
      </c>
      <c r="N213" t="inlineStr">
        <is>
          <t>0.16666666666666666</t>
        </is>
      </c>
      <c r="O213" t="n">
        <v>1.0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inlineStr">
        <is>
          <t/>
        </is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6.0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4.833333333333333</v>
      </c>
      <c r="AL213" t="inlineStr">
        <is>
          <t/>
        </is>
      </c>
    </row>
    <row r="214">
      <c r="A214" t="inlineStr">
        <is>
          <t>这一口含金量谁懂🥹🥹🥹</t>
        </is>
      </c>
      <c r="B214" t="inlineStr">
        <is>
          <t>690d96940000000004011cda</t>
        </is>
      </c>
      <c r="C214" s="213" t="n">
        <f>HYPERLINK("https://www.xiaohongshu.com/explore/690d96940000000004011cda?xsec_token=TBD_zEgNllAsWvESEGX2jOczHcUOImRfQZszSUQd6aLQc=&amp;xsec_source=pc_trdark","https://www.xiaohongshu.com/explore/690d96940000000004011cda?xsec_token=TBD_zEgNllAsWvESEGX2jOczHcUOImRfQZszSUQd6aLQc=&amp;xsec_source=pc_trdark")</f>
        <v>0.0</v>
      </c>
      <c r="D214" t="inlineStr">
        <is>
          <t>婉婉上班吃什么</t>
        </is>
      </c>
      <c r="E214" t="inlineStr">
        <is>
          <t>11434449706</t>
        </is>
      </c>
      <c r="F214" t="inlineStr">
        <is>
          <t>2025-11-07 14:49:56</t>
        </is>
      </c>
      <c r="G214" t="inlineStr">
        <is>
          <t>视频</t>
        </is>
      </c>
      <c r="H214" t="inlineStr">
        <is>
          <t>生蚝乳山生蚝海蛎子顺丰包邮</t>
        </is>
      </c>
      <c r="I214" t="inlineStr">
        <is>
          <t>690c70971b787900010866cc</t>
        </is>
      </c>
      <c r="J214" t="n">
        <v>36.0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inlineStr">
        <is>
          <t/>
        </is>
      </c>
      <c r="R214" t="inlineStr">
        <is>
          <t/>
        </is>
      </c>
      <c r="S214" t="n">
        <v>0.0</v>
      </c>
      <c r="T214" t="n">
        <v>0.0</v>
      </c>
      <c r="U214" t="n">
        <v>0.0</v>
      </c>
      <c r="V214" t="n">
        <v>0.0</v>
      </c>
      <c r="W214" t="inlineStr">
        <is>
          <t/>
        </is>
      </c>
      <c r="X214" t="n">
        <v>0.0</v>
      </c>
      <c r="Y214" t="n">
        <v>0.0</v>
      </c>
      <c r="Z214" t="n">
        <v>2.0</v>
      </c>
      <c r="AA214" t="n">
        <v>0.0</v>
      </c>
      <c r="AB214" t="n">
        <v>0.0</v>
      </c>
      <c r="AC214" t="n">
        <v>0.0</v>
      </c>
      <c r="AD214" t="n">
        <v>6.0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31.5</v>
      </c>
      <c r="AL214" t="n">
        <v>0.5</v>
      </c>
    </row>
    <row r="215">
      <c r="A215" t="inlineStr">
        <is>
          <t>讲真…手剥虾仁就是我控体期的大帮手！！</t>
        </is>
      </c>
      <c r="B215" t="inlineStr">
        <is>
          <t>69a29adb000000000e03ed32</t>
        </is>
      </c>
      <c r="C215" s="214" t="n">
        <f>HYPERLINK("https://www.xiaohongshu.com/explore/69a29adb000000000e03ed32?xsec_token=TBUws-qSGfQm7WfIK5gxFwZ58oPwybM5jy3eJgiFWHDuw=&amp;xsec_source=pc_trdark","https://www.xiaohongshu.com/explore/69a29adb000000000e03ed32?xsec_token=TBUws-qSGfQm7WfIK5gxFwZ58oPwybM5jy3eJgiFWHDuw=&amp;xsec_source=pc_trdark")</f>
        <v>0.0</v>
      </c>
      <c r="D215" t="inlineStr">
        <is>
          <t>鲜水湾</t>
        </is>
      </c>
      <c r="E215" t="inlineStr">
        <is>
          <t>49316638994</t>
        </is>
      </c>
      <c r="F215" t="inlineStr">
        <is>
          <t>2026-02-28 15:35:55</t>
        </is>
      </c>
      <c r="G215" t="inlineStr">
        <is>
          <t>图文</t>
        </is>
      </c>
      <c r="H215" t="inlineStr">
        <is>
          <t>手剥虾仁 无冰衣无添加 低脂餐一人食 上班带饭 顺丰包邮 5盒装</t>
        </is>
      </c>
      <c r="I215" t="inlineStr">
        <is>
          <t>694baba01d450d00013662f0</t>
        </is>
      </c>
      <c r="J215" t="inlineStr">
        <is>
          <t/>
        </is>
      </c>
      <c r="K215" t="n">
        <v>0.0</v>
      </c>
      <c r="L215" t="n">
        <v>0.0</v>
      </c>
      <c r="M215" t="n">
        <v>1.0</v>
      </c>
      <c r="N215" t="n">
        <v>0.2</v>
      </c>
      <c r="O215" t="n">
        <v>1.0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inlineStr">
        <is>
          <t/>
        </is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5.0</v>
      </c>
      <c r="AE215" t="n">
        <v>0.0</v>
      </c>
      <c r="AF215" t="n">
        <v>0.0</v>
      </c>
      <c r="AG215" t="n">
        <v>0.0</v>
      </c>
      <c r="AH215" t="n">
        <v>2.0</v>
      </c>
      <c r="AI215" t="n">
        <v>0.0</v>
      </c>
      <c r="AJ215" t="n">
        <v>0.0</v>
      </c>
      <c r="AK215" t="n">
        <v>4.6</v>
      </c>
      <c r="AL215" t="inlineStr">
        <is>
          <t/>
        </is>
      </c>
    </row>
    <row r="216">
      <c r="A216" t="inlineStr">
        <is>
          <t>过年就备这个大虾招待亲朋好友吧！</t>
        </is>
      </c>
      <c r="B216" t="inlineStr">
        <is>
          <t>697c77e3000000001a01d1b3</t>
        </is>
      </c>
      <c r="C216" s="215" t="n">
        <f>HYPERLINK("https://www.xiaohongshu.com/explore/697c77e3000000001a01d1b3?xsec_token=TBV-62_c6Sms9X18ENcOcpiCHEy_9hN2vO1o85ywyN8bQ=&amp;xsec_source=pc_trdark","https://www.xiaohongshu.com/explore/697c77e3000000001a01d1b3?xsec_token=TBV-62_c6Sms9X18ENcOcpiCHEy_9hN2vO1o85ywyN8bQ=&amp;xsec_source=pc_trdark")</f>
        <v>0.0</v>
      </c>
      <c r="D216" t="inlineStr">
        <is>
          <t>鲜水湾</t>
        </is>
      </c>
      <c r="E216" t="inlineStr">
        <is>
          <t>49316638994</t>
        </is>
      </c>
      <c r="F216" t="inlineStr">
        <is>
          <t>2026-01-30 17:20:35</t>
        </is>
      </c>
      <c r="G216" t="inlineStr">
        <is>
          <t>图文</t>
        </is>
      </c>
      <c r="H216" t="inlineStr">
        <is>
          <t>大虾基围虾王牌大虾厄瓜多尔白虾盐冻虾仁海洋大虾送礼顺丰包邮</t>
        </is>
      </c>
      <c r="I216" t="inlineStr">
        <is>
          <t>690aeb7be379430001e686ac</t>
        </is>
      </c>
      <c r="J216" t="inlineStr">
        <is>
          <t/>
        </is>
      </c>
      <c r="K216" t="n">
        <v>0.0</v>
      </c>
      <c r="L216" t="n">
        <v>0.0</v>
      </c>
      <c r="M216" t="n">
        <v>2.0</v>
      </c>
      <c r="N216" t="n">
        <v>0.4</v>
      </c>
      <c r="O216" t="n">
        <v>2.0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inlineStr">
        <is>
          <t/>
        </is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5.0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8.0</v>
      </c>
      <c r="AL216" t="inlineStr">
        <is>
          <t/>
        </is>
      </c>
    </row>
    <row r="217">
      <c r="A217" t="inlineStr">
        <is>
          <t>山东连续大雪❄️，一下子全肥了</t>
        </is>
      </c>
      <c r="B217" t="inlineStr">
        <is>
          <t>6950de41000000001f00f0a5</t>
        </is>
      </c>
      <c r="C217" s="216" t="n">
        <f>HYPERLINK("https://www.xiaohongshu.com/explore/6950de41000000001f00f0a5?xsec_token=TBZlsVk_u522I8N-JhGtRMDoiLYtzCpe-GfAeAmuwvi8g=&amp;xsec_source=pc_trdark","https://www.xiaohongshu.com/explore/6950de41000000001f00f0a5?xsec_token=TBZlsVk_u522I8N-JhGtRMDoiLYtzCpe-GfAeAmuwvi8g=&amp;xsec_source=pc_trdark")</f>
        <v>0.0</v>
      </c>
      <c r="D217" t="inlineStr">
        <is>
          <t>鲜水湾</t>
        </is>
      </c>
      <c r="E217" t="inlineStr">
        <is>
          <t>49316638994</t>
        </is>
      </c>
      <c r="F217" t="inlineStr">
        <is>
          <t>2025-12-28 15:37:37</t>
        </is>
      </c>
      <c r="G217" t="inlineStr">
        <is>
          <t>图文</t>
        </is>
      </c>
      <c r="H217" t="inlineStr">
        <is>
          <t>生蚝乳山生蚝海蛎子顺丰包邮</t>
        </is>
      </c>
      <c r="I217" t="inlineStr">
        <is>
          <t>690c70971b787900010866cc</t>
        </is>
      </c>
      <c r="J217" t="inlineStr">
        <is>
          <t/>
        </is>
      </c>
      <c r="K217" t="n">
        <v>0.0</v>
      </c>
      <c r="L217" t="n">
        <v>0.0</v>
      </c>
      <c r="M217" t="n">
        <v>1.0</v>
      </c>
      <c r="N217" t="n">
        <v>0.2</v>
      </c>
      <c r="O217" t="n">
        <v>1.0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inlineStr">
        <is>
          <t/>
        </is>
      </c>
      <c r="X217" t="n">
        <v>0.0</v>
      </c>
      <c r="Y217" t="n">
        <v>2.0</v>
      </c>
      <c r="Z217" t="n">
        <v>0.0</v>
      </c>
      <c r="AA217" t="n">
        <v>0.0</v>
      </c>
      <c r="AB217" t="n">
        <v>0.0</v>
      </c>
      <c r="AC217" t="n">
        <v>0.0</v>
      </c>
      <c r="AD217" t="n">
        <v>5.0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25.0</v>
      </c>
      <c r="AL217" t="inlineStr">
        <is>
          <t/>
        </is>
      </c>
    </row>
    <row r="218">
      <c r="A218" t="inlineStr">
        <is>
          <t>讲真…年轻人低估了100💰的购买力</t>
        </is>
      </c>
      <c r="B218" t="inlineStr">
        <is>
          <t>69358c43000000001e026616</t>
        </is>
      </c>
      <c r="C218" s="217" t="n">
        <f>HYPERLINK("https://www.xiaohongshu.com/explore/69358c43000000001e026616?xsec_token=TBVD2oNyykPWo5AeaDpfHB-g66dbnYDAWmgdsgoTyZ2cE=&amp;xsec_source=pc_trdark","https://www.xiaohongshu.com/explore/69358c43000000001e026616?xsec_token=TBVD2oNyykPWo5AeaDpfHB-g66dbnYDAWmgdsgoTyZ2cE=&amp;xsec_source=pc_trdark")</f>
        <v>0.0</v>
      </c>
      <c r="D218" t="inlineStr">
        <is>
          <t>鲜水湾</t>
        </is>
      </c>
      <c r="E218" t="inlineStr">
        <is>
          <t>49316638994</t>
        </is>
      </c>
      <c r="F218" t="inlineStr">
        <is>
          <t>2025-12-07 22:16:35</t>
        </is>
      </c>
      <c r="G218" t="inlineStr">
        <is>
          <t>图文</t>
        </is>
      </c>
      <c r="H218" t="inlineStr">
        <is>
          <t>智利三文鱼切块·整条三文鱼·深海鱼一人食健康饮食</t>
        </is>
      </c>
      <c r="I218" t="inlineStr">
        <is>
          <t>691ac562a524ee0001b51d7b</t>
        </is>
      </c>
      <c r="J218" t="inlineStr">
        <is>
          <t/>
        </is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inlineStr">
        <is>
          <t/>
        </is>
      </c>
      <c r="R218" t="inlineStr">
        <is>
          <t/>
        </is>
      </c>
      <c r="S218" t="n">
        <v>0.0</v>
      </c>
      <c r="T218" t="n">
        <v>0.0</v>
      </c>
      <c r="U218" t="n">
        <v>0.0</v>
      </c>
      <c r="V218" t="n">
        <v>0.0</v>
      </c>
      <c r="W218" t="inlineStr">
        <is>
          <t/>
        </is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5.0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6.8</v>
      </c>
      <c r="AL218" t="inlineStr">
        <is>
          <t/>
        </is>
      </c>
    </row>
    <row r="219">
      <c r="A219" t="inlineStr">
        <is>
          <t>双12抢购，整条三文鱼只要300多✅</t>
        </is>
      </c>
      <c r="B219" t="inlineStr">
        <is>
          <t>6935507a000000001f004707</t>
        </is>
      </c>
      <c r="C219" s="218" t="n">
        <f>HYPERLINK("https://www.xiaohongshu.com/explore/6935507a000000001f004707?xsec_token=TBVD2oNyykPWo5AeaDpfHB-tVcIaj27hx_n7cUIRuKx3c=&amp;xsec_source=pc_trdark","https://www.xiaohongshu.com/explore/6935507a000000001f004707?xsec_token=TBVD2oNyykPWo5AeaDpfHB-tVcIaj27hx_n7cUIRuKx3c=&amp;xsec_source=pc_trdark")</f>
        <v>0.0</v>
      </c>
      <c r="D219" t="inlineStr">
        <is>
          <t>鲜水湾</t>
        </is>
      </c>
      <c r="E219" t="inlineStr">
        <is>
          <t>49316638994</t>
        </is>
      </c>
      <c r="F219" t="inlineStr">
        <is>
          <t>2025-12-07 18:01:30</t>
        </is>
      </c>
      <c r="G219" t="inlineStr">
        <is>
          <t>图文</t>
        </is>
      </c>
      <c r="H219" t="inlineStr">
        <is>
          <t>智利三文鱼切块·整条三文鱼·深海鱼一人食健康饮食</t>
        </is>
      </c>
      <c r="I219" t="inlineStr">
        <is>
          <t>691ac562a524ee0001b51d7b</t>
        </is>
      </c>
      <c r="J219" t="inlineStr">
        <is>
          <t/>
        </is>
      </c>
      <c r="K219" t="n">
        <v>0.0</v>
      </c>
      <c r="L219" t="n">
        <v>0.0</v>
      </c>
      <c r="M219" t="n">
        <v>2.0</v>
      </c>
      <c r="N219" t="n">
        <v>0.4</v>
      </c>
      <c r="O219" t="n">
        <v>2.0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inlineStr">
        <is>
          <t/>
        </is>
      </c>
      <c r="X219" t="n">
        <v>0.0</v>
      </c>
      <c r="Y219" t="n">
        <v>1.0</v>
      </c>
      <c r="Z219" t="n">
        <v>0.0</v>
      </c>
      <c r="AA219" t="n">
        <v>0.0</v>
      </c>
      <c r="AB219" t="n">
        <v>0.0</v>
      </c>
      <c r="AC219" t="n">
        <v>0.0</v>
      </c>
      <c r="AD219" t="n">
        <v>5.0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5.8</v>
      </c>
      <c r="AL219" t="inlineStr">
        <is>
          <t/>
        </is>
      </c>
    </row>
    <row r="220">
      <c r="A220" t="inlineStr">
        <is>
          <t>我妈说：你就41r一直卖，总会出单的</t>
        </is>
      </c>
      <c r="B220" t="inlineStr">
        <is>
          <t>6932a29d000000001e0213f6</t>
        </is>
      </c>
      <c r="C220" s="219" t="n">
        <f>HYPERLINK("https://www.xiaohongshu.com/explore/6932a29d000000001e0213f6?xsec_token=TBpgGkEYDo_gVOMrYT9wIn9z6vfXDhvw6nIa3HACWFP9s=&amp;xsec_source=pc_trdark","https://www.xiaohongshu.com/explore/6932a29d000000001e0213f6?xsec_token=TBpgGkEYDo_gVOMrYT9wIn9z6vfXDhvw6nIa3HACWFP9s=&amp;xsec_source=pc_trdark")</f>
        <v>0.0</v>
      </c>
      <c r="D220" t="inlineStr">
        <is>
          <t>鲜水湾</t>
        </is>
      </c>
      <c r="E220" t="inlineStr">
        <is>
          <t>49316638994</t>
        </is>
      </c>
      <c r="F220" t="inlineStr">
        <is>
          <t>2025-12-05 17:15:09</t>
        </is>
      </c>
      <c r="G220" t="inlineStr">
        <is>
          <t>图文</t>
        </is>
      </c>
      <c r="H220" t="inlineStr">
        <is>
          <t>智利三文鱼切块·整条三文鱼·深海鱼一人食健康饮食</t>
        </is>
      </c>
      <c r="I220" t="inlineStr">
        <is>
          <t>691ac562a524ee0001b51d7b</t>
        </is>
      </c>
      <c r="J220" t="inlineStr">
        <is>
          <t/>
        </is>
      </c>
      <c r="K220" t="n">
        <v>0.0</v>
      </c>
      <c r="L220" t="n">
        <v>0.0</v>
      </c>
      <c r="M220" t="n">
        <v>2.0</v>
      </c>
      <c r="N220" t="n">
        <v>0.4</v>
      </c>
      <c r="O220" t="n">
        <v>2.0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inlineStr">
        <is>
          <t/>
        </is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5.0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26.0</v>
      </c>
      <c r="AL220" t="inlineStr">
        <is>
          <t/>
        </is>
      </c>
    </row>
    <row r="221">
      <c r="A221" t="inlineStr">
        <is>
          <t>区区300块承包了我一个月的低脂餐</t>
        </is>
      </c>
      <c r="B221" t="inlineStr">
        <is>
          <t>6976c763000000001a02bd8d</t>
        </is>
      </c>
      <c r="C221" s="220" t="n">
        <f>HYPERLINK("https://www.xiaohongshu.com/explore/6976c763000000001a02bd8d?xsec_token=TBEjiQazNQ2GMSJvE5OHqWXpZu9XuycYyPoI8S0NbTa78=&amp;xsec_source=pc_trdark","https://www.xiaohongshu.com/explore/6976c763000000001a02bd8d?xsec_token=TBEjiQazNQ2GMSJvE5OHqWXpZu9XuycYyPoI8S0NbTa78=&amp;xsec_source=pc_trdark")</f>
        <v>0.0</v>
      </c>
      <c r="D221" t="inlineStr">
        <is>
          <t>鲜水湾</t>
        </is>
      </c>
      <c r="E221" t="inlineStr">
        <is>
          <t>49316638994</t>
        </is>
      </c>
      <c r="F221" t="inlineStr">
        <is>
          <t>2026-01-26 09:46:11</t>
        </is>
      </c>
      <c r="G221" t="inlineStr">
        <is>
          <t>图文</t>
        </is>
      </c>
      <c r="H221" t="inlineStr">
        <is>
          <t>智利三文鱼切块·整条三文鱼·深海鱼一人食健康饮食</t>
        </is>
      </c>
      <c r="I221" t="inlineStr">
        <is>
          <t>691ac562a524ee0001b51d7b</t>
        </is>
      </c>
      <c r="J221" t="inlineStr">
        <is>
          <t/>
        </is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inlineStr">
        <is>
          <t/>
        </is>
      </c>
      <c r="R221" t="inlineStr">
        <is>
          <t/>
        </is>
      </c>
      <c r="S221" t="n">
        <v>0.0</v>
      </c>
      <c r="T221" t="n">
        <v>0.0</v>
      </c>
      <c r="U221" t="n">
        <v>0.0</v>
      </c>
      <c r="V221" t="n">
        <v>0.0</v>
      </c>
      <c r="W221" t="inlineStr">
        <is>
          <t/>
        </is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4.0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5.5</v>
      </c>
      <c r="AL221" t="inlineStr">
        <is>
          <t/>
        </is>
      </c>
    </row>
    <row r="222">
      <c r="A222" t="inlineStr">
        <is>
          <t>感谢山东网友推荐！40+一箱的生蚝太肥了</t>
        </is>
      </c>
      <c r="B222" t="inlineStr">
        <is>
          <t>695bcd41000000000e00f3bb</t>
        </is>
      </c>
      <c r="C222" s="221" t="n">
        <f>HYPERLINK("https://www.xiaohongshu.com/explore/695bcd41000000000e00f3bb?xsec_token=TBEEVOdJitxkDWIk1imW74DtEhroG6sa0O9CDL9nMMTDc=&amp;xsec_source=pc_trdark","https://www.xiaohongshu.com/explore/695bcd41000000000e00f3bb?xsec_token=TBEEVOdJitxkDWIk1imW74DtEhroG6sa0O9CDL9nMMTDc=&amp;xsec_source=pc_trdark")</f>
        <v>0.0</v>
      </c>
      <c r="D222" t="inlineStr">
        <is>
          <t>鲜水湾</t>
        </is>
      </c>
      <c r="E222" t="inlineStr">
        <is>
          <t>49316638994</t>
        </is>
      </c>
      <c r="F222" t="inlineStr">
        <is>
          <t>2026-01-05 22:40:01</t>
        </is>
      </c>
      <c r="G222" t="inlineStr">
        <is>
          <t>图文</t>
        </is>
      </c>
      <c r="H222" t="inlineStr">
        <is>
          <t>生蚝乳山生蚝海蛎子顺丰包邮</t>
        </is>
      </c>
      <c r="I222" t="inlineStr">
        <is>
          <t>690c70971b787900010866cc</t>
        </is>
      </c>
      <c r="J222" t="inlineStr">
        <is>
          <t/>
        </is>
      </c>
      <c r="K222" t="n">
        <v>0.0</v>
      </c>
      <c r="L222" t="n">
        <v>0.0</v>
      </c>
      <c r="M222" t="n">
        <v>1.0</v>
      </c>
      <c r="N222" t="n">
        <v>0.25</v>
      </c>
      <c r="O222" t="n">
        <v>1.0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inlineStr">
        <is>
          <t/>
        </is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4.0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9.75</v>
      </c>
      <c r="AL222" t="inlineStr">
        <is>
          <t/>
        </is>
      </c>
    </row>
    <row r="223">
      <c r="A223" t="inlineStr">
        <is>
          <t>不愧是山东出品！生蚝都和馒头一样大</t>
        </is>
      </c>
      <c r="B223" t="inlineStr">
        <is>
          <t>694a3970000000001e024667</t>
        </is>
      </c>
      <c r="C223" s="222" t="n">
        <f>HYPERLINK("https://www.xiaohongshu.com/explore/694a3970000000001e024667?xsec_token=TBdeZ0Rm1wYmDrNYnjdb_05qHdJwThHLkuOp5qppMagFA=&amp;xsec_source=pc_trdark","https://www.xiaohongshu.com/explore/694a3970000000001e024667?xsec_token=TBdeZ0Rm1wYmDrNYnjdb_05qHdJwThHLkuOp5qppMagFA=&amp;xsec_source=pc_trdark")</f>
        <v>0.0</v>
      </c>
      <c r="D223" t="inlineStr">
        <is>
          <t>鲜水湾</t>
        </is>
      </c>
      <c r="E223" t="inlineStr">
        <is>
          <t>49316638994</t>
        </is>
      </c>
      <c r="F223" t="inlineStr">
        <is>
          <t>2025-12-23 14:40:48</t>
        </is>
      </c>
      <c r="G223" t="inlineStr">
        <is>
          <t>图文</t>
        </is>
      </c>
      <c r="H223" t="inlineStr">
        <is>
          <t>生蚝乳山生蚝海蛎子顺丰包邮</t>
        </is>
      </c>
      <c r="I223" t="inlineStr">
        <is>
          <t>690c70971b787900010866cc</t>
        </is>
      </c>
      <c r="J223" t="inlineStr">
        <is>
          <t/>
        </is>
      </c>
      <c r="K223" t="n">
        <v>0.0</v>
      </c>
      <c r="L223" t="n">
        <v>0.0</v>
      </c>
      <c r="M223" t="n">
        <v>1.0</v>
      </c>
      <c r="N223" t="n">
        <v>0.25</v>
      </c>
      <c r="O223" t="n">
        <v>1.0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inlineStr">
        <is>
          <t/>
        </is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4.0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21.75</v>
      </c>
      <c r="AL223" t="inlineStr">
        <is>
          <t/>
        </is>
      </c>
    </row>
    <row r="224">
      <c r="A224" t="inlineStr">
        <is>
          <t>买虾不迷路🦐孕妇宝宝都适合吃的大虾</t>
        </is>
      </c>
      <c r="B224" t="inlineStr">
        <is>
          <t>694024d0000000001f005c0c</t>
        </is>
      </c>
      <c r="C224" s="223" t="n">
        <f>HYPERLINK("https://www.xiaohongshu.com/explore/694024d0000000001f005c0c?xsec_token=TBzm36tUj4jhogPihZGtakWaY4X6jgzThj3H79mIfjsHY=&amp;xsec_source=pc_trdark","https://www.xiaohongshu.com/explore/694024d0000000001f005c0c?xsec_token=TBzm36tUj4jhogPihZGtakWaY4X6jgzThj3H79mIfjsHY=&amp;xsec_source=pc_trdark")</f>
        <v>0.0</v>
      </c>
      <c r="D224" t="inlineStr">
        <is>
          <t>鲜水湾</t>
        </is>
      </c>
      <c r="E224" t="inlineStr">
        <is>
          <t>49316638994</t>
        </is>
      </c>
      <c r="F224" t="inlineStr">
        <is>
          <t>2025-12-15 23:10:08</t>
        </is>
      </c>
      <c r="G224" t="inlineStr">
        <is>
          <t>图文</t>
        </is>
      </c>
      <c r="H224" t="inlineStr">
        <is>
          <t>大虾基围虾王牌大虾厄瓜多尔白虾盐冻虾仁海洋大虾送礼顺丰包邮</t>
        </is>
      </c>
      <c r="I224" t="inlineStr">
        <is>
          <t>690aeb7be379430001e686ac</t>
        </is>
      </c>
      <c r="J224" t="inlineStr">
        <is>
          <t/>
        </is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inlineStr">
        <is>
          <t/>
        </is>
      </c>
      <c r="R224" t="inlineStr">
        <is>
          <t/>
        </is>
      </c>
      <c r="S224" t="n">
        <v>0.0</v>
      </c>
      <c r="T224" t="n">
        <v>0.0</v>
      </c>
      <c r="U224" t="n">
        <v>0.0</v>
      </c>
      <c r="V224" t="n">
        <v>0.0</v>
      </c>
      <c r="W224" t="inlineStr">
        <is>
          <t/>
        </is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4.0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5.5</v>
      </c>
      <c r="AL224" t="inlineStr">
        <is>
          <t/>
        </is>
      </c>
    </row>
    <row r="225">
      <c r="A225" t="inlineStr">
        <is>
          <t>在小红书买的😭在家就轻松复刻的日料大餐</t>
        </is>
      </c>
      <c r="B225" t="inlineStr">
        <is>
          <t>693580e4000000001e03479d</t>
        </is>
      </c>
      <c r="C225" s="224" t="n">
        <f>HYPERLINK("https://www.xiaohongshu.com/explore/693580e4000000001e03479d?xsec_token=TBVD2oNyykPWo5AeaDpfHB-rG1MeWtLMy1MHy2g2_Zb0o=&amp;xsec_source=pc_trdark","https://www.xiaohongshu.com/explore/693580e4000000001e03479d?xsec_token=TBVD2oNyykPWo5AeaDpfHB-rG1MeWtLMy1MHy2g2_Zb0o=&amp;xsec_source=pc_trdark")</f>
        <v>0.0</v>
      </c>
      <c r="D225" t="inlineStr">
        <is>
          <t>鲜水湾</t>
        </is>
      </c>
      <c r="E225" t="inlineStr">
        <is>
          <t>49316638994</t>
        </is>
      </c>
      <c r="F225" t="inlineStr">
        <is>
          <t>2025-12-07 21:28:04</t>
        </is>
      </c>
      <c r="G225" t="inlineStr">
        <is>
          <t>图文</t>
        </is>
      </c>
      <c r="H225" t="inlineStr">
        <is>
          <t>智利三文鱼切块·整条三文鱼·深海鱼一人食健康饮食</t>
        </is>
      </c>
      <c r="I225" t="inlineStr">
        <is>
          <t>691ac562a524ee0001b51d7b</t>
        </is>
      </c>
      <c r="J225" t="inlineStr">
        <is>
          <t/>
        </is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inlineStr">
        <is>
          <t/>
        </is>
      </c>
      <c r="R225" t="inlineStr">
        <is>
          <t/>
        </is>
      </c>
      <c r="S225" t="n">
        <v>0.0</v>
      </c>
      <c r="T225" t="n">
        <v>0.0</v>
      </c>
      <c r="U225" t="n">
        <v>0.0</v>
      </c>
      <c r="V225" t="n">
        <v>0.0</v>
      </c>
      <c r="W225" t="inlineStr">
        <is>
          <t/>
        </is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4.0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3.75</v>
      </c>
      <c r="AL225" t="inlineStr">
        <is>
          <t/>
        </is>
      </c>
    </row>
    <row r="226">
      <c r="A226" t="inlineStr">
        <is>
          <t>低估60多块的购买力了，不到一块💰一只</t>
        </is>
      </c>
      <c r="B226" t="inlineStr">
        <is>
          <t>69271d5b000000001e030027</t>
        </is>
      </c>
      <c r="C226" s="225" t="n">
        <f>HYPERLINK("https://www.xiaohongshu.com/explore/69271d5b000000001e030027?xsec_token=TBLaSXRlY1LuZckfwFBOoYph40dfB80hCcDYQn9fvVAKU=&amp;xsec_source=pc_trdark","https://www.xiaohongshu.com/explore/69271d5b000000001e030027?xsec_token=TBLaSXRlY1LuZckfwFBOoYph40dfB80hCcDYQn9fvVAKU=&amp;xsec_source=pc_trdark")</f>
        <v>0.0</v>
      </c>
      <c r="D226" t="inlineStr">
        <is>
          <t>鲜水湾</t>
        </is>
      </c>
      <c r="E226" t="inlineStr">
        <is>
          <t>49316638994</t>
        </is>
      </c>
      <c r="F226" t="inlineStr">
        <is>
          <t>2025-11-26 23:31:40</t>
        </is>
      </c>
      <c r="G226" t="inlineStr">
        <is>
          <t>图文</t>
        </is>
      </c>
      <c r="H226" t="inlineStr">
        <is>
          <t>大虾基围虾王牌大虾厄瓜多尔白虾盐冻虾仁海洋大虾送礼顺丰包邮</t>
        </is>
      </c>
      <c r="I226" t="inlineStr">
        <is>
          <t>690aeb7be379430001e686ac</t>
        </is>
      </c>
      <c r="J226" t="inlineStr">
        <is>
          <t/>
        </is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inlineStr">
        <is>
          <t/>
        </is>
      </c>
      <c r="R226" t="inlineStr">
        <is>
          <t/>
        </is>
      </c>
      <c r="S226" t="n">
        <v>0.0</v>
      </c>
      <c r="T226" t="n">
        <v>0.0</v>
      </c>
      <c r="U226" t="n">
        <v>0.0</v>
      </c>
      <c r="V226" t="n">
        <v>0.0</v>
      </c>
      <c r="W226" t="inlineStr">
        <is>
          <t/>
        </is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4.0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10.0</v>
      </c>
      <c r="AL226" t="inlineStr">
        <is>
          <t/>
        </is>
      </c>
    </row>
    <row r="227">
      <c r="A227" t="inlineStr">
        <is>
          <t>我爸让我赶紧宣传一下,50+一箱了！包活包肥</t>
        </is>
      </c>
      <c r="B227" t="inlineStr">
        <is>
          <t>690ea68e0000000003010d38</t>
        </is>
      </c>
      <c r="C227" s="226" t="n">
        <f>HYPERLINK("https://www.xiaohongshu.com/explore/690ea68e0000000003010d38?xsec_token=TBJajQDaP2lymAuuRX7yQPUSIuWDt-m9GrDAvbEcbHo7M=&amp;xsec_source=pc_trdark","https://www.xiaohongshu.com/explore/690ea68e0000000003010d38?xsec_token=TBJajQDaP2lymAuuRX7yQPUSIuWDt-m9GrDAvbEcbHo7M=&amp;xsec_source=pc_trdark")</f>
        <v>0.0</v>
      </c>
      <c r="D227" t="inlineStr">
        <is>
          <t>婉婉上班吃什么</t>
        </is>
      </c>
      <c r="E227" t="inlineStr">
        <is>
          <t>11434449706</t>
        </is>
      </c>
      <c r="F227" t="inlineStr">
        <is>
          <t>2025-11-08 10:10:22</t>
        </is>
      </c>
      <c r="G227" t="inlineStr">
        <is>
          <t>视频</t>
        </is>
      </c>
      <c r="H227" t="inlineStr">
        <is>
          <t>生蚝乳山生蚝海蛎子顺丰包邮</t>
        </is>
      </c>
      <c r="I227" t="inlineStr">
        <is>
          <t>690c70971b787900010866cc</t>
        </is>
      </c>
      <c r="J227" t="n">
        <v>30.0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inlineStr">
        <is>
          <t/>
        </is>
      </c>
      <c r="R227" t="inlineStr">
        <is>
          <t/>
        </is>
      </c>
      <c r="S227" t="n">
        <v>0.0</v>
      </c>
      <c r="T227" t="n">
        <v>0.0</v>
      </c>
      <c r="U227" t="n">
        <v>0.0</v>
      </c>
      <c r="V227" t="n">
        <v>0.0</v>
      </c>
      <c r="W227" t="inlineStr">
        <is>
          <t/>
        </is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4.0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38.0</v>
      </c>
      <c r="AL227" t="n">
        <v>0.5</v>
      </c>
    </row>
    <row r="228">
      <c r="A228" t="inlineStr">
        <is>
          <t>马上过年了，来箱生蚝全家一起吃</t>
        </is>
      </c>
      <c r="B228" t="inlineStr">
        <is>
          <t>69896db3000000002801e287</t>
        </is>
      </c>
      <c r="C228" s="227" t="n">
        <f>HYPERLINK("https://www.xiaohongshu.com/explore/69896db3000000002801e287?xsec_token=TBeAeWMkLJ9etYlFDlK3pguSF9WUyI4zGPHPR72uUrVWQ=&amp;xsec_source=pc_trdark","https://www.xiaohongshu.com/explore/69896db3000000002801e287?xsec_token=TBeAeWMkLJ9etYlFDlK3pguSF9WUyI4zGPHPR72uUrVWQ=&amp;xsec_source=pc_trdark")</f>
        <v>0.0</v>
      </c>
      <c r="D228" t="inlineStr">
        <is>
          <t>婉婉上班吃什么</t>
        </is>
      </c>
      <c r="E228" t="inlineStr">
        <is>
          <t>11434449706</t>
        </is>
      </c>
      <c r="F228" t="inlineStr">
        <is>
          <t>2026-02-09 13:16:35</t>
        </is>
      </c>
      <c r="G228" t="inlineStr">
        <is>
          <t>视频</t>
        </is>
      </c>
      <c r="H228" t="inlineStr">
        <is>
          <t>生蚝乳山生蚝海蛎子顺丰包邮</t>
        </is>
      </c>
      <c r="I228" t="inlineStr">
        <is>
          <t>690c70971b787900010866cc</t>
        </is>
      </c>
      <c r="J228" t="n">
        <v>12.0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inlineStr">
        <is>
          <t/>
        </is>
      </c>
      <c r="R228" t="inlineStr">
        <is>
          <t/>
        </is>
      </c>
      <c r="S228" t="n">
        <v>0.0</v>
      </c>
      <c r="T228" t="n">
        <v>0.0</v>
      </c>
      <c r="U228" t="n">
        <v>0.0</v>
      </c>
      <c r="V228" t="n">
        <v>0.0</v>
      </c>
      <c r="W228" t="inlineStr">
        <is>
          <t/>
        </is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3.0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3.6666666666666665</v>
      </c>
      <c r="AL228" t="n">
        <v>0.0</v>
      </c>
    </row>
    <row r="229">
      <c r="A229" t="inlineStr">
        <is>
          <t>要不是吃虾瘦的快，我早就不吃了！</t>
        </is>
      </c>
      <c r="B229" t="inlineStr">
        <is>
          <t>693c089e000000001f00b833</t>
        </is>
      </c>
      <c r="C229" s="228" t="n">
        <f>HYPERLINK("https://www.xiaohongshu.com/explore/693c089e000000001f00b833?xsec_token=TBby_8TUlAJfj-jHsmZvLUDQadctlSDj2QnDumqshe8Is=&amp;xsec_source=pc_trdark","https://www.xiaohongshu.com/explore/693c089e000000001f00b833?xsec_token=TBby_8TUlAJfj-jHsmZvLUDQadctlSDj2QnDumqshe8Is=&amp;xsec_source=pc_trdark")</f>
        <v>0.0</v>
      </c>
      <c r="D229" t="inlineStr">
        <is>
          <t>鲜水湾</t>
        </is>
      </c>
      <c r="E229" t="inlineStr">
        <is>
          <t>49316638994</t>
        </is>
      </c>
      <c r="F229" t="inlineStr">
        <is>
          <t>2025-12-12 20:20:46</t>
        </is>
      </c>
      <c r="G229" t="inlineStr">
        <is>
          <t>图文</t>
        </is>
      </c>
      <c r="H229" t="inlineStr">
        <is>
          <t>大虾基围虾王牌大虾厄瓜多尔白虾盐冻虾仁海洋大虾送礼顺丰包邮</t>
        </is>
      </c>
      <c r="I229" t="inlineStr">
        <is>
          <t>690aeb7be379430001e686ac</t>
        </is>
      </c>
      <c r="J229" t="inlineStr">
        <is>
          <t/>
        </is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inlineStr">
        <is>
          <t/>
        </is>
      </c>
      <c r="R229" t="inlineStr">
        <is>
          <t/>
        </is>
      </c>
      <c r="S229" t="n">
        <v>0.0</v>
      </c>
      <c r="T229" t="n">
        <v>0.0</v>
      </c>
      <c r="U229" t="n">
        <v>0.0</v>
      </c>
      <c r="V229" t="n">
        <v>0.0</v>
      </c>
      <c r="W229" t="inlineStr">
        <is>
          <t/>
        </is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3.0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15.333333333333334</v>
      </c>
      <c r="AL229" t="inlineStr">
        <is>
          <t/>
        </is>
      </c>
    </row>
    <row r="230">
      <c r="A230" t="inlineStr">
        <is>
          <t>小红书诚不欺我😭香煎三文鱼真的超好吃！</t>
        </is>
      </c>
      <c r="B230" t="inlineStr">
        <is>
          <t>6936ce79000000001e02e3c2</t>
        </is>
      </c>
      <c r="C230" s="229" t="n">
        <f>HYPERLINK("https://www.xiaohongshu.com/explore/6936ce79000000001e02e3c2?xsec_token=TBlR01uRP0dY963Q_AxX8vHKuz4QQcb-jS2lEfPVjHVsA=&amp;xsec_source=pc_trdark","https://www.xiaohongshu.com/explore/6936ce79000000001e02e3c2?xsec_token=TBlR01uRP0dY963Q_AxX8vHKuz4QQcb-jS2lEfPVjHVsA=&amp;xsec_source=pc_trdark")</f>
        <v>0.0</v>
      </c>
      <c r="D230" t="inlineStr">
        <is>
          <t>鲜水湾</t>
        </is>
      </c>
      <c r="E230" t="inlineStr">
        <is>
          <t>49316638994</t>
        </is>
      </c>
      <c r="F230" t="inlineStr">
        <is>
          <t>2025-12-08 21:11:21</t>
        </is>
      </c>
      <c r="G230" t="inlineStr">
        <is>
          <t>图文</t>
        </is>
      </c>
      <c r="H230" t="inlineStr">
        <is>
          <t>智利三文鱼切块·整条三文鱼·深海鱼一人食健康饮食</t>
        </is>
      </c>
      <c r="I230" t="inlineStr">
        <is>
          <t>691ac562a524ee0001b51d7b</t>
        </is>
      </c>
      <c r="J230" t="inlineStr">
        <is>
          <t/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inlineStr">
        <is>
          <t/>
        </is>
      </c>
      <c r="R230" t="inlineStr">
        <is>
          <t/>
        </is>
      </c>
      <c r="S230" t="n">
        <v>0.0</v>
      </c>
      <c r="T230" t="n">
        <v>0.0</v>
      </c>
      <c r="U230" t="n">
        <v>0.0</v>
      </c>
      <c r="V230" t="n">
        <v>0.0</v>
      </c>
      <c r="W230" t="inlineStr">
        <is>
          <t/>
        </is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3.0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7.0</v>
      </c>
      <c r="AL230" t="inlineStr">
        <is>
          <t/>
        </is>
      </c>
    </row>
    <row r="231">
      <c r="A231" t="inlineStr">
        <is>
          <t>一代人有一代人的年货要买！</t>
        </is>
      </c>
      <c r="B231" t="inlineStr">
        <is>
          <t>6979df44000000002800ad3a</t>
        </is>
      </c>
      <c r="C231" s="230" t="n">
        <f>HYPERLINK("https://www.xiaohongshu.com/explore/6979df44000000002800ad3a?xsec_token=TBDUixuchs-ppRvZ3sgkNDRc6EolPjX91ZgaZx97b9w9w=&amp;xsec_source=pc_trdark","https://www.xiaohongshu.com/explore/6979df44000000002800ad3a?xsec_token=TBDUixuchs-ppRvZ3sgkNDRc6EolPjX91ZgaZx97b9w9w=&amp;xsec_source=pc_trdark")</f>
        <v>0.0</v>
      </c>
      <c r="D231" t="inlineStr">
        <is>
          <t>鲜水湾</t>
        </is>
      </c>
      <c r="E231" t="inlineStr">
        <is>
          <t>49316638994</t>
        </is>
      </c>
      <c r="F231" t="inlineStr">
        <is>
          <t>2026-01-28 18:04:52</t>
        </is>
      </c>
      <c r="G231" t="inlineStr">
        <is>
          <t>图文</t>
        </is>
      </c>
      <c r="H231" t="inlineStr">
        <is>
          <t>大虾基围虾王牌大虾厄瓜多尔白虾盐冻虾仁海洋大虾送礼顺丰包邮</t>
        </is>
      </c>
      <c r="I231" t="inlineStr">
        <is>
          <t>690aeb7be379430001e686ac</t>
        </is>
      </c>
      <c r="J231" t="inlineStr">
        <is>
          <t/>
        </is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inlineStr">
        <is>
          <t/>
        </is>
      </c>
      <c r="R231" t="inlineStr">
        <is>
          <t/>
        </is>
      </c>
      <c r="S231" t="n">
        <v>0.0</v>
      </c>
      <c r="T231" t="n">
        <v>0.0</v>
      </c>
      <c r="U231" t="n">
        <v>0.0</v>
      </c>
      <c r="V231" t="n">
        <v>0.0</v>
      </c>
      <c r="W231" t="inlineStr">
        <is>
          <t/>
        </is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2.0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9.5</v>
      </c>
      <c r="AL231" t="inlineStr">
        <is>
          <t/>
        </is>
      </c>
    </row>
    <row r="232">
      <c r="A232" t="inlineStr">
        <is>
          <t>我妈让我赶紧宣传一下40多一箱了‼️包活包肥</t>
        </is>
      </c>
      <c r="B232" t="inlineStr">
        <is>
          <t>697391e8000000001a024cb4</t>
        </is>
      </c>
      <c r="C232" s="231" t="n">
        <f>HYPERLINK("https://www.xiaohongshu.com/explore/697391e8000000001a024cb4?xsec_token=TBK07qywxRjCZuuyJUweFeX78HomRTj3dyX-Jx-RO2FF0=&amp;xsec_source=pc_trdark","https://www.xiaohongshu.com/explore/697391e8000000001a024cb4?xsec_token=TBK07qywxRjCZuuyJUweFeX78HomRTj3dyX-Jx-RO2FF0=&amp;xsec_source=pc_trdark")</f>
        <v>0.0</v>
      </c>
      <c r="D232" t="inlineStr">
        <is>
          <t>鲜水湾</t>
        </is>
      </c>
      <c r="E232" t="inlineStr">
        <is>
          <t>49316638994</t>
        </is>
      </c>
      <c r="F232" t="inlineStr">
        <is>
          <t>2026-01-23 23:21:12</t>
        </is>
      </c>
      <c r="G232" t="inlineStr">
        <is>
          <t>图文</t>
        </is>
      </c>
      <c r="H232" t="inlineStr">
        <is>
          <t>生蚝乳山生蚝海蛎子顺丰包邮</t>
        </is>
      </c>
      <c r="I232" t="inlineStr">
        <is>
          <t>690c70971b787900010866cc</t>
        </is>
      </c>
      <c r="J232" t="inlineStr">
        <is>
          <t/>
        </is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inlineStr">
        <is>
          <t/>
        </is>
      </c>
      <c r="R232" t="inlineStr">
        <is>
          <t/>
        </is>
      </c>
      <c r="S232" t="n">
        <v>0.0</v>
      </c>
      <c r="T232" t="n">
        <v>0.0</v>
      </c>
      <c r="U232" t="n">
        <v>0.0</v>
      </c>
      <c r="V232" t="n">
        <v>0.0</v>
      </c>
      <c r="W232" t="inlineStr">
        <is>
          <t/>
        </is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2.0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0.5</v>
      </c>
      <c r="AL232" t="inlineStr">
        <is>
          <t/>
        </is>
      </c>
    </row>
    <row r="233">
      <c r="A233" t="inlineStr">
        <is>
          <t>只要Xhs一直给！我就一直薅</t>
        </is>
      </c>
      <c r="B233" t="inlineStr">
        <is>
          <t>696deb26000000001a034564</t>
        </is>
      </c>
      <c r="C233" s="232" t="n">
        <f>HYPERLINK("https://www.xiaohongshu.com/explore/696deb26000000001a034564?xsec_token=TBhBdCGGh1NnVPomuS6-J4H-lJBR6-tRJG_EXl-VW63Sg=&amp;xsec_source=pc_trdark","https://www.xiaohongshu.com/explore/696deb26000000001a034564?xsec_token=TBhBdCGGh1NnVPomuS6-J4H-lJBR6-tRJG_EXl-VW63Sg=&amp;xsec_source=pc_trdark")</f>
        <v>0.0</v>
      </c>
      <c r="D233" t="inlineStr">
        <is>
          <t>鲜水湾</t>
        </is>
      </c>
      <c r="E233" t="inlineStr">
        <is>
          <t>49316638994</t>
        </is>
      </c>
      <c r="F233" t="inlineStr">
        <is>
          <t>2026-01-19 16:28:22</t>
        </is>
      </c>
      <c r="G233" t="inlineStr">
        <is>
          <t>图文</t>
        </is>
      </c>
      <c r="H233" t="inlineStr">
        <is>
          <t>生蚝乳山生蚝海蛎子顺丰包邮</t>
        </is>
      </c>
      <c r="I233" t="inlineStr">
        <is>
          <t>690c70971b787900010866cc</t>
        </is>
      </c>
      <c r="J233" t="inlineStr">
        <is>
          <t/>
        </is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inlineStr">
        <is>
          <t/>
        </is>
      </c>
      <c r="R233" t="inlineStr">
        <is>
          <t/>
        </is>
      </c>
      <c r="S233" t="n">
        <v>0.0</v>
      </c>
      <c r="T233" t="n">
        <v>0.0</v>
      </c>
      <c r="U233" t="n">
        <v>0.0</v>
      </c>
      <c r="V233" t="n">
        <v>0.0</v>
      </c>
      <c r="W233" t="inlineStr">
        <is>
          <t/>
        </is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2.0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1.5</v>
      </c>
      <c r="AL233" t="inlineStr">
        <is>
          <t/>
        </is>
      </c>
    </row>
    <row r="234">
      <c r="A234" t="inlineStr">
        <is>
          <t>区区300多承包了我一个月的减脂餐</t>
        </is>
      </c>
      <c r="B234" t="inlineStr">
        <is>
          <t>6957e73c000000001f00d9de</t>
        </is>
      </c>
      <c r="C234" s="233" t="n">
        <f>HYPERLINK("https://www.xiaohongshu.com/explore/6957e73c000000001f00d9de?xsec_token=TBhUA1uFx5IoVoBZdOr3ZJfSYhCUQQhi1UCWoJJtqs1Kw=&amp;xsec_source=pc_trdark","https://www.xiaohongshu.com/explore/6957e73c000000001f00d9de?xsec_token=TBhUA1uFx5IoVoBZdOr3ZJfSYhCUQQhi1UCWoJJtqs1Kw=&amp;xsec_source=pc_trdark")</f>
        <v>0.0</v>
      </c>
      <c r="D234" t="inlineStr">
        <is>
          <t>鲜水湾</t>
        </is>
      </c>
      <c r="E234" t="inlineStr">
        <is>
          <t>49316638994</t>
        </is>
      </c>
      <c r="F234" t="inlineStr">
        <is>
          <t>2026-01-02 23:41:48</t>
        </is>
      </c>
      <c r="G234" t="inlineStr">
        <is>
          <t>图文</t>
        </is>
      </c>
      <c r="H234" t="inlineStr">
        <is>
          <t>智利三文鱼切块·整条三文鱼·深海鱼一人食健康饮食</t>
        </is>
      </c>
      <c r="I234" t="inlineStr">
        <is>
          <t>691ac562a524ee0001b51d7b</t>
        </is>
      </c>
      <c r="J234" t="inlineStr">
        <is>
          <t/>
        </is>
      </c>
      <c r="K234" t="n">
        <v>0.0</v>
      </c>
      <c r="L234" t="n">
        <v>0.0</v>
      </c>
      <c r="M234" t="n">
        <v>1.0</v>
      </c>
      <c r="N234" t="n">
        <v>0.5</v>
      </c>
      <c r="O234" t="n">
        <v>1.0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inlineStr">
        <is>
          <t/>
        </is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2.0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15.5</v>
      </c>
      <c r="AL234" t="inlineStr">
        <is>
          <t/>
        </is>
      </c>
    </row>
    <row r="235">
      <c r="A235" t="inlineStr">
        <is>
          <t>山东朋友认证的‼️巨好吃～</t>
        </is>
      </c>
      <c r="B235" t="inlineStr">
        <is>
          <t>6951220e000000001e02bad7</t>
        </is>
      </c>
      <c r="C235" s="234" t="n">
        <f>HYPERLINK("https://www.xiaohongshu.com/explore/6951220e000000001e02bad7?xsec_token=TB_qEjSZ7tEjw02EUjImJj3TMSH6zeJgcwx7pATniN9JM=&amp;xsec_source=pc_trdark","https://www.xiaohongshu.com/explore/6951220e000000001e02bad7?xsec_token=TB_qEjSZ7tEjw02EUjImJj3TMSH6zeJgcwx7pATniN9JM=&amp;xsec_source=pc_trdark")</f>
        <v>0.0</v>
      </c>
      <c r="D235" t="inlineStr">
        <is>
          <t>鲜水湾</t>
        </is>
      </c>
      <c r="E235" t="inlineStr">
        <is>
          <t>49316638994</t>
        </is>
      </c>
      <c r="F235" t="inlineStr">
        <is>
          <t>2025-12-28 20:26:54</t>
        </is>
      </c>
      <c r="G235" t="inlineStr">
        <is>
          <t>图文</t>
        </is>
      </c>
      <c r="H235" t="inlineStr">
        <is>
          <t>生蚝乳山生蚝海蛎子顺丰包邮</t>
        </is>
      </c>
      <c r="I235" t="inlineStr">
        <is>
          <t>690c70971b787900010866cc</t>
        </is>
      </c>
      <c r="J235" t="inlineStr">
        <is>
          <t/>
        </is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inlineStr">
        <is>
          <t/>
        </is>
      </c>
      <c r="R235" t="inlineStr">
        <is>
          <t/>
        </is>
      </c>
      <c r="S235" t="n">
        <v>0.0</v>
      </c>
      <c r="T235" t="n">
        <v>0.0</v>
      </c>
      <c r="U235" t="n">
        <v>0.0</v>
      </c>
      <c r="V235" t="n">
        <v>0.0</v>
      </c>
      <c r="W235" t="inlineStr">
        <is>
          <t/>
        </is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2.0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1.5</v>
      </c>
      <c r="AL235" t="inlineStr">
        <is>
          <t/>
        </is>
      </c>
    </row>
    <row r="236">
      <c r="A236" t="inlineStr">
        <is>
          <t>长期主义三文鱼。。。没有平替！</t>
        </is>
      </c>
      <c r="B236" t="inlineStr">
        <is>
          <t>693793e4000000001e0260d6</t>
        </is>
      </c>
      <c r="C236" s="235" t="n">
        <f>HYPERLINK("https://www.xiaohongshu.com/explore/693793e4000000001e0260d6?xsec_token=TBm581DxyfKxLtHTMgt_7Xf-DdfiRvQ6XLxeBBUf-udi0=&amp;xsec_source=pc_trdark","https://www.xiaohongshu.com/explore/693793e4000000001e0260d6?xsec_token=TBm581DxyfKxLtHTMgt_7Xf-DdfiRvQ6XLxeBBUf-udi0=&amp;xsec_source=pc_trdark")</f>
        <v>0.0</v>
      </c>
      <c r="D236" t="inlineStr">
        <is>
          <t>鲜水湾</t>
        </is>
      </c>
      <c r="E236" t="inlineStr">
        <is>
          <t>49316638994</t>
        </is>
      </c>
      <c r="F236" t="inlineStr">
        <is>
          <t>2025-12-09 11:13:40</t>
        </is>
      </c>
      <c r="G236" t="inlineStr">
        <is>
          <t>图文</t>
        </is>
      </c>
      <c r="H236" t="inlineStr">
        <is>
          <t>智利三文鱼切块·整条三文鱼·深海鱼一人食健康饮食</t>
        </is>
      </c>
      <c r="I236" t="inlineStr">
        <is>
          <t>691ac562a524ee0001b51d7b</t>
        </is>
      </c>
      <c r="J236" t="inlineStr">
        <is>
          <t/>
        </is>
      </c>
      <c r="K236" t="n">
        <v>0.0</v>
      </c>
      <c r="L236" t="n">
        <v>0.0</v>
      </c>
      <c r="M236" t="n">
        <v>1.0</v>
      </c>
      <c r="N236" t="n">
        <v>0.5</v>
      </c>
      <c r="O236" t="n">
        <v>1.0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inlineStr">
        <is>
          <t/>
        </is>
      </c>
      <c r="X236" t="n">
        <v>0.0</v>
      </c>
      <c r="Y236" t="n">
        <v>1.0</v>
      </c>
      <c r="Z236" t="n">
        <v>0.0</v>
      </c>
      <c r="AA236" t="n">
        <v>0.0</v>
      </c>
      <c r="AB236" t="n">
        <v>0.0</v>
      </c>
      <c r="AC236" t="n">
        <v>0.0</v>
      </c>
      <c r="AD236" t="n">
        <v>2.0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21.5</v>
      </c>
      <c r="AL236" t="inlineStr">
        <is>
          <t/>
        </is>
      </c>
    </row>
    <row r="237">
      <c r="A237" t="inlineStr">
        <is>
          <t>告别练后饿到暴食！健身女的蛋白补给已就位</t>
        </is>
      </c>
      <c r="B237" t="inlineStr">
        <is>
          <t>6923ca43000000001e030372</t>
        </is>
      </c>
      <c r="C237" s="236" t="n">
        <f>HYPERLINK("https://www.xiaohongshu.com/explore/6923ca43000000001e030372?xsec_token=TBBxL79LDzc6WqpUNHJD-EhYIDIzUaSiYBZdOzWcv8EHY=&amp;xsec_source=pc_trdark","https://www.xiaohongshu.com/explore/6923ca43000000001e030372?xsec_token=TBBxL79LDzc6WqpUNHJD-EhYIDIzUaSiYBZdOzWcv8EHY=&amp;xsec_source=pc_trdark")</f>
        <v>0.0</v>
      </c>
      <c r="D237" t="inlineStr">
        <is>
          <t>鲜水湾</t>
        </is>
      </c>
      <c r="E237" t="inlineStr">
        <is>
          <t>49316638994</t>
        </is>
      </c>
      <c r="F237" t="inlineStr">
        <is>
          <t>2025-11-24 11:00:19</t>
        </is>
      </c>
      <c r="G237" t="inlineStr">
        <is>
          <t>图文</t>
        </is>
      </c>
      <c r="H237" t="inlineStr">
        <is>
          <t>大虾基围虾王牌大虾厄瓜多尔白虾盐冻虾仁海洋大虾送礼顺丰包邮</t>
        </is>
      </c>
      <c r="I237" t="inlineStr">
        <is>
          <t>690aeb7be379430001e686ac</t>
        </is>
      </c>
      <c r="J237" t="inlineStr">
        <is>
          <t/>
        </is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inlineStr">
        <is>
          <t/>
        </is>
      </c>
      <c r="R237" t="inlineStr">
        <is>
          <t/>
        </is>
      </c>
      <c r="S237" t="n">
        <v>0.0</v>
      </c>
      <c r="T237" t="n">
        <v>0.0</v>
      </c>
      <c r="U237" t="n">
        <v>0.0</v>
      </c>
      <c r="V237" t="n">
        <v>0.0</v>
      </c>
      <c r="W237" t="inlineStr">
        <is>
          <t/>
        </is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2.0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18.0</v>
      </c>
      <c r="AL237" t="inlineStr">
        <is>
          <t/>
        </is>
      </c>
    </row>
    <row r="238">
      <c r="A238" t="inlineStr">
        <is>
          <t>不要低估50💰的购买力，敞开吃吧……</t>
        </is>
      </c>
      <c r="B238" t="inlineStr">
        <is>
          <t>691dcca3000000001f00d933</t>
        </is>
      </c>
      <c r="C238" s="237" t="n">
        <f>HYPERLINK("https://www.xiaohongshu.com/explore/691dcca3000000001f00d933?xsec_token=TBfJie4P5Jl9AylR95m8dPVEOjESP3RSw2zKhQaeR8JJ0=&amp;xsec_source=pc_trdark","https://www.xiaohongshu.com/explore/691dcca3000000001f00d933?xsec_token=TBfJie4P5Jl9AylR95m8dPVEOjESP3RSw2zKhQaeR8JJ0=&amp;xsec_source=pc_trdark")</f>
        <v>0.0</v>
      </c>
      <c r="D238" t="inlineStr">
        <is>
          <t>婉婉上班吃什么</t>
        </is>
      </c>
      <c r="E238" t="inlineStr">
        <is>
          <t>11434449706</t>
        </is>
      </c>
      <c r="F238" t="inlineStr">
        <is>
          <t>2025-11-19 21:56:51</t>
        </is>
      </c>
      <c r="G238" t="inlineStr">
        <is>
          <t>视频</t>
        </is>
      </c>
      <c r="H238" t="inlineStr">
        <is>
          <t>生蚝乳山生蚝海蛎子顺丰包邮</t>
        </is>
      </c>
      <c r="I238" t="inlineStr">
        <is>
          <t>690c70971b787900010866cc</t>
        </is>
      </c>
      <c r="J238" t="n">
        <v>29.0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inlineStr">
        <is>
          <t/>
        </is>
      </c>
      <c r="R238" t="inlineStr">
        <is>
          <t/>
        </is>
      </c>
      <c r="S238" t="n">
        <v>0.0</v>
      </c>
      <c r="T238" t="n">
        <v>0.0</v>
      </c>
      <c r="U238" t="n">
        <v>0.0</v>
      </c>
      <c r="V238" t="n">
        <v>0.0</v>
      </c>
      <c r="W238" t="inlineStr">
        <is>
          <t/>
        </is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2.0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8.5</v>
      </c>
      <c r="AL238" t="n">
        <v>0.0</v>
      </c>
    </row>
    <row r="239">
      <c r="A239" t="inlineStr">
        <is>
          <t>跟风买的！50+一箱的生蚝是真的肥！</t>
        </is>
      </c>
      <c r="B239" t="inlineStr">
        <is>
          <t>69153e6b0000000005002992</t>
        </is>
      </c>
      <c r="C239" s="238" t="n">
        <f>HYPERLINK("https://www.xiaohongshu.com/explore/69153e6b0000000005002992?xsec_token=TBAg-veJq-9HvX6LdnoJFXatoMwJKXk0eA6yFWEwD8dLc=&amp;xsec_source=pc_trdark","https://www.xiaohongshu.com/explore/69153e6b0000000005002992?xsec_token=TBAg-veJq-9HvX6LdnoJFXatoMwJKXk0eA6yFWEwD8dLc=&amp;xsec_source=pc_trdark")</f>
        <v>0.0</v>
      </c>
      <c r="D239" t="inlineStr">
        <is>
          <t>婉婉上班吃什么</t>
        </is>
      </c>
      <c r="E239" t="inlineStr">
        <is>
          <t>11434449706</t>
        </is>
      </c>
      <c r="F239" t="inlineStr">
        <is>
          <t>2025-11-13 10:11:56</t>
        </is>
      </c>
      <c r="G239" t="inlineStr">
        <is>
          <t>视频</t>
        </is>
      </c>
      <c r="H239" t="inlineStr">
        <is>
          <t>生蚝乳山生蚝海蛎子顺丰包邮</t>
        </is>
      </c>
      <c r="I239" t="inlineStr">
        <is>
          <t>690c70971b787900010866cc</t>
        </is>
      </c>
      <c r="J239" t="n">
        <v>29.0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inlineStr">
        <is>
          <t/>
        </is>
      </c>
      <c r="R239" t="inlineStr">
        <is>
          <t/>
        </is>
      </c>
      <c r="S239" t="n">
        <v>0.0</v>
      </c>
      <c r="T239" t="n">
        <v>0.0</v>
      </c>
      <c r="U239" t="n">
        <v>0.0</v>
      </c>
      <c r="V239" t="n">
        <v>0.0</v>
      </c>
      <c r="W239" t="inlineStr">
        <is>
          <t/>
        </is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2.0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7.5</v>
      </c>
      <c r="AL239" t="n">
        <v>0.0</v>
      </c>
    </row>
    <row r="240">
      <c r="A240" t="inlineStr">
        <is>
          <t>好吃我已经说累了，没看到就随缘吧</t>
        </is>
      </c>
      <c r="B240" t="inlineStr">
        <is>
          <t>69141ff30000000004004dac</t>
        </is>
      </c>
      <c r="C240" s="239" t="n">
        <f>HYPERLINK("https://www.xiaohongshu.com/explore/69141ff30000000004004dac?xsec_token=TBaXvlcWwd_4ttBIqZOUWAk2BjKO4Cr5CifWDaQ8pvdtM=&amp;xsec_source=pc_trdark","https://www.xiaohongshu.com/explore/69141ff30000000004004dac?xsec_token=TBaXvlcWwd_4ttBIqZOUWAk2BjKO4Cr5CifWDaQ8pvdtM=&amp;xsec_source=pc_trdark")</f>
        <v>0.0</v>
      </c>
      <c r="D240" t="inlineStr">
        <is>
          <t>婉婉上班吃什么</t>
        </is>
      </c>
      <c r="E240" t="inlineStr">
        <is>
          <t>11434449706</t>
        </is>
      </c>
      <c r="F240" t="inlineStr">
        <is>
          <t>2025-11-12 13:49:39</t>
        </is>
      </c>
      <c r="G240" t="inlineStr">
        <is>
          <t>视频</t>
        </is>
      </c>
      <c r="H240" t="inlineStr">
        <is>
          <t>生蚝乳山生蚝海蛎子顺丰包邮</t>
        </is>
      </c>
      <c r="I240" t="inlineStr">
        <is>
          <t>690c70971b787900010866cc</t>
        </is>
      </c>
      <c r="J240" t="n">
        <v>17.0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inlineStr">
        <is>
          <t/>
        </is>
      </c>
      <c r="R240" t="inlineStr">
        <is>
          <t/>
        </is>
      </c>
      <c r="S240" t="n">
        <v>0.0</v>
      </c>
      <c r="T240" t="n">
        <v>0.0</v>
      </c>
      <c r="U240" t="n">
        <v>0.0</v>
      </c>
      <c r="V240" t="n">
        <v>0.0</v>
      </c>
      <c r="W240" t="inlineStr">
        <is>
          <t/>
        </is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2.0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0.5</v>
      </c>
      <c r="AL240" t="n">
        <v>0.0</v>
      </c>
    </row>
    <row r="241">
      <c r="A241" t="inlineStr">
        <is>
          <t>握靠现在70来块的购买力真的被低估了</t>
        </is>
      </c>
      <c r="B241" t="inlineStr">
        <is>
          <t>696f434a000000001a02ed52</t>
        </is>
      </c>
      <c r="C241" s="240" t="n">
        <f>HYPERLINK("https://www.xiaohongshu.com/explore/696f434a000000001a02ed52?xsec_token=TBhNblbQcUsDvO_PJ-ZmFokjb5t2rjT3mndC001c6Fhl0=&amp;xsec_source=pc_trdark","https://www.xiaohongshu.com/explore/696f434a000000001a02ed52?xsec_token=TBhNblbQcUsDvO_PJ-ZmFokjb5t2rjT3mndC001c6Fhl0=&amp;xsec_source=pc_trdark")</f>
        <v>0.0</v>
      </c>
      <c r="D241" t="inlineStr">
        <is>
          <t>鲜水湾</t>
        </is>
      </c>
      <c r="E241" t="inlineStr">
        <is>
          <t>49316638994</t>
        </is>
      </c>
      <c r="F241" t="inlineStr">
        <is>
          <t>2026-01-20 16:56:42</t>
        </is>
      </c>
      <c r="G241" t="inlineStr">
        <is>
          <t>图文</t>
        </is>
      </c>
      <c r="H241" t="inlineStr">
        <is>
          <t>生蚝乳山生蚝海蛎子顺丰包邮</t>
        </is>
      </c>
      <c r="I241" t="inlineStr">
        <is>
          <t>690c70971b787900010866cc</t>
        </is>
      </c>
      <c r="J241" t="inlineStr">
        <is>
          <t/>
        </is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inlineStr">
        <is>
          <t/>
        </is>
      </c>
      <c r="R241" t="inlineStr">
        <is>
          <t/>
        </is>
      </c>
      <c r="S241" t="n">
        <v>0.0</v>
      </c>
      <c r="T241" t="n">
        <v>0.0</v>
      </c>
      <c r="U241" t="n">
        <v>0.0</v>
      </c>
      <c r="V241" t="n">
        <v>0.0</v>
      </c>
      <c r="W241" t="inlineStr">
        <is>
          <t/>
        </is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1.0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5.0</v>
      </c>
      <c r="AL241" t="inlineStr">
        <is>
          <t/>
        </is>
      </c>
    </row>
    <row r="242">
      <c r="A242" t="inlineStr">
        <is>
          <t>轻松征服所有三文鱼脑袋🐟～</t>
        </is>
      </c>
      <c r="B242" t="inlineStr">
        <is>
          <t>6950881b000000001e0355a5</t>
        </is>
      </c>
      <c r="C242" s="241" t="n">
        <f>HYPERLINK("https://www.xiaohongshu.com/explore/6950881b000000001e0355a5?xsec_token=TBZlsVk_u522I8N-JhGtRMDjLXf1070IVefsr9amfW0wE=&amp;xsec_source=pc_trdark","https://www.xiaohongshu.com/explore/6950881b000000001e0355a5?xsec_token=TBZlsVk_u522I8N-JhGtRMDjLXf1070IVefsr9amfW0wE=&amp;xsec_source=pc_trdark")</f>
        <v>0.0</v>
      </c>
      <c r="D242" t="inlineStr">
        <is>
          <t>鲜水湾</t>
        </is>
      </c>
      <c r="E242" t="inlineStr">
        <is>
          <t>49316638994</t>
        </is>
      </c>
      <c r="F242" t="inlineStr">
        <is>
          <t>2025-12-28 09:30:03</t>
        </is>
      </c>
      <c r="G242" t="inlineStr">
        <is>
          <t>图文</t>
        </is>
      </c>
      <c r="H242" t="inlineStr">
        <is>
          <t>智利三文鱼切块·整条三文鱼·深海鱼一人食健康饮食</t>
        </is>
      </c>
      <c r="I242" t="inlineStr">
        <is>
          <t>691ac562a524ee0001b51d7b</t>
        </is>
      </c>
      <c r="J242" t="inlineStr">
        <is>
          <t/>
        </is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inlineStr">
        <is>
          <t/>
        </is>
      </c>
      <c r="R242" t="inlineStr">
        <is>
          <t/>
        </is>
      </c>
      <c r="S242" t="n">
        <v>0.0</v>
      </c>
      <c r="T242" t="n">
        <v>0.0</v>
      </c>
      <c r="U242" t="n">
        <v>0.0</v>
      </c>
      <c r="V242" t="n">
        <v>0.0</v>
      </c>
      <c r="W242" t="inlineStr">
        <is>
          <t/>
        </is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1.0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2.0</v>
      </c>
      <c r="AL242" t="inlineStr">
        <is>
          <t/>
        </is>
      </c>
    </row>
    <row r="243">
      <c r="A243" t="inlineStr">
        <is>
          <t>区区300多，承包了我一个月的减脂餐</t>
        </is>
      </c>
      <c r="B243" t="inlineStr">
        <is>
          <t>694ff17d000000001e032ce6</t>
        </is>
      </c>
      <c r="C243" s="242" t="n">
        <f>HYPERLINK("https://www.xiaohongshu.com/explore/694ff17d000000001e032ce6?xsec_token=TBw7VvNlyMjIEifzsT4Z5tlE0BEdVjw__dTXCvF1jBl8Q=&amp;xsec_source=pc_trdark","https://www.xiaohongshu.com/explore/694ff17d000000001e032ce6?xsec_token=TBw7VvNlyMjIEifzsT4Z5tlE0BEdVjw__dTXCvF1jBl8Q=&amp;xsec_source=pc_trdark")</f>
        <v>0.0</v>
      </c>
      <c r="D243" t="inlineStr">
        <is>
          <t>鲜水湾</t>
        </is>
      </c>
      <c r="E243" t="inlineStr">
        <is>
          <t>49316638994</t>
        </is>
      </c>
      <c r="F243" t="inlineStr">
        <is>
          <t>2025-12-27 22:47:25</t>
        </is>
      </c>
      <c r="G243" t="inlineStr">
        <is>
          <t>图文</t>
        </is>
      </c>
      <c r="H243" t="inlineStr">
        <is>
          <t>智利三文鱼切块·整条三文鱼·深海鱼一人食健康饮食</t>
        </is>
      </c>
      <c r="I243" t="inlineStr">
        <is>
          <t>691ac562a524ee0001b51d7b</t>
        </is>
      </c>
      <c r="J243" t="inlineStr">
        <is>
          <t/>
        </is>
      </c>
      <c r="K243" t="n">
        <v>0.0</v>
      </c>
      <c r="L243" t="n">
        <v>0.0</v>
      </c>
      <c r="M243" t="n">
        <v>1.0</v>
      </c>
      <c r="N243" t="n">
        <v>1.0</v>
      </c>
      <c r="O243" t="n">
        <v>1.0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inlineStr">
        <is>
          <t/>
        </is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1.0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11.0</v>
      </c>
      <c r="AL243" t="inlineStr">
        <is>
          <t/>
        </is>
      </c>
    </row>
    <row r="244">
      <c r="A244" t="inlineStr">
        <is>
          <t>一个能撑s人但热量很低的东西。。。</t>
        </is>
      </c>
      <c r="B244" t="inlineStr">
        <is>
          <t>694b9383000000001e02b06a</t>
        </is>
      </c>
      <c r="C244" s="243" t="n">
        <f>HYPERLINK("https://www.xiaohongshu.com/explore/694b9383000000001e02b06a?xsec_token=TBJ1d3lsVKl7u73DozgnzSfmUOTWyfGc24kG22x1W9xTc=&amp;xsec_source=pc_trdark","https://www.xiaohongshu.com/explore/694b9383000000001e02b06a?xsec_token=TBJ1d3lsVKl7u73DozgnzSfmUOTWyfGc24kG22x1W9xTc=&amp;xsec_source=pc_trdark")</f>
        <v>0.0</v>
      </c>
      <c r="D244" t="inlineStr">
        <is>
          <t>鲜水湾</t>
        </is>
      </c>
      <c r="E244" t="inlineStr">
        <is>
          <t>49316638994</t>
        </is>
      </c>
      <c r="F244" t="inlineStr">
        <is>
          <t>2025-12-24 15:17:23</t>
        </is>
      </c>
      <c r="G244" t="inlineStr">
        <is>
          <t>图文</t>
        </is>
      </c>
      <c r="H244" t="inlineStr">
        <is>
          <t>大虾基围虾王牌大虾厄瓜多尔白虾盐冻虾仁海洋大虾送礼顺丰包邮</t>
        </is>
      </c>
      <c r="I244" t="inlineStr">
        <is>
          <t>690aeb7be379430001e686ac</t>
        </is>
      </c>
      <c r="J244" t="inlineStr">
        <is>
          <t/>
        </is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inlineStr">
        <is>
          <t/>
        </is>
      </c>
      <c r="R244" t="inlineStr">
        <is>
          <t/>
        </is>
      </c>
      <c r="S244" t="n">
        <v>0.0</v>
      </c>
      <c r="T244" t="n">
        <v>0.0</v>
      </c>
      <c r="U244" t="n">
        <v>0.0</v>
      </c>
      <c r="V244" t="n">
        <v>0.0</v>
      </c>
      <c r="W244" t="inlineStr">
        <is>
          <t/>
        </is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1.0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9.0</v>
      </c>
      <c r="AL244" t="inlineStr">
        <is>
          <t/>
        </is>
      </c>
    </row>
    <row r="245">
      <c r="A245" t="inlineStr">
        <is>
          <t>真心建议控体期的姐妹试试这个大虾</t>
        </is>
      </c>
      <c r="B245" t="inlineStr">
        <is>
          <t>69491155000000001e0213ee</t>
        </is>
      </c>
      <c r="C245" s="244" t="n">
        <f>HYPERLINK("https://www.xiaohongshu.com/explore/69491155000000001e0213ee?xsec_token=TB80OIxeN-ESXgJCMbPNqK1tjqJSn0Tu5ViSLBFSQ5H3o=&amp;xsec_source=pc_trdark","https://www.xiaohongshu.com/explore/69491155000000001e0213ee?xsec_token=TB80OIxeN-ESXgJCMbPNqK1tjqJSn0Tu5ViSLBFSQ5H3o=&amp;xsec_source=pc_trdark")</f>
        <v>0.0</v>
      </c>
      <c r="D245" t="inlineStr">
        <is>
          <t>鲜水湾</t>
        </is>
      </c>
      <c r="E245" t="inlineStr">
        <is>
          <t>49316638994</t>
        </is>
      </c>
      <c r="F245" t="inlineStr">
        <is>
          <t>2025-12-22 17:37:25</t>
        </is>
      </c>
      <c r="G245" t="inlineStr">
        <is>
          <t>图文</t>
        </is>
      </c>
      <c r="H245" t="inlineStr">
        <is>
          <t>大虾基围虾王牌大虾厄瓜多尔白虾盐冻虾仁海洋大虾送礼顺丰包邮</t>
        </is>
      </c>
      <c r="I245" t="inlineStr">
        <is>
          <t>690aeb7be379430001e686ac</t>
        </is>
      </c>
      <c r="J245" t="inlineStr">
        <is>
          <t/>
        </is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inlineStr">
        <is>
          <t/>
        </is>
      </c>
      <c r="R245" t="inlineStr">
        <is>
          <t/>
        </is>
      </c>
      <c r="S245" t="n">
        <v>0.0</v>
      </c>
      <c r="T245" t="n">
        <v>0.0</v>
      </c>
      <c r="U245" t="n">
        <v>0.0</v>
      </c>
      <c r="V245" t="n">
        <v>0.0</v>
      </c>
      <c r="W245" t="inlineStr">
        <is>
          <t/>
        </is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1.0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3.0</v>
      </c>
      <c r="AL245" t="inlineStr">
        <is>
          <t/>
        </is>
      </c>
    </row>
    <row r="246">
      <c r="A246" t="inlineStr">
        <is>
          <t>回购3次的大虾，好吃到停不下来😋</t>
        </is>
      </c>
      <c r="B246" t="inlineStr">
        <is>
          <t>694514ff000000001f00b732</t>
        </is>
      </c>
      <c r="C246" s="245" t="n">
        <f>HYPERLINK("https://www.xiaohongshu.com/explore/694514ff000000001f00b732?xsec_token=TB7p1vWXvB33zoX2lon7HfpVu_gszwnkk-ftBfZMOgQXs=&amp;xsec_source=pc_trdark","https://www.xiaohongshu.com/explore/694514ff000000001f00b732?xsec_token=TB7p1vWXvB33zoX2lon7HfpVu_gszwnkk-ftBfZMOgQXs=&amp;xsec_source=pc_trdark")</f>
        <v>0.0</v>
      </c>
      <c r="D246" t="inlineStr">
        <is>
          <t>鲜水湾</t>
        </is>
      </c>
      <c r="E246" t="inlineStr">
        <is>
          <t>49316638994</t>
        </is>
      </c>
      <c r="F246" t="inlineStr">
        <is>
          <t>2025-12-19 17:03:59</t>
        </is>
      </c>
      <c r="G246" t="inlineStr">
        <is>
          <t>图文</t>
        </is>
      </c>
      <c r="H246" t="inlineStr">
        <is>
          <t>大虾基围虾王牌大虾厄瓜多尔白虾盐冻虾仁海洋大虾送礼顺丰包邮</t>
        </is>
      </c>
      <c r="I246" t="inlineStr">
        <is>
          <t>690aeb7be379430001e686ac</t>
        </is>
      </c>
      <c r="J246" t="inlineStr">
        <is>
          <t/>
        </is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inlineStr">
        <is>
          <t/>
        </is>
      </c>
      <c r="R246" t="inlineStr">
        <is>
          <t/>
        </is>
      </c>
      <c r="S246" t="n">
        <v>0.0</v>
      </c>
      <c r="T246" t="n">
        <v>0.0</v>
      </c>
      <c r="U246" t="n">
        <v>0.0</v>
      </c>
      <c r="V246" t="n">
        <v>0.0</v>
      </c>
      <c r="W246" t="inlineStr">
        <is>
          <t/>
        </is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1.0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5.0</v>
      </c>
      <c r="AL246" t="inlineStr">
        <is>
          <t/>
        </is>
      </c>
    </row>
    <row r="247">
      <c r="A247" t="inlineStr">
        <is>
          <t>我爸：大虾你就25一斤卖总会出单的</t>
        </is>
      </c>
      <c r="B247" t="inlineStr">
        <is>
          <t>6942b246000000001f006aec</t>
        </is>
      </c>
      <c r="C247" s="246" t="n">
        <f>HYPERLINK("https://www.xiaohongshu.com/explore/6942b246000000001f006aec?xsec_token=TB0tDM60Z2n8tclFaINyevIaVt7CMYfI-7ya499lFojHI=&amp;xsec_source=pc_trdark","https://www.xiaohongshu.com/explore/6942b246000000001f006aec?xsec_token=TB0tDM60Z2n8tclFaINyevIaVt7CMYfI-7ya499lFojHI=&amp;xsec_source=pc_trdark")</f>
        <v>0.0</v>
      </c>
      <c r="D247" t="inlineStr">
        <is>
          <t>鲜水湾</t>
        </is>
      </c>
      <c r="E247" t="inlineStr">
        <is>
          <t>49316638994</t>
        </is>
      </c>
      <c r="F247" t="inlineStr">
        <is>
          <t>2025-12-17 21:38:14</t>
        </is>
      </c>
      <c r="G247" t="inlineStr">
        <is>
          <t>图文</t>
        </is>
      </c>
      <c r="H247" t="inlineStr">
        <is>
          <t>大虾基围虾王牌大虾厄瓜多尔白虾盐冻虾仁海洋大虾送礼顺丰包邮</t>
        </is>
      </c>
      <c r="I247" t="inlineStr">
        <is>
          <t>690aeb7be379430001e686ac</t>
        </is>
      </c>
      <c r="J247" t="inlineStr">
        <is>
          <t/>
        </is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inlineStr">
        <is>
          <t/>
        </is>
      </c>
      <c r="R247" t="inlineStr">
        <is>
          <t/>
        </is>
      </c>
      <c r="S247" t="n">
        <v>0.0</v>
      </c>
      <c r="T247" t="n">
        <v>0.0</v>
      </c>
      <c r="U247" t="n">
        <v>0.0</v>
      </c>
      <c r="V247" t="n">
        <v>0.0</v>
      </c>
      <c r="W247" t="inlineStr">
        <is>
          <t/>
        </is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1.0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7.0</v>
      </c>
      <c r="AL247" t="inlineStr">
        <is>
          <t/>
        </is>
      </c>
    </row>
    <row r="248">
      <c r="A248" t="inlineStr">
        <is>
          <t>已瘦30斤｜吃的简单真的会掉秤🫢</t>
        </is>
      </c>
      <c r="B248" t="inlineStr">
        <is>
          <t>693e0ff8000000001f008447</t>
        </is>
      </c>
      <c r="C248" s="247" t="n">
        <f>HYPERLINK("https://www.xiaohongshu.com/explore/693e0ff8000000001f008447?xsec_token=TBoM4IjxTW7h2pIceDY6ppQN8E9_r3iSLz0clFCwov7IM=&amp;xsec_source=pc_trdark","https://www.xiaohongshu.com/explore/693e0ff8000000001f008447?xsec_token=TBoM4IjxTW7h2pIceDY6ppQN8E9_r3iSLz0clFCwov7IM=&amp;xsec_source=pc_trdark")</f>
        <v>0.0</v>
      </c>
      <c r="D248" t="inlineStr">
        <is>
          <t>鲜水湾</t>
        </is>
      </c>
      <c r="E248" t="inlineStr">
        <is>
          <t>49316638994</t>
        </is>
      </c>
      <c r="F248" t="inlineStr">
        <is>
          <t>2025-12-14 09:16:40</t>
        </is>
      </c>
      <c r="G248" t="inlineStr">
        <is>
          <t>图文</t>
        </is>
      </c>
      <c r="H248" t="inlineStr">
        <is>
          <t>大虾基围虾王牌大虾厄瓜多尔白虾盐冻虾仁海洋大虾送礼顺丰包邮</t>
        </is>
      </c>
      <c r="I248" t="inlineStr">
        <is>
          <t>690aeb7be379430001e686ac</t>
        </is>
      </c>
      <c r="J248" t="inlineStr">
        <is>
          <t/>
        </is>
      </c>
      <c r="K248" t="n">
        <v>0.0</v>
      </c>
      <c r="L248" t="n">
        <v>0.0</v>
      </c>
      <c r="M248" t="n">
        <v>1.0</v>
      </c>
      <c r="N248" t="n">
        <v>1.0</v>
      </c>
      <c r="O248" t="n">
        <v>1.0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inlineStr">
        <is>
          <t/>
        </is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1.0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10.0</v>
      </c>
      <c r="AL248" t="inlineStr">
        <is>
          <t/>
        </is>
      </c>
    </row>
    <row r="249">
      <c r="A249" t="inlineStr">
        <is>
          <t>太喜欢小红书了！比山姆还实惠</t>
        </is>
      </c>
      <c r="B249" t="inlineStr">
        <is>
          <t>69367f13000000001f005aef</t>
        </is>
      </c>
      <c r="C249" s="248" t="n">
        <f>HYPERLINK("https://www.xiaohongshu.com/explore/69367f13000000001f005aef?xsec_token=TBlR01uRP0dY963Q_AxX8vHBOKSHOJrXd3qrdXkuvz998=&amp;xsec_source=pc_trdark","https://www.xiaohongshu.com/explore/69367f13000000001f005aef?xsec_token=TBlR01uRP0dY963Q_AxX8vHBOKSHOJrXd3qrdXkuvz998=&amp;xsec_source=pc_trdark")</f>
        <v>0.0</v>
      </c>
      <c r="D249" t="inlineStr">
        <is>
          <t>鲜水湾</t>
        </is>
      </c>
      <c r="E249" t="inlineStr">
        <is>
          <t>49316638994</t>
        </is>
      </c>
      <c r="F249" t="inlineStr">
        <is>
          <t>2025-12-08 15:32:35</t>
        </is>
      </c>
      <c r="G249" t="inlineStr">
        <is>
          <t>图文</t>
        </is>
      </c>
      <c r="H249" t="inlineStr">
        <is>
          <t>智利三文鱼切块·整条三文鱼·深海鱼一人食健康饮食</t>
        </is>
      </c>
      <c r="I249" t="inlineStr">
        <is>
          <t>691ac562a524ee0001b51d7b</t>
        </is>
      </c>
      <c r="J249" t="inlineStr">
        <is>
          <t/>
        </is>
      </c>
      <c r="K249" t="n">
        <v>0.0</v>
      </c>
      <c r="L249" t="n">
        <v>0.0</v>
      </c>
      <c r="M249" t="n">
        <v>1.0</v>
      </c>
      <c r="N249" t="n">
        <v>1.0</v>
      </c>
      <c r="O249" t="n">
        <v>1.0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inlineStr">
        <is>
          <t/>
        </is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1.0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16.0</v>
      </c>
      <c r="AL249" t="inlineStr">
        <is>
          <t/>
        </is>
      </c>
    </row>
    <row r="250">
      <c r="A250" t="inlineStr">
        <is>
          <t>在小红书买的！真的很大</t>
        </is>
      </c>
      <c r="B250" t="inlineStr">
        <is>
          <t>6933f4de000000001e038f25</t>
        </is>
      </c>
      <c r="C250" s="249" t="n">
        <f>HYPERLINK("https://www.xiaohongshu.com/explore/6933f4de000000001e038f25?xsec_token=TBtLw60d0rN_yGhfj7_ewzhaErhxGeKt1pf82ET8B8U6M=&amp;xsec_source=pc_trdark","https://www.xiaohongshu.com/explore/6933f4de000000001e038f25?xsec_token=TBtLw60d0rN_yGhfj7_ewzhaErhxGeKt1pf82ET8B8U6M=&amp;xsec_source=pc_trdark")</f>
        <v>0.0</v>
      </c>
      <c r="D250" t="inlineStr">
        <is>
          <t>鲜水湾</t>
        </is>
      </c>
      <c r="E250" t="inlineStr">
        <is>
          <t>49316638994</t>
        </is>
      </c>
      <c r="F250" t="inlineStr">
        <is>
          <t>2025-12-06 17:18:22</t>
        </is>
      </c>
      <c r="G250" t="inlineStr">
        <is>
          <t>图文</t>
        </is>
      </c>
      <c r="H250" t="inlineStr">
        <is>
          <t>智利三文鱼切块·整条三文鱼·深海鱼一人食健康饮食</t>
        </is>
      </c>
      <c r="I250" t="inlineStr">
        <is>
          <t>691ac562a524ee0001b51d7b</t>
        </is>
      </c>
      <c r="J250" t="inlineStr">
        <is>
          <t/>
        </is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inlineStr">
        <is>
          <t/>
        </is>
      </c>
      <c r="R250" t="inlineStr">
        <is>
          <t/>
        </is>
      </c>
      <c r="S250" t="n">
        <v>0.0</v>
      </c>
      <c r="T250" t="n">
        <v>0.0</v>
      </c>
      <c r="U250" t="n">
        <v>0.0</v>
      </c>
      <c r="V250" t="n">
        <v>0.0</v>
      </c>
      <c r="W250" t="inlineStr">
        <is>
          <t/>
        </is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1.0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1.0</v>
      </c>
      <c r="AL250" t="inlineStr">
        <is>
          <t/>
        </is>
      </c>
    </row>
    <row r="251">
      <c r="A251" t="inlineStr">
        <is>
          <t>为什么网上减脂的人很少吃虾啊？</t>
        </is>
      </c>
      <c r="B251" t="inlineStr">
        <is>
          <t>69287242000000001e02637f</t>
        </is>
      </c>
      <c r="C251" s="250" t="n">
        <f>HYPERLINK("https://www.xiaohongshu.com/explore/69287242000000001e02637f?xsec_token=TB7YCQGJ8vrzp8yv38IzH520xd3NiOBFPrjaWgOz9Kc7A=&amp;xsec_source=pc_trdark","https://www.xiaohongshu.com/explore/69287242000000001e02637f?xsec_token=TB7YCQGJ8vrzp8yv38IzH520xd3NiOBFPrjaWgOz9Kc7A=&amp;xsec_source=pc_trdark")</f>
        <v>0.0</v>
      </c>
      <c r="D251" t="inlineStr">
        <is>
          <t>鲜水湾</t>
        </is>
      </c>
      <c r="E251" t="inlineStr">
        <is>
          <t>49316638994</t>
        </is>
      </c>
      <c r="F251" t="inlineStr">
        <is>
          <t>2025-11-27 23:46:10</t>
        </is>
      </c>
      <c r="G251" t="inlineStr">
        <is>
          <t>图文</t>
        </is>
      </c>
      <c r="H251" t="inlineStr">
        <is>
          <t>大虾基围虾王牌大虾厄瓜多尔白虾盐冻虾仁海洋大虾送礼顺丰包邮</t>
        </is>
      </c>
      <c r="I251" t="inlineStr">
        <is>
          <t>690aeb7be379430001e686ac</t>
        </is>
      </c>
      <c r="J251" t="inlineStr">
        <is>
          <t/>
        </is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inlineStr">
        <is>
          <t/>
        </is>
      </c>
      <c r="R251" t="inlineStr">
        <is>
          <t/>
        </is>
      </c>
      <c r="S251" t="n">
        <v>0.0</v>
      </c>
      <c r="T251" t="n">
        <v>0.0</v>
      </c>
      <c r="U251" t="n">
        <v>0.0</v>
      </c>
      <c r="V251" t="n">
        <v>0.0</v>
      </c>
      <c r="W251" t="inlineStr">
        <is>
          <t/>
        </is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1.0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3.0</v>
      </c>
      <c r="AL251" t="inlineStr">
        <is>
          <t/>
        </is>
      </c>
    </row>
    <row r="252">
      <c r="A252" t="inlineStr">
        <is>
          <t>向全世界安利我减脂期经常回购的大虾</t>
        </is>
      </c>
      <c r="B252" t="inlineStr">
        <is>
          <t>6925c1a9000000001e03b8a8</t>
        </is>
      </c>
      <c r="C252" s="251" t="n">
        <f>HYPERLINK("https://www.xiaohongshu.com/explore/6925c1a9000000001e03b8a8?xsec_token=TBVx22ZAFho_bBgysCIliGP5d16euiK77zamCeAqMcuTg=&amp;xsec_source=pc_trdark","https://www.xiaohongshu.com/explore/6925c1a9000000001e03b8a8?xsec_token=TBVx22ZAFho_bBgysCIliGP5d16euiK77zamCeAqMcuTg=&amp;xsec_source=pc_trdark")</f>
        <v>0.0</v>
      </c>
      <c r="D252" t="inlineStr">
        <is>
          <t>鲜水湾</t>
        </is>
      </c>
      <c r="E252" t="inlineStr">
        <is>
          <t>49316638994</t>
        </is>
      </c>
      <c r="F252" t="inlineStr">
        <is>
          <t>2025-11-25 22:48:09</t>
        </is>
      </c>
      <c r="G252" t="inlineStr">
        <is>
          <t>图文</t>
        </is>
      </c>
      <c r="H252" t="inlineStr">
        <is>
          <t>大虾基围虾王牌大虾厄瓜多尔白虾盐冻虾仁海洋大虾送礼顺丰包邮</t>
        </is>
      </c>
      <c r="I252" t="inlineStr">
        <is>
          <t>690aeb7be379430001e686ac</t>
        </is>
      </c>
      <c r="J252" t="inlineStr">
        <is>
          <t/>
        </is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inlineStr">
        <is>
          <t/>
        </is>
      </c>
      <c r="R252" t="inlineStr">
        <is>
          <t/>
        </is>
      </c>
      <c r="S252" t="n">
        <v>0.0</v>
      </c>
      <c r="T252" t="n">
        <v>0.0</v>
      </c>
      <c r="U252" t="n">
        <v>0.0</v>
      </c>
      <c r="V252" t="n">
        <v>0.0</v>
      </c>
      <c r="W252" t="inlineStr">
        <is>
          <t/>
        </is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1.0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3.0</v>
      </c>
      <c r="AL252" t="inlineStr">
        <is>
          <t/>
        </is>
      </c>
    </row>
    <row r="253">
      <c r="A253" t="inlineStr">
        <is>
          <t>我爸说：海捕大虾你早卖24一斤，早就爆单了❗️</t>
        </is>
      </c>
      <c r="B253" t="inlineStr">
        <is>
          <t>6924018a000000001f00bee4</t>
        </is>
      </c>
      <c r="C253" s="252" t="n">
        <f>HYPERLINK("https://www.xiaohongshu.com/explore/6924018a000000001f00bee4?xsec_token=TB0c3tEqPt7plwTa5OTb5KF2vD7fofgLkVLTt7KAa-wig=&amp;xsec_source=pc_trdark","https://www.xiaohongshu.com/explore/6924018a000000001f00bee4?xsec_token=TB0c3tEqPt7plwTa5OTb5KF2vD7fofgLkVLTt7KAa-wig=&amp;xsec_source=pc_trdark")</f>
        <v>0.0</v>
      </c>
      <c r="D253" t="inlineStr">
        <is>
          <t>鲜水湾</t>
        </is>
      </c>
      <c r="E253" t="inlineStr">
        <is>
          <t>49316638994</t>
        </is>
      </c>
      <c r="F253" t="inlineStr">
        <is>
          <t>2025-11-24 14:56:10</t>
        </is>
      </c>
      <c r="G253" t="inlineStr">
        <is>
          <t>图文</t>
        </is>
      </c>
      <c r="H253" t="inlineStr">
        <is>
          <t>大虾基围虾王牌大虾厄瓜多尔白虾盐冻虾仁海洋大虾送礼顺丰包邮</t>
        </is>
      </c>
      <c r="I253" t="inlineStr">
        <is>
          <t>690aeb7be379430001e686ac</t>
        </is>
      </c>
      <c r="J253" t="inlineStr">
        <is>
          <t/>
        </is>
      </c>
      <c r="K253" t="n">
        <v>0.0</v>
      </c>
      <c r="L253" t="n">
        <v>0.0</v>
      </c>
      <c r="M253" t="n">
        <v>1.0</v>
      </c>
      <c r="N253" t="n">
        <v>1.0</v>
      </c>
      <c r="O253" t="n">
        <v>1.0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inlineStr">
        <is>
          <t/>
        </is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1.0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6.0</v>
      </c>
      <c r="AL253" t="inlineStr">
        <is>
          <t/>
        </is>
      </c>
    </row>
    <row r="254">
      <c r="A254" t="inlineStr">
        <is>
          <t>一个能撑死人，但热量很低的东西</t>
        </is>
      </c>
      <c r="B254" t="inlineStr">
        <is>
          <t>69231eff000000001e022941</t>
        </is>
      </c>
      <c r="C254" s="253" t="n">
        <f>HYPERLINK("https://www.xiaohongshu.com/explore/69231eff000000001e022941?xsec_token=TBBxL79LDzc6WqpUNHJD-EhcFqaVjs_EY-zYiTuVgkqhk=&amp;xsec_source=pc_trdark","https://www.xiaohongshu.com/explore/69231eff000000001e022941?xsec_token=TBBxL79LDzc6WqpUNHJD-EhcFqaVjs_EY-zYiTuVgkqhk=&amp;xsec_source=pc_trdark")</f>
        <v>0.0</v>
      </c>
      <c r="D254" t="inlineStr">
        <is>
          <t>鲜水湾</t>
        </is>
      </c>
      <c r="E254" t="inlineStr">
        <is>
          <t>49316638994</t>
        </is>
      </c>
      <c r="F254" t="inlineStr">
        <is>
          <t>2025-11-23 22:49:35</t>
        </is>
      </c>
      <c r="G254" t="inlineStr">
        <is>
          <t>图文</t>
        </is>
      </c>
      <c r="H254" t="inlineStr">
        <is>
          <t>大虾基围虾王牌大虾厄瓜多尔白虾盐冻虾仁海洋大虾送礼顺丰包邮</t>
        </is>
      </c>
      <c r="I254" t="inlineStr">
        <is>
          <t>690aeb7be379430001e686ac</t>
        </is>
      </c>
      <c r="J254" t="inlineStr">
        <is>
          <t/>
        </is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inlineStr">
        <is>
          <t/>
        </is>
      </c>
      <c r="R254" t="inlineStr">
        <is>
          <t/>
        </is>
      </c>
      <c r="S254" t="n">
        <v>0.0</v>
      </c>
      <c r="T254" t="n">
        <v>0.0</v>
      </c>
      <c r="U254" t="n">
        <v>0.0</v>
      </c>
      <c r="V254" t="n">
        <v>0.0</v>
      </c>
      <c r="W254" t="inlineStr">
        <is>
          <t/>
        </is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1.0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3.0</v>
      </c>
      <c r="AL254" t="inlineStr">
        <is>
          <t/>
        </is>
      </c>
    </row>
    <row r="255">
      <c r="A255" t="inlineStr">
        <is>
          <t>我爸说便宜卖吧，反正就这一季 59.9五斤</t>
        </is>
      </c>
      <c r="B255" t="inlineStr">
        <is>
          <t>691ebdcb000000001e002b14</t>
        </is>
      </c>
      <c r="C255" s="254" t="n">
        <f>HYPERLINK("https://www.xiaohongshu.com/explore/691ebdcb000000001e002b14?xsec_token=TBP5gqTrG7DCZJhae0kWWz8MreBPBR2VXWtg4UwlogV50=&amp;xsec_source=pc_trdark","https://www.xiaohongshu.com/explore/691ebdcb000000001e002b14?xsec_token=TBP5gqTrG7DCZJhae0kWWz8MreBPBR2VXWtg4UwlogV50=&amp;xsec_source=pc_trdark")</f>
        <v>0.0</v>
      </c>
      <c r="D255" t="inlineStr">
        <is>
          <t>婉婉上班吃什么</t>
        </is>
      </c>
      <c r="E255" t="inlineStr">
        <is>
          <t>11434449706</t>
        </is>
      </c>
      <c r="F255" t="inlineStr">
        <is>
          <t>2025-11-20 15:05:47</t>
        </is>
      </c>
      <c r="G255" t="inlineStr">
        <is>
          <t>视频</t>
        </is>
      </c>
      <c r="H255" t="inlineStr">
        <is>
          <t>生蚝乳山生蚝海蛎子顺丰包邮</t>
        </is>
      </c>
      <c r="I255" t="inlineStr">
        <is>
          <t>690c70971b787900010866cc</t>
        </is>
      </c>
      <c r="J255" t="n">
        <v>30.0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inlineStr">
        <is>
          <t/>
        </is>
      </c>
      <c r="R255" t="inlineStr">
        <is>
          <t/>
        </is>
      </c>
      <c r="S255" t="n">
        <v>0.0</v>
      </c>
      <c r="T255" t="n">
        <v>0.0</v>
      </c>
      <c r="U255" t="n">
        <v>0.0</v>
      </c>
      <c r="V255" t="n">
        <v>0.0</v>
      </c>
      <c r="W255" t="inlineStr">
        <is>
          <t/>
        </is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1.0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</row>
    <row r="256">
      <c r="A256" t="inlineStr">
        <is>
          <t>新店开业❗️69.9💰3斤海洋大虾</t>
        </is>
      </c>
      <c r="B256" t="inlineStr">
        <is>
          <t>691dce53000000001e02d187</t>
        </is>
      </c>
      <c r="C256" s="255" t="n">
        <f>HYPERLINK("https://www.xiaohongshu.com/explore/691dce53000000001e02d187?xsec_token=TBfJie4P5Jl9AylR95m8dPVDgQ-Ha3QDdSqFX56jLyr08=&amp;xsec_source=pc_trdark","https://www.xiaohongshu.com/explore/691dce53000000001e02d187?xsec_token=TBfJie4P5Jl9AylR95m8dPVDgQ-Ha3QDdSqFX56jLyr08=&amp;xsec_source=pc_trdark")</f>
        <v>0.0</v>
      </c>
      <c r="D256" t="inlineStr">
        <is>
          <t>鲜水湾</t>
        </is>
      </c>
      <c r="E256" t="inlineStr">
        <is>
          <t>49316638994</t>
        </is>
      </c>
      <c r="F256" t="inlineStr">
        <is>
          <t>2025-11-19 22:04:03</t>
        </is>
      </c>
      <c r="G256" t="inlineStr">
        <is>
          <t>图文</t>
        </is>
      </c>
      <c r="H256" t="inlineStr">
        <is>
          <t>大虾基围虾王牌大虾厄瓜多尔白虾盐冻虾仁海洋大虾送礼顺丰包邮</t>
        </is>
      </c>
      <c r="I256" t="inlineStr">
        <is>
          <t>690aeb7be379430001e686ac</t>
        </is>
      </c>
      <c r="J256" t="inlineStr">
        <is>
          <t/>
        </is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inlineStr">
        <is>
          <t/>
        </is>
      </c>
      <c r="R256" t="inlineStr">
        <is>
          <t/>
        </is>
      </c>
      <c r="S256" t="n">
        <v>0.0</v>
      </c>
      <c r="T256" t="n">
        <v>0.0</v>
      </c>
      <c r="U256" t="n">
        <v>0.0</v>
      </c>
      <c r="V256" t="n">
        <v>0.0</v>
      </c>
      <c r="W256" t="inlineStr">
        <is>
          <t/>
        </is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1.0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21.0</v>
      </c>
      <c r="AL256" t="inlineStr">
        <is>
          <t/>
        </is>
      </c>
    </row>
    <row r="257">
      <c r="A257" t="inlineStr">
        <is>
          <t>对60几块钱的概念越来越模糊了</t>
        </is>
      </c>
      <c r="B257" t="inlineStr">
        <is>
          <t>69183e3c0000000004006b70</t>
        </is>
      </c>
      <c r="C257" s="256" t="n">
        <f>HYPERLINK("https://www.xiaohongshu.com/explore/69183e3c0000000004006b70?xsec_token=TB2jG8LClQLNxZisl2ii_FqC3p32S6OzT1pH3_buH1iFI=&amp;xsec_source=pc_trdark","https://www.xiaohongshu.com/explore/69183e3c0000000004006b70?xsec_token=TB2jG8LClQLNxZisl2ii_FqC3p32S6OzT1pH3_buH1iFI=&amp;xsec_source=pc_trdark")</f>
        <v>0.0</v>
      </c>
      <c r="D257" t="inlineStr">
        <is>
          <t>鲜水湾</t>
        </is>
      </c>
      <c r="E257" t="inlineStr">
        <is>
          <t>49316638994</t>
        </is>
      </c>
      <c r="F257" t="inlineStr">
        <is>
          <t>2025-11-15 16:47:56</t>
        </is>
      </c>
      <c r="G257" t="inlineStr">
        <is>
          <t>图文</t>
        </is>
      </c>
      <c r="H257" t="inlineStr">
        <is>
          <t>大虾基围虾王牌大虾厄瓜多尔白虾盐冻虾仁海洋大虾送礼顺丰包邮</t>
        </is>
      </c>
      <c r="I257" t="inlineStr">
        <is>
          <t>690aeb7be379430001e686ac</t>
        </is>
      </c>
      <c r="J257" t="inlineStr">
        <is>
          <t/>
        </is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inlineStr">
        <is>
          <t/>
        </is>
      </c>
      <c r="R257" t="inlineStr">
        <is>
          <t/>
        </is>
      </c>
      <c r="S257" t="n">
        <v>0.0</v>
      </c>
      <c r="T257" t="n">
        <v>0.0</v>
      </c>
      <c r="U257" t="n">
        <v>0.0</v>
      </c>
      <c r="V257" t="n">
        <v>0.0</v>
      </c>
      <c r="W257" t="inlineStr">
        <is>
          <t/>
        </is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1.0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2.0</v>
      </c>
      <c r="AL257" t="inlineStr">
        <is>
          <t/>
        </is>
      </c>
    </row>
    <row r="258">
      <c r="A258" t="inlineStr">
        <is>
          <t>太香了！60几块就能买满满一箱大虾！</t>
        </is>
      </c>
      <c r="B258" t="inlineStr">
        <is>
          <t>69149d800000000004029271</t>
        </is>
      </c>
      <c r="C258" s="257" t="n">
        <f>HYPERLINK("https://www.xiaohongshu.com/explore/69149d800000000004029271?xsec_token=TBaXvlcWwd_4ttBIqZOUWAkxG2PWnf14AsrVjjjB_-7ek=&amp;xsec_source=pc_trdark","https://www.xiaohongshu.com/explore/69149d800000000004029271?xsec_token=TBaXvlcWwd_4ttBIqZOUWAkxG2PWnf14AsrVjjjB_-7ek=&amp;xsec_source=pc_trdark")</f>
        <v>0.0</v>
      </c>
      <c r="D258" t="inlineStr">
        <is>
          <t>鲜水湾</t>
        </is>
      </c>
      <c r="E258" t="inlineStr">
        <is>
          <t>49316638994</t>
        </is>
      </c>
      <c r="F258" t="inlineStr">
        <is>
          <t>2025-11-12 22:45:20</t>
        </is>
      </c>
      <c r="G258" t="inlineStr">
        <is>
          <t>图文</t>
        </is>
      </c>
      <c r="H258" t="inlineStr">
        <is>
          <t>大虾基围虾王牌大虾厄瓜多尔白虾盐冻虾仁海洋大虾送礼顺丰包邮</t>
        </is>
      </c>
      <c r="I258" t="inlineStr">
        <is>
          <t>690aeb7be379430001e686ac</t>
        </is>
      </c>
      <c r="J258" t="inlineStr">
        <is>
          <t/>
        </is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inlineStr">
        <is>
          <t/>
        </is>
      </c>
      <c r="R258" t="inlineStr">
        <is>
          <t/>
        </is>
      </c>
      <c r="S258" t="n">
        <v>0.0</v>
      </c>
      <c r="T258" t="n">
        <v>0.0</v>
      </c>
      <c r="U258" t="n">
        <v>0.0</v>
      </c>
      <c r="V258" t="n">
        <v>0.0</v>
      </c>
      <c r="W258" t="inlineStr">
        <is>
          <t/>
        </is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1.0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10.0</v>
      </c>
      <c r="AL258" t="inlineStr">
        <is>
          <t/>
        </is>
      </c>
    </row>
    <row r="259">
      <c r="A259" t="inlineStr">
        <is>
          <t>没招了，我爸让我在网上卖，谁买啊🥲</t>
        </is>
      </c>
      <c r="B259" t="inlineStr">
        <is>
          <t>69141aad000000000700bda1</t>
        </is>
      </c>
      <c r="C259" s="258" t="n">
        <f>HYPERLINK("https://www.xiaohongshu.com/explore/69141aad000000000700bda1?xsec_token=TBaXvlcWwd_4ttBIqZOUWAk91Hv6khx9PhVzX9T74Lm0w=&amp;xsec_source=pc_trdark","https://www.xiaohongshu.com/explore/69141aad000000000700bda1?xsec_token=TBaXvlcWwd_4ttBIqZOUWAk91Hv6khx9PhVzX9T74Lm0w=&amp;xsec_source=pc_trdark")</f>
        <v>0.0</v>
      </c>
      <c r="D259" t="inlineStr">
        <is>
          <t>婉婉上班吃什么</t>
        </is>
      </c>
      <c r="E259" t="inlineStr">
        <is>
          <t>11434449706</t>
        </is>
      </c>
      <c r="F259" t="inlineStr">
        <is>
          <t>2025-11-12 13:27:09</t>
        </is>
      </c>
      <c r="G259" t="inlineStr">
        <is>
          <t>视频</t>
        </is>
      </c>
      <c r="H259" t="inlineStr">
        <is>
          <t>生蚝乳山生蚝海蛎子顺丰包邮</t>
        </is>
      </c>
      <c r="I259" t="inlineStr">
        <is>
          <t>690c70971b787900010866cc</t>
        </is>
      </c>
      <c r="J259" t="n">
        <v>19.0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inlineStr">
        <is>
          <t/>
        </is>
      </c>
      <c r="R259" t="inlineStr">
        <is>
          <t/>
        </is>
      </c>
      <c r="S259" t="n">
        <v>0.0</v>
      </c>
      <c r="T259" t="n">
        <v>0.0</v>
      </c>
      <c r="U259" t="n">
        <v>0.0</v>
      </c>
      <c r="V259" t="n">
        <v>0.0</v>
      </c>
      <c r="W259" t="inlineStr">
        <is>
          <t/>
        </is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1.0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11.0</v>
      </c>
      <c r="AL259" t="n">
        <v>0.0</v>
      </c>
    </row>
    <row r="260">
      <c r="A260" t="inlineStr">
        <is>
          <t>试吃之后发现！这大虾性价比太高了！</t>
        </is>
      </c>
      <c r="B260" t="inlineStr">
        <is>
          <t>6912fb9000000000070381c2</t>
        </is>
      </c>
      <c r="C260" s="259" t="n">
        <f>HYPERLINK("https://www.xiaohongshu.com/explore/6912fb9000000000070381c2?xsec_token=TBnZN0DmKGIQMnPXPN25j7p69jPzcOqG277sS6kgKXBY8=&amp;xsec_source=pc_trdark","https://www.xiaohongshu.com/explore/6912fb9000000000070381c2?xsec_token=TBnZN0DmKGIQMnPXPN25j7p69jPzcOqG277sS6kgKXBY8=&amp;xsec_source=pc_trdark")</f>
        <v>0.0</v>
      </c>
      <c r="D260" t="inlineStr">
        <is>
          <t>鲜水湾甄选</t>
        </is>
      </c>
      <c r="E260" t="inlineStr">
        <is>
          <t>27401929161</t>
        </is>
      </c>
      <c r="F260" t="inlineStr">
        <is>
          <t>2025-11-11 17:02:08</t>
        </is>
      </c>
      <c r="G260" t="inlineStr">
        <is>
          <t>图文</t>
        </is>
      </c>
      <c r="H260" t="inlineStr">
        <is>
          <t>大虾基围虾王牌大虾厄瓜多尔白虾盐冻虾仁海洋大虾送礼顺丰包邮</t>
        </is>
      </c>
      <c r="I260" t="inlineStr">
        <is>
          <t>690aeb7be379430001e686ac</t>
        </is>
      </c>
      <c r="J260" t="inlineStr">
        <is>
          <t/>
        </is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inlineStr">
        <is>
          <t/>
        </is>
      </c>
      <c r="R260" t="inlineStr">
        <is>
          <t/>
        </is>
      </c>
      <c r="S260" t="n">
        <v>0.0</v>
      </c>
      <c r="T260" t="n">
        <v>0.0</v>
      </c>
      <c r="U260" t="n">
        <v>0.0</v>
      </c>
      <c r="V260" t="n">
        <v>0.0</v>
      </c>
      <c r="W260" t="inlineStr">
        <is>
          <t/>
        </is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1.0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12.0</v>
      </c>
      <c r="AL260" t="inlineStr">
        <is>
          <t/>
        </is>
      </c>
    </row>
    <row r="261">
      <c r="A261" t="inlineStr">
        <is>
          <t>懂事的姐妹已经给男朋友安排起来了......</t>
        </is>
      </c>
      <c r="B261" t="inlineStr">
        <is>
          <t>6912caf4000000000301ad06</t>
        </is>
      </c>
      <c r="C261" s="260" t="n">
        <f>HYPERLINK("https://www.xiaohongshu.com/explore/6912caf4000000000301ad06?xsec_token=TBnZN0DmKGIQMnPXPN25j7p5Y62lX9J2JSUhOPF9i86vE=&amp;xsec_source=pc_trdark","https://www.xiaohongshu.com/explore/6912caf4000000000301ad06?xsec_token=TBnZN0DmKGIQMnPXPN25j7p5Y62lX9J2JSUhOPF9i86vE=&amp;xsec_source=pc_trdark")</f>
        <v>0.0</v>
      </c>
      <c r="D261" t="inlineStr">
        <is>
          <t>婉婉上班吃什么</t>
        </is>
      </c>
      <c r="E261" t="inlineStr">
        <is>
          <t>11434449706</t>
        </is>
      </c>
      <c r="F261" t="inlineStr">
        <is>
          <t>2025-11-11 13:34:44</t>
        </is>
      </c>
      <c r="G261" t="inlineStr">
        <is>
          <t>视频</t>
        </is>
      </c>
      <c r="H261" t="inlineStr">
        <is>
          <t>生蚝乳山生蚝海蛎子顺丰包邮</t>
        </is>
      </c>
      <c r="I261" t="inlineStr">
        <is>
          <t>690c70971b787900010866cc</t>
        </is>
      </c>
      <c r="J261" t="n">
        <v>24.0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inlineStr">
        <is>
          <t/>
        </is>
      </c>
      <c r="R261" t="inlineStr">
        <is>
          <t/>
        </is>
      </c>
      <c r="S261" t="n">
        <v>0.0</v>
      </c>
      <c r="T261" t="n">
        <v>0.0</v>
      </c>
      <c r="U261" t="n">
        <v>0.0</v>
      </c>
      <c r="V261" t="n">
        <v>0.0</v>
      </c>
      <c r="W261" t="inlineStr">
        <is>
          <t/>
        </is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1.0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111.0</v>
      </c>
      <c r="AL261" t="n">
        <v>0.8</v>
      </c>
    </row>
    <row r="262">
      <c r="A262" t="inlineStr">
        <is>
          <t>真的低估60多块的购买力，20多一斤赶紧冲</t>
        </is>
      </c>
      <c r="B262" t="inlineStr">
        <is>
          <t>691292660000000004007ce2</t>
        </is>
      </c>
      <c r="C262" s="261" t="n">
        <f>HYPERLINK("https://www.xiaohongshu.com/explore/691292660000000004007ce2?xsec_token=TBnZN0DmKGIQMnPXPN25j7pwWOMvxhl-fwhEn8oSqBanY=&amp;xsec_source=pc_trdark","https://www.xiaohongshu.com/explore/691292660000000004007ce2?xsec_token=TBnZN0DmKGIQMnPXPN25j7pwWOMvxhl-fwhEn8oSqBanY=&amp;xsec_source=pc_trdark")</f>
        <v>0.0</v>
      </c>
      <c r="D262" t="inlineStr">
        <is>
          <t>鲜水湾</t>
        </is>
      </c>
      <c r="E262" t="inlineStr">
        <is>
          <t>49316638994</t>
        </is>
      </c>
      <c r="F262" t="inlineStr">
        <is>
          <t>2025-11-11 09:33:26</t>
        </is>
      </c>
      <c r="G262" t="inlineStr">
        <is>
          <t>图文</t>
        </is>
      </c>
      <c r="H262" t="inlineStr">
        <is>
          <t>大虾基围虾王牌大虾厄瓜多尔白虾盐冻虾仁海洋大虾送礼顺丰包邮</t>
        </is>
      </c>
      <c r="I262" t="inlineStr">
        <is>
          <t>690aeb7be379430001e686ac</t>
        </is>
      </c>
      <c r="J262" t="inlineStr">
        <is>
          <t/>
        </is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inlineStr">
        <is>
          <t/>
        </is>
      </c>
      <c r="R262" t="inlineStr">
        <is>
          <t/>
        </is>
      </c>
      <c r="S262" t="n">
        <v>0.0</v>
      </c>
      <c r="T262" t="n">
        <v>0.0</v>
      </c>
      <c r="U262" t="n">
        <v>0.0</v>
      </c>
      <c r="V262" t="n">
        <v>0.0</v>
      </c>
      <c r="W262" t="inlineStr">
        <is>
          <t/>
        </is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1.0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2.0</v>
      </c>
      <c r="AL262" t="inlineStr">
        <is>
          <t/>
        </is>
      </c>
    </row>
    <row r="263">
      <c r="A263" t="inlineStr">
        <is>
          <t>没招了，我妈让我在网上卖，谁买啊🥲</t>
        </is>
      </c>
      <c r="B263" t="inlineStr">
        <is>
          <t>6911a66d0000000004002444</t>
        </is>
      </c>
      <c r="C263" s="262" t="n">
        <f>HYPERLINK("https://www.xiaohongshu.com/explore/6911a66d0000000004002444?xsec_token=TBrsrV1jnhRUA39f7gREfx-DSs2aoYkBZUAeponFZ3Bsc=&amp;xsec_source=pc_trdark","https://www.xiaohongshu.com/explore/6911a66d0000000004002444?xsec_token=TBrsrV1jnhRUA39f7gREfx-DSs2aoYkBZUAeponFZ3Bsc=&amp;xsec_source=pc_trdark")</f>
        <v>0.0</v>
      </c>
      <c r="D263" t="inlineStr">
        <is>
          <t>婉婉上班吃什么</t>
        </is>
      </c>
      <c r="E263" t="inlineStr">
        <is>
          <t>11434449706</t>
        </is>
      </c>
      <c r="F263" t="inlineStr">
        <is>
          <t>2025-11-10 16:46:37</t>
        </is>
      </c>
      <c r="G263" t="inlineStr">
        <is>
          <t>视频</t>
        </is>
      </c>
      <c r="H263" t="inlineStr">
        <is>
          <t>生蚝乳山生蚝海蛎子顺丰包邮</t>
        </is>
      </c>
      <c r="I263" t="inlineStr">
        <is>
          <t>690c70971b787900010866cc</t>
        </is>
      </c>
      <c r="J263" t="n">
        <v>14.0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inlineStr">
        <is>
          <t/>
        </is>
      </c>
      <c r="R263" t="inlineStr">
        <is>
          <t/>
        </is>
      </c>
      <c r="S263" t="n">
        <v>0.0</v>
      </c>
      <c r="T263" t="n">
        <v>0.0</v>
      </c>
      <c r="U263" t="n">
        <v>0.0</v>
      </c>
      <c r="V263" t="n">
        <v>0.0</v>
      </c>
      <c r="W263" t="inlineStr">
        <is>
          <t/>
        </is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1.0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118.0</v>
      </c>
      <c r="AL263" t="n">
        <v>0.8888888888888888</v>
      </c>
    </row>
    <row r="264">
      <c r="A264" t="inlineStr">
        <is>
          <t>原以为不便宜，其实60多三斤大虾太过瘾！</t>
        </is>
      </c>
      <c r="B264" t="inlineStr">
        <is>
          <t>6911558000000000040108e2</t>
        </is>
      </c>
      <c r="C264" s="263" t="n">
        <f>HYPERLINK("https://www.xiaohongshu.com/explore/6911558000000000040108e2?xsec_token=TBrsrV1jnhRUA39f7gREfx-FGlWHQ6Be4qbuClTbNxpnU=&amp;xsec_source=pc_trdark","https://www.xiaohongshu.com/explore/6911558000000000040108e2?xsec_token=TBrsrV1jnhRUA39f7gREfx-FGlWHQ6Be4qbuClTbNxpnU=&amp;xsec_source=pc_trdark")</f>
        <v>0.0</v>
      </c>
      <c r="D264" t="inlineStr">
        <is>
          <t>鲜水湾</t>
        </is>
      </c>
      <c r="E264" t="inlineStr">
        <is>
          <t>49316638994</t>
        </is>
      </c>
      <c r="F264" t="inlineStr">
        <is>
          <t>2025-11-10 11:01:20</t>
        </is>
      </c>
      <c r="G264" t="inlineStr">
        <is>
          <t>图文</t>
        </is>
      </c>
      <c r="H264" t="inlineStr">
        <is>
          <t>大虾基围虾王牌大虾厄瓜多尔白虾盐冻虾仁海洋大虾送礼顺丰包邮</t>
        </is>
      </c>
      <c r="I264" t="inlineStr">
        <is>
          <t>690aeb7be379430001e686ac</t>
        </is>
      </c>
      <c r="J264" t="inlineStr">
        <is>
          <t/>
        </is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inlineStr">
        <is>
          <t/>
        </is>
      </c>
      <c r="R264" t="inlineStr">
        <is>
          <t/>
        </is>
      </c>
      <c r="S264" t="n">
        <v>0.0</v>
      </c>
      <c r="T264" t="n">
        <v>0.0</v>
      </c>
      <c r="U264" t="n">
        <v>0.0</v>
      </c>
      <c r="V264" t="n">
        <v>0.0</v>
      </c>
      <c r="W264" t="inlineStr">
        <is>
          <t/>
        </is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1.0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inlineStr">
        <is>
          <t/>
        </is>
      </c>
    </row>
    <row r="265">
      <c r="A265" t="inlineStr">
        <is>
          <t>真的会谢🥲对60多块的购买力有了新概念</t>
        </is>
      </c>
      <c r="B265" t="inlineStr">
        <is>
          <t>690e0de20000000007017008</t>
        </is>
      </c>
      <c r="C265" s="264" t="n">
        <f>HYPERLINK("https://www.xiaohongshu.com/explore/690e0de20000000007017008?xsec_token=TBJajQDaP2lymAuuRX7yQPUerY7FmGIH6-pDM1Bboe-O0=&amp;xsec_source=pc_trdark","https://www.xiaohongshu.com/explore/690e0de20000000007017008?xsec_token=TBJajQDaP2lymAuuRX7yQPUerY7FmGIH6-pDM1Bboe-O0=&amp;xsec_source=pc_trdark")</f>
        <v>0.0</v>
      </c>
      <c r="D265" t="inlineStr">
        <is>
          <t>鲜水湾甄选</t>
        </is>
      </c>
      <c r="E265" t="inlineStr">
        <is>
          <t>27401929161</t>
        </is>
      </c>
      <c r="F265" t="inlineStr">
        <is>
          <t>2025-11-07 23:18:58</t>
        </is>
      </c>
      <c r="G265" t="inlineStr">
        <is>
          <t>图文</t>
        </is>
      </c>
      <c r="H265" t="inlineStr">
        <is>
          <t>大虾基围虾王牌大虾厄瓜多尔白虾盐冻虾仁海洋大虾送礼顺丰包邮</t>
        </is>
      </c>
      <c r="I265" t="inlineStr">
        <is>
          <t>690aeb7be379430001e686ac</t>
        </is>
      </c>
      <c r="J265" t="inlineStr">
        <is>
          <t/>
        </is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inlineStr">
        <is>
          <t/>
        </is>
      </c>
      <c r="R265" t="inlineStr">
        <is>
          <t/>
        </is>
      </c>
      <c r="S265" t="n">
        <v>0.0</v>
      </c>
      <c r="T265" t="n">
        <v>0.0</v>
      </c>
      <c r="U265" t="n">
        <v>0.0</v>
      </c>
      <c r="V265" t="n">
        <v>0.0</v>
      </c>
      <c r="W265" t="inlineStr">
        <is>
          <t/>
        </is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1.0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8.0</v>
      </c>
      <c r="AL265" t="inlineStr">
        <is>
          <t/>
        </is>
      </c>
    </row>
    <row r="266">
      <c r="A266" t="inlineStr">
        <is>
          <t>低估60多块的购买力了，不到1r💰1只</t>
        </is>
      </c>
      <c r="B266" t="inlineStr">
        <is>
          <t>690d87950000000004028206</t>
        </is>
      </c>
      <c r="C266" s="265" t="n">
        <f>HYPERLINK("https://www.xiaohongshu.com/explore/690d87950000000004028206?xsec_token=TBD_zEgNllAsWvESEGX2jOc95H7mvkGIKTjG-blduADj0=&amp;xsec_source=pc_trdark","https://www.xiaohongshu.com/explore/690d87950000000004028206?xsec_token=TBD_zEgNllAsWvESEGX2jOc95H7mvkGIKTjG-blduADj0=&amp;xsec_source=pc_trdark")</f>
        <v>0.0</v>
      </c>
      <c r="D266" t="inlineStr">
        <is>
          <t>鲜水湾</t>
        </is>
      </c>
      <c r="E266" t="inlineStr">
        <is>
          <t>49316638994</t>
        </is>
      </c>
      <c r="F266" t="inlineStr">
        <is>
          <t>2025-11-07 13:45:57</t>
        </is>
      </c>
      <c r="G266" t="inlineStr">
        <is>
          <t>图文</t>
        </is>
      </c>
      <c r="H266" t="inlineStr">
        <is>
          <t>大虾基围虾王牌大虾厄瓜多尔白虾盐冻虾仁海洋大虾送礼顺丰包邮</t>
        </is>
      </c>
      <c r="I266" t="inlineStr">
        <is>
          <t>690aeb7be379430001e686ac</t>
        </is>
      </c>
      <c r="J266" t="inlineStr">
        <is>
          <t/>
        </is>
      </c>
      <c r="K266" t="n">
        <v>0.0</v>
      </c>
      <c r="L266" t="n">
        <v>0.0</v>
      </c>
      <c r="M266" t="n">
        <v>1.0</v>
      </c>
      <c r="N266" t="n">
        <v>1.0</v>
      </c>
      <c r="O266" t="n">
        <v>1.0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inlineStr">
        <is>
          <t/>
        </is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1.0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4.0</v>
      </c>
      <c r="AL266" t="inlineStr">
        <is>
          <t/>
        </is>
      </c>
    </row>
    <row r="267">
      <c r="A267" t="inlineStr">
        <is>
          <t>低估60💰多块的购买力了不到1r一只</t>
        </is>
      </c>
      <c r="B267" t="inlineStr">
        <is>
          <t>690c9bfa000000000700c012</t>
        </is>
      </c>
      <c r="C267" s="266" t="n">
        <f>HYPERLINK("https://www.xiaohongshu.com/explore/690c9bfa000000000700c012?xsec_token=TBTB2S0a1UEDOz_-oBsbNp_hFYxMjciyx0QOf5AXMnI4E=&amp;xsec_source=pc_trdark","https://www.xiaohongshu.com/explore/690c9bfa000000000700c012?xsec_token=TBTB2S0a1UEDOz_-oBsbNp_hFYxMjciyx0QOf5AXMnI4E=&amp;xsec_source=pc_trdark")</f>
        <v>0.0</v>
      </c>
      <c r="D267" t="inlineStr">
        <is>
          <t>鲜水湾甄选</t>
        </is>
      </c>
      <c r="E267" t="inlineStr">
        <is>
          <t>27401929161</t>
        </is>
      </c>
      <c r="F267" t="inlineStr">
        <is>
          <t>2025-11-06 21:00:43</t>
        </is>
      </c>
      <c r="G267" t="inlineStr">
        <is>
          <t>图文</t>
        </is>
      </c>
      <c r="H267" t="inlineStr">
        <is>
          <t>大虾基围虾王牌大虾厄瓜多尔白虾盐冻虾仁海洋大虾送礼顺丰包邮</t>
        </is>
      </c>
      <c r="I267" t="inlineStr">
        <is>
          <t>690aeb7be379430001e686ac</t>
        </is>
      </c>
      <c r="J267" t="inlineStr">
        <is>
          <t/>
        </is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inlineStr">
        <is>
          <t/>
        </is>
      </c>
      <c r="R267" t="inlineStr">
        <is>
          <t/>
        </is>
      </c>
      <c r="S267" t="n">
        <v>0.0</v>
      </c>
      <c r="T267" t="n">
        <v>0.0</v>
      </c>
      <c r="U267" t="n">
        <v>0.0</v>
      </c>
      <c r="V267" t="n">
        <v>0.0</v>
      </c>
      <c r="W267" t="inlineStr">
        <is>
          <t/>
        </is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1.0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2.0</v>
      </c>
      <c r="AL267" t="inlineStr">
        <is>
          <t/>
        </is>
      </c>
    </row>
    <row r="268">
      <c r="A268" t="inlineStr">
        <is>
          <t>到季节了！这个乳山生蚝太肥了</t>
        </is>
      </c>
      <c r="B268" t="inlineStr">
        <is>
          <t>695542bc000000001e03711a</t>
        </is>
      </c>
      <c r="C268" s="267" t="n">
        <f>HYPERLINK("https://www.xiaohongshu.com/explore/695542bc000000001e03711a?xsec_token=TBIaTt8bDdfMemJ3dJpsBVNEpQGzC0cmx-IiY_YDjPRDI=&amp;xsec_source=pc_trdark","https://www.xiaohongshu.com/explore/695542bc000000001e03711a?xsec_token=TBIaTt8bDdfMemJ3dJpsBVNEpQGzC0cmx-IiY_YDjPRDI=&amp;xsec_source=pc_trdark")</f>
        <v>0.0</v>
      </c>
      <c r="D268" t="inlineStr">
        <is>
          <t>鲜水湾</t>
        </is>
      </c>
      <c r="E268" t="inlineStr">
        <is>
          <t>49316638994</t>
        </is>
      </c>
      <c r="F268" t="inlineStr">
        <is>
          <t>2025-12-31 23:35:24</t>
        </is>
      </c>
      <c r="G268" t="inlineStr">
        <is>
          <t>图文</t>
        </is>
      </c>
      <c r="H268" t="inlineStr">
        <is>
          <t>生蚝乳山生蚝海蛎子顺丰包邮</t>
        </is>
      </c>
      <c r="I268" t="inlineStr">
        <is>
          <t>690c70971b787900010866cc</t>
        </is>
      </c>
      <c r="J268" t="inlineStr">
        <is>
          <t/>
        </is>
      </c>
      <c r="K268" t="n">
        <v>0.0</v>
      </c>
      <c r="L268" t="n">
        <v>0.0</v>
      </c>
      <c r="M268" t="n">
        <v>0.0</v>
      </c>
      <c r="N268" t="inlineStr">
        <is>
          <t/>
        </is>
      </c>
      <c r="O268" t="n">
        <v>0.0</v>
      </c>
      <c r="P268" t="n">
        <v>0.0</v>
      </c>
      <c r="Q268" t="inlineStr">
        <is>
          <t/>
        </is>
      </c>
      <c r="R268" t="inlineStr">
        <is>
          <t/>
        </is>
      </c>
      <c r="S268" t="n">
        <v>0.0</v>
      </c>
      <c r="T268" t="n">
        <v>0.0</v>
      </c>
      <c r="U268" t="n">
        <v>0.0</v>
      </c>
      <c r="V268" t="n">
        <v>0.0</v>
      </c>
      <c r="W268" t="inlineStr">
        <is>
          <t/>
        </is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inlineStr">
        <is>
          <t/>
        </is>
      </c>
      <c r="AL268" t="inlineStr">
        <is>
          <t/>
        </is>
      </c>
    </row>
    <row r="269">
      <c r="A269" t="inlineStr">
        <is>
          <t>区区300多承包了我一个月的减脂餐😎</t>
        </is>
      </c>
      <c r="B269" t="inlineStr">
        <is>
          <t>694d4d55000000001e02f936</t>
        </is>
      </c>
      <c r="C269" s="268" t="n">
        <f>HYPERLINK("https://www.xiaohongshu.com/explore/694d4d55000000001e02f936?xsec_token=TBtwDoStOWWrqIzqfvN9e2OfBKKCe5OU5wm_XAyKnlIzM=&amp;xsec_source=pc_trdark","https://www.xiaohongshu.com/explore/694d4d55000000001e02f936?xsec_token=TBtwDoStOWWrqIzqfvN9e2OfBKKCe5OU5wm_XAyKnlIzM=&amp;xsec_source=pc_trdark")</f>
        <v>0.0</v>
      </c>
      <c r="D269" t="inlineStr">
        <is>
          <t>鲜水湾</t>
        </is>
      </c>
      <c r="E269" t="inlineStr">
        <is>
          <t>49316638994</t>
        </is>
      </c>
      <c r="F269" t="inlineStr">
        <is>
          <t>2025-12-25 22:42:29</t>
        </is>
      </c>
      <c r="G269" t="inlineStr">
        <is>
          <t>图文</t>
        </is>
      </c>
      <c r="H269" t="inlineStr">
        <is>
          <t>智利三文鱼切块·整条三文鱼·深海鱼一人食健康饮食</t>
        </is>
      </c>
      <c r="I269" t="inlineStr">
        <is>
          <t>691ac562a524ee0001b51d7b</t>
        </is>
      </c>
      <c r="J269" t="inlineStr">
        <is>
          <t/>
        </is>
      </c>
      <c r="K269" t="n">
        <v>0.0</v>
      </c>
      <c r="L269" t="n">
        <v>0.0</v>
      </c>
      <c r="M269" t="n">
        <v>0.0</v>
      </c>
      <c r="N269" t="inlineStr">
        <is>
          <t/>
        </is>
      </c>
      <c r="O269" t="n">
        <v>0.0</v>
      </c>
      <c r="P269" t="n">
        <v>0.0</v>
      </c>
      <c r="Q269" t="inlineStr">
        <is>
          <t/>
        </is>
      </c>
      <c r="R269" t="inlineStr">
        <is>
          <t/>
        </is>
      </c>
      <c r="S269" t="n">
        <v>0.0</v>
      </c>
      <c r="T269" t="n">
        <v>0.0</v>
      </c>
      <c r="U269" t="n">
        <v>0.0</v>
      </c>
      <c r="V269" t="n">
        <v>0.0</v>
      </c>
      <c r="W269" t="inlineStr">
        <is>
          <t/>
        </is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inlineStr">
        <is>
          <t/>
        </is>
      </c>
      <c r="AL269" t="inlineStr">
        <is>
          <t/>
        </is>
      </c>
    </row>
    <row r="270">
      <c r="A270" t="inlineStr">
        <is>
          <t>答应我！爱吃生蚝的都去冲！</t>
        </is>
      </c>
      <c r="B270" t="inlineStr">
        <is>
          <t>694964bf000000001f00a8c5</t>
        </is>
      </c>
      <c r="C270" s="269" t="n">
        <f>HYPERLINK("https://www.xiaohongshu.com/explore/694964bf000000001f00a8c5?xsec_token=TB80OIxeN-ESXgJCMbPNqK1r9K1ZcwMPKsoAYgV3_Ewpw=&amp;xsec_source=pc_trdark","https://www.xiaohongshu.com/explore/694964bf000000001f00a8c5?xsec_token=TB80OIxeN-ESXgJCMbPNqK1r9K1ZcwMPKsoAYgV3_Ewpw=&amp;xsec_source=pc_trdark")</f>
        <v>0.0</v>
      </c>
      <c r="D270" t="inlineStr">
        <is>
          <t>鲜水湾</t>
        </is>
      </c>
      <c r="E270" t="inlineStr">
        <is>
          <t>49316638994</t>
        </is>
      </c>
      <c r="F270" t="inlineStr">
        <is>
          <t>2025-12-22 23:33:19</t>
        </is>
      </c>
      <c r="G270" t="inlineStr">
        <is>
          <t>图文</t>
        </is>
      </c>
      <c r="H270" t="inlineStr">
        <is>
          <t>生蚝乳山生蚝海蛎子顺丰包邮</t>
        </is>
      </c>
      <c r="I270" t="inlineStr">
        <is>
          <t>690c70971b787900010866cc</t>
        </is>
      </c>
      <c r="J270" t="inlineStr">
        <is>
          <t/>
        </is>
      </c>
      <c r="K270" t="n">
        <v>0.0</v>
      </c>
      <c r="L270" t="n">
        <v>0.0</v>
      </c>
      <c r="M270" t="n">
        <v>0.0</v>
      </c>
      <c r="N270" t="inlineStr">
        <is>
          <t/>
        </is>
      </c>
      <c r="O270" t="n">
        <v>0.0</v>
      </c>
      <c r="P270" t="n">
        <v>0.0</v>
      </c>
      <c r="Q270" t="inlineStr">
        <is>
          <t/>
        </is>
      </c>
      <c r="R270" t="inlineStr">
        <is>
          <t/>
        </is>
      </c>
      <c r="S270" t="n">
        <v>0.0</v>
      </c>
      <c r="T270" t="n">
        <v>0.0</v>
      </c>
      <c r="U270" t="n">
        <v>0.0</v>
      </c>
      <c r="V270" t="n">
        <v>0.0</v>
      </c>
      <c r="W270" t="inlineStr">
        <is>
          <t/>
        </is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inlineStr">
        <is>
          <t/>
        </is>
      </c>
      <c r="AL270" t="inlineStr">
        <is>
          <t/>
        </is>
      </c>
    </row>
    <row r="271">
      <c r="A271" t="inlineStr">
        <is>
          <t>太适合懒人减脂餐了</t>
        </is>
      </c>
      <c r="B271" t="inlineStr">
        <is>
          <t>6946beeb000000001e026e07</t>
        </is>
      </c>
      <c r="C271" s="270" t="n">
        <f>HYPERLINK("https://www.xiaohongshu.com/explore/6946beeb000000001e026e07?xsec_token=TBHCyq_CQBT5wFdM6Ltqr7ewds_pILQ_hIkfvi2qeX7WI=&amp;xsec_source=pc_trdark","https://www.xiaohongshu.com/explore/6946beeb000000001e026e07?xsec_token=TBHCyq_CQBT5wFdM6Ltqr7ewds_pILQ_hIkfvi2qeX7WI=&amp;xsec_source=pc_trdark")</f>
        <v>0.0</v>
      </c>
      <c r="D271" t="inlineStr">
        <is>
          <t>鲜水湾</t>
        </is>
      </c>
      <c r="E271" t="inlineStr">
        <is>
          <t>49316638994</t>
        </is>
      </c>
      <c r="F271" t="inlineStr">
        <is>
          <t>2025-12-20 23:21:15</t>
        </is>
      </c>
      <c r="G271" t="inlineStr">
        <is>
          <t>图文</t>
        </is>
      </c>
      <c r="H271" t="inlineStr">
        <is>
          <t>大虾基围虾王牌大虾厄瓜多尔白虾盐冻虾仁海洋大虾送礼顺丰包邮</t>
        </is>
      </c>
      <c r="I271" t="inlineStr">
        <is>
          <t>690aeb7be379430001e686ac</t>
        </is>
      </c>
      <c r="J271" t="inlineStr">
        <is>
          <t/>
        </is>
      </c>
      <c r="K271" t="n">
        <v>0.0</v>
      </c>
      <c r="L271" t="n">
        <v>0.0</v>
      </c>
      <c r="M271" t="n">
        <v>0.0</v>
      </c>
      <c r="N271" t="inlineStr">
        <is>
          <t/>
        </is>
      </c>
      <c r="O271" t="n">
        <v>0.0</v>
      </c>
      <c r="P271" t="n">
        <v>0.0</v>
      </c>
      <c r="Q271" t="inlineStr">
        <is>
          <t/>
        </is>
      </c>
      <c r="R271" t="inlineStr">
        <is>
          <t/>
        </is>
      </c>
      <c r="S271" t="n">
        <v>0.0</v>
      </c>
      <c r="T271" t="n">
        <v>0.0</v>
      </c>
      <c r="U271" t="n">
        <v>0.0</v>
      </c>
      <c r="V271" t="n">
        <v>0.0</v>
      </c>
      <c r="W271" t="inlineStr">
        <is>
          <t/>
        </is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inlineStr">
        <is>
          <t/>
        </is>
      </c>
      <c r="AL271" t="inlineStr">
        <is>
          <t/>
        </is>
      </c>
    </row>
    <row r="272">
      <c r="A272" t="inlineStr">
        <is>
          <t>爱你老己！一个人也可以吃的健康又便宜</t>
        </is>
      </c>
      <c r="B272" t="inlineStr">
        <is>
          <t>69460b52000000001e024646</t>
        </is>
      </c>
      <c r="C272" s="271" t="n">
        <f>HYPERLINK("https://www.xiaohongshu.com/explore/69460b52000000001e024646?xsec_token=TBHCyq_CQBT5wFdM6Ltqr7e5ZjFiBCKgQNwcC3IL2wgUQ=&amp;xsec_source=pc_trdark","https://www.xiaohongshu.com/explore/69460b52000000001e024646?xsec_token=TBHCyq_CQBT5wFdM6Ltqr7e5ZjFiBCKgQNwcC3IL2wgUQ=&amp;xsec_source=pc_trdark")</f>
        <v>0.0</v>
      </c>
      <c r="D272" t="inlineStr">
        <is>
          <t>鲜水湾</t>
        </is>
      </c>
      <c r="E272" t="inlineStr">
        <is>
          <t>49316638994</t>
        </is>
      </c>
      <c r="F272" t="inlineStr">
        <is>
          <t>2025-12-20 10:34:58</t>
        </is>
      </c>
      <c r="G272" t="inlineStr">
        <is>
          <t>图文</t>
        </is>
      </c>
      <c r="H272" t="inlineStr">
        <is>
          <t>大虾基围虾王牌大虾厄瓜多尔白虾盐冻虾仁海洋大虾送礼顺丰包邮</t>
        </is>
      </c>
      <c r="I272" t="inlineStr">
        <is>
          <t>690aeb7be379430001e686ac</t>
        </is>
      </c>
      <c r="J272" t="inlineStr">
        <is>
          <t/>
        </is>
      </c>
      <c r="K272" t="n">
        <v>0.0</v>
      </c>
      <c r="L272" t="n">
        <v>0.0</v>
      </c>
      <c r="M272" t="n">
        <v>0.0</v>
      </c>
      <c r="N272" t="inlineStr">
        <is>
          <t/>
        </is>
      </c>
      <c r="O272" t="n">
        <v>0.0</v>
      </c>
      <c r="P272" t="n">
        <v>0.0</v>
      </c>
      <c r="Q272" t="inlineStr">
        <is>
          <t/>
        </is>
      </c>
      <c r="R272" t="inlineStr">
        <is>
          <t/>
        </is>
      </c>
      <c r="S272" t="n">
        <v>0.0</v>
      </c>
      <c r="T272" t="n">
        <v>0.0</v>
      </c>
      <c r="U272" t="n">
        <v>0.0</v>
      </c>
      <c r="V272" t="n">
        <v>0.0</v>
      </c>
      <c r="W272" t="inlineStr">
        <is>
          <t/>
        </is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inlineStr">
        <is>
          <t/>
        </is>
      </c>
      <c r="AL272" t="inlineStr">
        <is>
          <t/>
        </is>
      </c>
    </row>
    <row r="273">
      <c r="A273" t="inlineStr">
        <is>
          <t>天才想出来的……减脂搭子！！</t>
        </is>
      </c>
      <c r="B273" t="inlineStr">
        <is>
          <t>694561ea000000001e0286e5</t>
        </is>
      </c>
      <c r="C273" s="272" t="n">
        <f>HYPERLINK("https://www.xiaohongshu.com/explore/694561ea000000001e0286e5?xsec_token=TB7p1vWXvB33zoX2lon7HfpVy6Gao4nSLHXYECbHz2y-0=&amp;xsec_source=pc_trdark","https://www.xiaohongshu.com/explore/694561ea000000001e0286e5?xsec_token=TB7p1vWXvB33zoX2lon7HfpVy6Gao4nSLHXYECbHz2y-0=&amp;xsec_source=pc_trdark")</f>
        <v>0.0</v>
      </c>
      <c r="D273" t="inlineStr">
        <is>
          <t>鲜水湾</t>
        </is>
      </c>
      <c r="E273" t="inlineStr">
        <is>
          <t>49316638994</t>
        </is>
      </c>
      <c r="F273" t="inlineStr">
        <is>
          <t>2025-12-19 22:32:10</t>
        </is>
      </c>
      <c r="G273" t="inlineStr">
        <is>
          <t>图文</t>
        </is>
      </c>
      <c r="H273" t="inlineStr">
        <is>
          <t>大虾基围虾王牌大虾厄瓜多尔白虾盐冻虾仁海洋大虾送礼顺丰包邮</t>
        </is>
      </c>
      <c r="I273" t="inlineStr">
        <is>
          <t>690aeb7be379430001e686ac</t>
        </is>
      </c>
      <c r="J273" t="inlineStr">
        <is>
          <t/>
        </is>
      </c>
      <c r="K273" t="n">
        <v>0.0</v>
      </c>
      <c r="L273" t="n">
        <v>0.0</v>
      </c>
      <c r="M273" t="n">
        <v>0.0</v>
      </c>
      <c r="N273" t="inlineStr">
        <is>
          <t/>
        </is>
      </c>
      <c r="O273" t="n">
        <v>0.0</v>
      </c>
      <c r="P273" t="n">
        <v>0.0</v>
      </c>
      <c r="Q273" t="inlineStr">
        <is>
          <t/>
        </is>
      </c>
      <c r="R273" t="inlineStr">
        <is>
          <t/>
        </is>
      </c>
      <c r="S273" t="n">
        <v>0.0</v>
      </c>
      <c r="T273" t="n">
        <v>0.0</v>
      </c>
      <c r="U273" t="n">
        <v>0.0</v>
      </c>
      <c r="V273" t="n">
        <v>0.0</v>
      </c>
      <c r="W273" t="inlineStr">
        <is>
          <t/>
        </is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inlineStr">
        <is>
          <t/>
        </is>
      </c>
      <c r="AL273" t="inlineStr">
        <is>
          <t/>
        </is>
      </c>
    </row>
    <row r="274">
      <c r="A274" t="inlineStr">
        <is>
          <t>大虾脑袋碰到，回购已成定局</t>
        </is>
      </c>
      <c r="B274" t="inlineStr">
        <is>
          <t>6944bc2b000000001e03b50a</t>
        </is>
      </c>
      <c r="C274" s="273" t="n">
        <f>HYPERLINK("https://www.xiaohongshu.com/explore/6944bc2b000000001e03b50a?xsec_token=TBEei_gEGYdPM_jdeWI2PhOSmczcWrE11ULxlwH7TajNA=&amp;xsec_source=pc_trdark","https://www.xiaohongshu.com/explore/6944bc2b000000001e03b50a?xsec_token=TBEei_gEGYdPM_jdeWI2PhOSmczcWrE11ULxlwH7TajNA=&amp;xsec_source=pc_trdark")</f>
        <v>0.0</v>
      </c>
      <c r="D274" t="inlineStr">
        <is>
          <t>鲜水湾</t>
        </is>
      </c>
      <c r="E274" t="inlineStr">
        <is>
          <t>49316638994</t>
        </is>
      </c>
      <c r="F274" t="inlineStr">
        <is>
          <t>2025-12-19 10:44:59</t>
        </is>
      </c>
      <c r="G274" t="inlineStr">
        <is>
          <t>图文</t>
        </is>
      </c>
      <c r="H274" t="inlineStr">
        <is>
          <t>大虾基围虾王牌大虾厄瓜多尔白虾盐冻虾仁海洋大虾送礼顺丰包邮</t>
        </is>
      </c>
      <c r="I274" t="inlineStr">
        <is>
          <t>690aeb7be379430001e686ac</t>
        </is>
      </c>
      <c r="J274" t="inlineStr">
        <is>
          <t/>
        </is>
      </c>
      <c r="K274" t="n">
        <v>0.0</v>
      </c>
      <c r="L274" t="n">
        <v>0.0</v>
      </c>
      <c r="M274" t="n">
        <v>0.0</v>
      </c>
      <c r="N274" t="inlineStr">
        <is>
          <t/>
        </is>
      </c>
      <c r="O274" t="n">
        <v>0.0</v>
      </c>
      <c r="P274" t="n">
        <v>0.0</v>
      </c>
      <c r="Q274" t="inlineStr">
        <is>
          <t/>
        </is>
      </c>
      <c r="R274" t="inlineStr">
        <is>
          <t/>
        </is>
      </c>
      <c r="S274" t="n">
        <v>0.0</v>
      </c>
      <c r="T274" t="n">
        <v>0.0</v>
      </c>
      <c r="U274" t="n">
        <v>0.0</v>
      </c>
      <c r="V274" t="n">
        <v>0.0</v>
      </c>
      <c r="W274" t="inlineStr">
        <is>
          <t/>
        </is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inlineStr">
        <is>
          <t/>
        </is>
      </c>
      <c r="AL274" t="inlineStr">
        <is>
          <t/>
        </is>
      </c>
    </row>
    <row r="275">
      <c r="A275" t="inlineStr">
        <is>
          <t>上班搭子推荐的！掉秤期真有用</t>
        </is>
      </c>
      <c r="B275" t="inlineStr">
        <is>
          <t>69440341000000001e0324e8</t>
        </is>
      </c>
      <c r="C275" s="274" t="n">
        <f>HYPERLINK("https://www.xiaohongshu.com/explore/69440341000000001e0324e8?xsec_token=TBEei_gEGYdPM_jdeWI2PhOR0OUQ3yvFxTVYNdTddaBeA=&amp;xsec_source=pc_trdark","https://www.xiaohongshu.com/explore/69440341000000001e0324e8?xsec_token=TBEei_gEGYdPM_jdeWI2PhOR0OUQ3yvFxTVYNdTddaBeA=&amp;xsec_source=pc_trdark")</f>
        <v>0.0</v>
      </c>
      <c r="D275" t="inlineStr">
        <is>
          <t>鲜水湾</t>
        </is>
      </c>
      <c r="E275" t="inlineStr">
        <is>
          <t>49316638994</t>
        </is>
      </c>
      <c r="F275" t="inlineStr">
        <is>
          <t>2025-12-18 21:36:01</t>
        </is>
      </c>
      <c r="G275" t="inlineStr">
        <is>
          <t>图文</t>
        </is>
      </c>
      <c r="H275" t="inlineStr">
        <is>
          <t>大虾基围虾王牌大虾厄瓜多尔白虾盐冻虾仁海洋大虾送礼顺丰包邮</t>
        </is>
      </c>
      <c r="I275" t="inlineStr">
        <is>
          <t>690aeb7be379430001e686ac</t>
        </is>
      </c>
      <c r="J275" t="inlineStr">
        <is>
          <t/>
        </is>
      </c>
      <c r="K275" t="n">
        <v>0.0</v>
      </c>
      <c r="L275" t="n">
        <v>0.0</v>
      </c>
      <c r="M275" t="n">
        <v>0.0</v>
      </c>
      <c r="N275" t="inlineStr">
        <is>
          <t/>
        </is>
      </c>
      <c r="O275" t="n">
        <v>0.0</v>
      </c>
      <c r="P275" t="n">
        <v>0.0</v>
      </c>
      <c r="Q275" t="inlineStr">
        <is>
          <t/>
        </is>
      </c>
      <c r="R275" t="inlineStr">
        <is>
          <t/>
        </is>
      </c>
      <c r="S275" t="n">
        <v>0.0</v>
      </c>
      <c r="T275" t="n">
        <v>0.0</v>
      </c>
      <c r="U275" t="n">
        <v>0.0</v>
      </c>
      <c r="V275" t="n">
        <v>0.0</v>
      </c>
      <c r="W275" t="inlineStr">
        <is>
          <t/>
        </is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inlineStr">
        <is>
          <t/>
        </is>
      </c>
      <c r="AL275" t="inlineStr">
        <is>
          <t/>
        </is>
      </c>
    </row>
    <row r="276">
      <c r="A276" t="inlineStr">
        <is>
          <t>我宣布三文鱼熟的比生的好吃！</t>
        </is>
      </c>
      <c r="B276" t="inlineStr">
        <is>
          <t>69420d65000000001f00fd34</t>
        </is>
      </c>
      <c r="C276" s="275" t="n">
        <f>HYPERLINK("https://www.xiaohongshu.com/explore/69420d65000000001f00fd34?xsec_token=TB0tDM60Z2n8tclFaINyevIT5ot5Py_x3D0HDLO4s-u_w=&amp;xsec_source=pc_trdark","https://www.xiaohongshu.com/explore/69420d65000000001f00fd34?xsec_token=TB0tDM60Z2n8tclFaINyevIT5ot5Py_x3D0HDLO4s-u_w=&amp;xsec_source=pc_trdark")</f>
        <v>0.0</v>
      </c>
      <c r="D276" t="inlineStr">
        <is>
          <t>鲜水湾</t>
        </is>
      </c>
      <c r="E276" t="inlineStr">
        <is>
          <t>49316638994</t>
        </is>
      </c>
      <c r="F276" t="inlineStr">
        <is>
          <t>2025-12-17 09:54:45</t>
        </is>
      </c>
      <c r="G276" t="inlineStr">
        <is>
          <t>图文</t>
        </is>
      </c>
      <c r="H276" t="inlineStr">
        <is>
          <t>智利三文鱼切块·整条三文鱼·深海鱼一人食健康饮食</t>
        </is>
      </c>
      <c r="I276" t="inlineStr">
        <is>
          <t>691ac562a524ee0001b51d7b</t>
        </is>
      </c>
      <c r="J276" t="inlineStr">
        <is>
          <t/>
        </is>
      </c>
      <c r="K276" t="n">
        <v>0.0</v>
      </c>
      <c r="L276" t="n">
        <v>0.0</v>
      </c>
      <c r="M276" t="n">
        <v>0.0</v>
      </c>
      <c r="N276" t="inlineStr">
        <is>
          <t/>
        </is>
      </c>
      <c r="O276" t="n">
        <v>0.0</v>
      </c>
      <c r="P276" t="n">
        <v>0.0</v>
      </c>
      <c r="Q276" t="inlineStr">
        <is>
          <t/>
        </is>
      </c>
      <c r="R276" t="inlineStr">
        <is>
          <t/>
        </is>
      </c>
      <c r="S276" t="n">
        <v>0.0</v>
      </c>
      <c r="T276" t="n">
        <v>0.0</v>
      </c>
      <c r="U276" t="n">
        <v>0.0</v>
      </c>
      <c r="V276" t="n">
        <v>0.0</v>
      </c>
      <c r="W276" t="inlineStr">
        <is>
          <t/>
        </is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inlineStr">
        <is>
          <t/>
        </is>
      </c>
      <c r="AL276" t="inlineStr">
        <is>
          <t/>
        </is>
      </c>
    </row>
    <row r="277">
      <c r="A277" t="inlineStr">
        <is>
          <t>低估了200多的购买力了</t>
        </is>
      </c>
      <c r="B277" t="inlineStr">
        <is>
          <t>694002d6000000001f00dda4</t>
        </is>
      </c>
      <c r="C277" s="276" t="n">
        <f>HYPERLINK("https://www.xiaohongshu.com/explore/694002d6000000001f00dda4?xsec_token=TBzm36tUj4jhogPihZGtakWQrr_kym20zAn6MsvZ2T6aU=&amp;xsec_source=pc_trdark","https://www.xiaohongshu.com/explore/694002d6000000001f00dda4?xsec_token=TBzm36tUj4jhogPihZGtakWQrr_kym20zAn6MsvZ2T6aU=&amp;xsec_source=pc_trdark")</f>
        <v>0.0</v>
      </c>
      <c r="D277" t="inlineStr">
        <is>
          <t>鲜水湾</t>
        </is>
      </c>
      <c r="E277" t="inlineStr">
        <is>
          <t>49316638994</t>
        </is>
      </c>
      <c r="F277" t="inlineStr">
        <is>
          <t>2025-12-15 20:45:10</t>
        </is>
      </c>
      <c r="G277" t="inlineStr">
        <is>
          <t>图文</t>
        </is>
      </c>
      <c r="H277" t="inlineStr">
        <is>
          <t>智利三文鱼切块·整条三文鱼·深海鱼一人食健康饮食</t>
        </is>
      </c>
      <c r="I277" t="inlineStr">
        <is>
          <t>691ac562a524ee0001b51d7b</t>
        </is>
      </c>
      <c r="J277" t="inlineStr">
        <is>
          <t/>
        </is>
      </c>
      <c r="K277" t="n">
        <v>0.0</v>
      </c>
      <c r="L277" t="n">
        <v>0.0</v>
      </c>
      <c r="M277" t="n">
        <v>0.0</v>
      </c>
      <c r="N277" t="inlineStr">
        <is>
          <t/>
        </is>
      </c>
      <c r="O277" t="n">
        <v>0.0</v>
      </c>
      <c r="P277" t="n">
        <v>0.0</v>
      </c>
      <c r="Q277" t="inlineStr">
        <is>
          <t/>
        </is>
      </c>
      <c r="R277" t="inlineStr">
        <is>
          <t/>
        </is>
      </c>
      <c r="S277" t="n">
        <v>0.0</v>
      </c>
      <c r="T277" t="n">
        <v>0.0</v>
      </c>
      <c r="U277" t="n">
        <v>0.0</v>
      </c>
      <c r="V277" t="n">
        <v>0.0</v>
      </c>
      <c r="W277" t="inlineStr">
        <is>
          <t/>
        </is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inlineStr">
        <is>
          <t/>
        </is>
      </c>
      <c r="AL277" t="inlineStr">
        <is>
          <t/>
        </is>
      </c>
    </row>
    <row r="278">
      <c r="A278" t="inlineStr">
        <is>
          <t>和老爸商量了，69.9💰3斤先给大家尝尝</t>
        </is>
      </c>
      <c r="B278" t="inlineStr">
        <is>
          <t>693fce0e000000001f00760a</t>
        </is>
      </c>
      <c r="C278" s="277" t="n">
        <f>HYPERLINK("https://www.xiaohongshu.com/explore/693fce0e000000001f00760a?xsec_token=TB1R2yju8ccr97WVPo1goJUJE7_lQREmxIfGi-p-xFS4Q=&amp;xsec_source=pc_trdark","https://www.xiaohongshu.com/explore/693fce0e000000001f00760a?xsec_token=TB1R2yju8ccr97WVPo1goJUJE7_lQREmxIfGi-p-xFS4Q=&amp;xsec_source=pc_trdark")</f>
        <v>0.0</v>
      </c>
      <c r="D278" t="inlineStr">
        <is>
          <t>鲜水湾</t>
        </is>
      </c>
      <c r="E278" t="inlineStr">
        <is>
          <t>49316638994</t>
        </is>
      </c>
      <c r="F278" t="inlineStr">
        <is>
          <t>2025-12-15 16:59:58</t>
        </is>
      </c>
      <c r="G278" t="inlineStr">
        <is>
          <t>图文</t>
        </is>
      </c>
      <c r="H278" t="inlineStr">
        <is>
          <t>大虾基围虾王牌大虾厄瓜多尔白虾盐冻虾仁海洋大虾送礼顺丰包邮</t>
        </is>
      </c>
      <c r="I278" t="inlineStr">
        <is>
          <t>690aeb7be379430001e686ac</t>
        </is>
      </c>
      <c r="J278" t="inlineStr">
        <is>
          <t/>
        </is>
      </c>
      <c r="K278" t="n">
        <v>0.0</v>
      </c>
      <c r="L278" t="n">
        <v>0.0</v>
      </c>
      <c r="M278" t="n">
        <v>0.0</v>
      </c>
      <c r="N278" t="inlineStr">
        <is>
          <t/>
        </is>
      </c>
      <c r="O278" t="n">
        <v>0.0</v>
      </c>
      <c r="P278" t="n">
        <v>0.0</v>
      </c>
      <c r="Q278" t="inlineStr">
        <is>
          <t/>
        </is>
      </c>
      <c r="R278" t="inlineStr">
        <is>
          <t/>
        </is>
      </c>
      <c r="S278" t="n">
        <v>0.0</v>
      </c>
      <c r="T278" t="n">
        <v>0.0</v>
      </c>
      <c r="U278" t="n">
        <v>0.0</v>
      </c>
      <c r="V278" t="n">
        <v>0.0</v>
      </c>
      <c r="W278" t="inlineStr">
        <is>
          <t/>
        </is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inlineStr">
        <is>
          <t/>
        </is>
      </c>
      <c r="AL278" t="inlineStr">
        <is>
          <t/>
        </is>
      </c>
    </row>
    <row r="279">
      <c r="A279" t="inlineStr">
        <is>
          <t>减脂期姐妹推荐的，真有用</t>
        </is>
      </c>
      <c r="B279" t="inlineStr">
        <is>
          <t>693fa285000000001e03035c</t>
        </is>
      </c>
      <c r="C279" s="278" t="n">
        <f>HYPERLINK("https://www.xiaohongshu.com/explore/693fa285000000001e03035c?xsec_token=TB1R2yju8ccr97WVPo1goJUO0tcN41VvN9nzPL-EJyyMs=&amp;xsec_source=pc_trdark","https://www.xiaohongshu.com/explore/693fa285000000001e03035c?xsec_token=TB1R2yju8ccr97WVPo1goJUO0tcN41VvN9nzPL-EJyyMs=&amp;xsec_source=pc_trdark")</f>
        <v>0.0</v>
      </c>
      <c r="D279" t="inlineStr">
        <is>
          <t>鲜水湾</t>
        </is>
      </c>
      <c r="E279" t="inlineStr">
        <is>
          <t>49316638994</t>
        </is>
      </c>
      <c r="F279" t="inlineStr">
        <is>
          <t>2025-12-15 13:54:13</t>
        </is>
      </c>
      <c r="G279" t="inlineStr">
        <is>
          <t>图文</t>
        </is>
      </c>
      <c r="H279" t="inlineStr">
        <is>
          <t>大虾基围虾王牌大虾厄瓜多尔白虾盐冻虾仁海洋大虾送礼顺丰包邮</t>
        </is>
      </c>
      <c r="I279" t="inlineStr">
        <is>
          <t>690aeb7be379430001e686ac</t>
        </is>
      </c>
      <c r="J279" t="inlineStr">
        <is>
          <t/>
        </is>
      </c>
      <c r="K279" t="n">
        <v>0.0</v>
      </c>
      <c r="L279" t="n">
        <v>0.0</v>
      </c>
      <c r="M279" t="n">
        <v>0.0</v>
      </c>
      <c r="N279" t="inlineStr">
        <is>
          <t/>
        </is>
      </c>
      <c r="O279" t="n">
        <v>0.0</v>
      </c>
      <c r="P279" t="n">
        <v>0.0</v>
      </c>
      <c r="Q279" t="inlineStr">
        <is>
          <t/>
        </is>
      </c>
      <c r="R279" t="inlineStr">
        <is>
          <t/>
        </is>
      </c>
      <c r="S279" t="n">
        <v>0.0</v>
      </c>
      <c r="T279" t="n">
        <v>0.0</v>
      </c>
      <c r="U279" t="n">
        <v>0.0</v>
      </c>
      <c r="V279" t="n">
        <v>0.0</v>
      </c>
      <c r="W279" t="inlineStr">
        <is>
          <t/>
        </is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inlineStr">
        <is>
          <t/>
        </is>
      </c>
      <c r="AL279" t="inlineStr">
        <is>
          <t/>
        </is>
      </c>
    </row>
    <row r="280">
      <c r="A280" t="inlineStr">
        <is>
          <t>别傻了，大虾才是掉秤神器</t>
        </is>
      </c>
      <c r="B280" t="inlineStr">
        <is>
          <t>693e80da000000001f00cfc3</t>
        </is>
      </c>
      <c r="C280" s="279" t="n">
        <f>HYPERLINK("https://www.xiaohongshu.com/explore/693e80da000000001f00cfc3?xsec_token=TBoM4IjxTW7h2pIceDY6ppQLcrjiC_rUCvbP4KogwHdQw=&amp;xsec_source=pc_trdark","https://www.xiaohongshu.com/explore/693e80da000000001f00cfc3?xsec_token=TBoM4IjxTW7h2pIceDY6ppQLcrjiC_rUCvbP4KogwHdQw=&amp;xsec_source=pc_trdark")</f>
        <v>0.0</v>
      </c>
      <c r="D280" t="inlineStr">
        <is>
          <t>鲜水湾</t>
        </is>
      </c>
      <c r="E280" t="inlineStr">
        <is>
          <t>49316638994</t>
        </is>
      </c>
      <c r="F280" t="inlineStr">
        <is>
          <t>2025-12-14 17:18:18</t>
        </is>
      </c>
      <c r="G280" t="inlineStr">
        <is>
          <t>图文</t>
        </is>
      </c>
      <c r="H280" t="inlineStr">
        <is>
          <t>大虾基围虾王牌大虾厄瓜多尔白虾盐冻虾仁海洋大虾送礼顺丰包邮</t>
        </is>
      </c>
      <c r="I280" t="inlineStr">
        <is>
          <t>690aeb7be379430001e686ac</t>
        </is>
      </c>
      <c r="J280" t="inlineStr">
        <is>
          <t/>
        </is>
      </c>
      <c r="K280" t="n">
        <v>0.0</v>
      </c>
      <c r="L280" t="n">
        <v>0.0</v>
      </c>
      <c r="M280" t="n">
        <v>0.0</v>
      </c>
      <c r="N280" t="inlineStr">
        <is>
          <t/>
        </is>
      </c>
      <c r="O280" t="n">
        <v>0.0</v>
      </c>
      <c r="P280" t="n">
        <v>0.0</v>
      </c>
      <c r="Q280" t="inlineStr">
        <is>
          <t/>
        </is>
      </c>
      <c r="R280" t="inlineStr">
        <is>
          <t/>
        </is>
      </c>
      <c r="S280" t="n">
        <v>0.0</v>
      </c>
      <c r="T280" t="n">
        <v>0.0</v>
      </c>
      <c r="U280" t="n">
        <v>0.0</v>
      </c>
      <c r="V280" t="n">
        <v>0.0</v>
      </c>
      <c r="W280" t="inlineStr">
        <is>
          <t/>
        </is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inlineStr">
        <is>
          <t/>
        </is>
      </c>
      <c r="AL280" t="inlineStr">
        <is>
          <t/>
        </is>
      </c>
    </row>
    <row r="281">
      <c r="A281" t="inlineStr">
        <is>
          <t>我妈让我通知各位：整条鱼200多可以冲了‼️</t>
        </is>
      </c>
      <c r="B281" t="inlineStr">
        <is>
          <t>693d2cdc000000001f0075a4</t>
        </is>
      </c>
      <c r="C281" s="280" t="n">
        <f>HYPERLINK("https://www.xiaohongshu.com/explore/693d2cdc000000001f0075a4?xsec_token=TBz651BHP1Dr15NeLsAqSGPgl1sDuSofFc9NSt7WNS2cs=&amp;xsec_source=pc_trdark","https://www.xiaohongshu.com/explore/693d2cdc000000001f0075a4?xsec_token=TBz651BHP1Dr15NeLsAqSGPgl1sDuSofFc9NSt7WNS2cs=&amp;xsec_source=pc_trdark")</f>
        <v>0.0</v>
      </c>
      <c r="D281" t="inlineStr">
        <is>
          <t>鲜水湾</t>
        </is>
      </c>
      <c r="E281" t="inlineStr">
        <is>
          <t>49316638994</t>
        </is>
      </c>
      <c r="F281" t="inlineStr">
        <is>
          <t>2025-12-13 17:07:40</t>
        </is>
      </c>
      <c r="G281" t="inlineStr">
        <is>
          <t>图文</t>
        </is>
      </c>
      <c r="H281" t="inlineStr">
        <is>
          <t>智利三文鱼切块·整条三文鱼·深海鱼一人食健康饮食</t>
        </is>
      </c>
      <c r="I281" t="inlineStr">
        <is>
          <t>691ac562a524ee0001b51d7b</t>
        </is>
      </c>
      <c r="J281" t="inlineStr">
        <is>
          <t/>
        </is>
      </c>
      <c r="K281" t="n">
        <v>0.0</v>
      </c>
      <c r="L281" t="n">
        <v>0.0</v>
      </c>
      <c r="M281" t="n">
        <v>0.0</v>
      </c>
      <c r="N281" t="inlineStr">
        <is>
          <t/>
        </is>
      </c>
      <c r="O281" t="n">
        <v>0.0</v>
      </c>
      <c r="P281" t="n">
        <v>0.0</v>
      </c>
      <c r="Q281" t="inlineStr">
        <is>
          <t/>
        </is>
      </c>
      <c r="R281" t="inlineStr">
        <is>
          <t/>
        </is>
      </c>
      <c r="S281" t="n">
        <v>0.0</v>
      </c>
      <c r="T281" t="n">
        <v>0.0</v>
      </c>
      <c r="U281" t="n">
        <v>0.0</v>
      </c>
      <c r="V281" t="n">
        <v>0.0</v>
      </c>
      <c r="W281" t="inlineStr">
        <is>
          <t/>
        </is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inlineStr">
        <is>
          <t/>
        </is>
      </c>
      <c r="AL281" t="inlineStr">
        <is>
          <t/>
        </is>
      </c>
    </row>
    <row r="282">
      <c r="A282" t="inlineStr">
        <is>
          <t>区区200多，承包了我整个月的减脂餐</t>
        </is>
      </c>
      <c r="B282" t="inlineStr">
        <is>
          <t>693d11c7000000001f00d4a6</t>
        </is>
      </c>
      <c r="C282" s="281" t="n">
        <f>HYPERLINK("https://www.xiaohongshu.com/explore/693d11c7000000001f00d4a6?xsec_token=TBz651BHP1Dr15NeLsAqSGPpHrcfQmPZ1RNBQG6o9sT3k=&amp;xsec_source=pc_trdark","https://www.xiaohongshu.com/explore/693d11c7000000001f00d4a6?xsec_token=TBz651BHP1Dr15NeLsAqSGPpHrcfQmPZ1RNBQG6o9sT3k=&amp;xsec_source=pc_trdark")</f>
        <v>0.0</v>
      </c>
      <c r="D282" t="inlineStr">
        <is>
          <t>鲜水湾</t>
        </is>
      </c>
      <c r="E282" t="inlineStr">
        <is>
          <t>49316638994</t>
        </is>
      </c>
      <c r="F282" t="inlineStr">
        <is>
          <t>2025-12-13 15:12:07</t>
        </is>
      </c>
      <c r="G282" t="inlineStr">
        <is>
          <t>图文</t>
        </is>
      </c>
      <c r="H282" t="inlineStr">
        <is>
          <t>智利三文鱼切块·整条三文鱼·深海鱼一人食健康饮食</t>
        </is>
      </c>
      <c r="I282" t="inlineStr">
        <is>
          <t>691ac562a524ee0001b51d7b</t>
        </is>
      </c>
      <c r="J282" t="inlineStr">
        <is>
          <t/>
        </is>
      </c>
      <c r="K282" t="n">
        <v>0.0</v>
      </c>
      <c r="L282" t="n">
        <v>0.0</v>
      </c>
      <c r="M282" t="n">
        <v>0.0</v>
      </c>
      <c r="N282" t="inlineStr">
        <is>
          <t/>
        </is>
      </c>
      <c r="O282" t="n">
        <v>0.0</v>
      </c>
      <c r="P282" t="n">
        <v>0.0</v>
      </c>
      <c r="Q282" t="inlineStr">
        <is>
          <t/>
        </is>
      </c>
      <c r="R282" t="inlineStr">
        <is>
          <t/>
        </is>
      </c>
      <c r="S282" t="n">
        <v>0.0</v>
      </c>
      <c r="T282" t="n">
        <v>0.0</v>
      </c>
      <c r="U282" t="n">
        <v>0.0</v>
      </c>
      <c r="V282" t="n">
        <v>0.0</v>
      </c>
      <c r="W282" t="inlineStr">
        <is>
          <t/>
        </is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inlineStr">
        <is>
          <t/>
        </is>
      </c>
      <c r="AL282" t="inlineStr">
        <is>
          <t/>
        </is>
      </c>
    </row>
    <row r="283">
      <c r="A283" t="inlineStr">
        <is>
          <t>我q。。。😳小红书给的券也太大了吧</t>
        </is>
      </c>
      <c r="B283" t="inlineStr">
        <is>
          <t>693cfb90000000001f00793f</t>
        </is>
      </c>
      <c r="C283" s="282" t="n">
        <f>HYPERLINK("https://www.xiaohongshu.com/explore/693cfb90000000001f00793f?xsec_token=TBby_8TUlAJfj-jHsmZvLUDZtW2_h8p59gEWad8lYQS54=&amp;xsec_source=pc_trdark","https://www.xiaohongshu.com/explore/693cfb90000000001f00793f?xsec_token=TBby_8TUlAJfj-jHsmZvLUDZtW2_h8p59gEWad8lYQS54=&amp;xsec_source=pc_trdark")</f>
        <v>0.0</v>
      </c>
      <c r="D283" t="inlineStr">
        <is>
          <t>鲜水湾</t>
        </is>
      </c>
      <c r="E283" t="inlineStr">
        <is>
          <t>49316638994</t>
        </is>
      </c>
      <c r="F283" t="inlineStr">
        <is>
          <t>2025-12-13 13:37:20</t>
        </is>
      </c>
      <c r="G283" t="inlineStr">
        <is>
          <t>图文</t>
        </is>
      </c>
      <c r="H283" t="inlineStr">
        <is>
          <t>智利三文鱼切块·整条三文鱼·深海鱼一人食健康饮食</t>
        </is>
      </c>
      <c r="I283" t="inlineStr">
        <is>
          <t>691ac562a524ee0001b51d7b</t>
        </is>
      </c>
      <c r="J283" t="inlineStr">
        <is>
          <t/>
        </is>
      </c>
      <c r="K283" t="n">
        <v>0.0</v>
      </c>
      <c r="L283" t="n">
        <v>0.0</v>
      </c>
      <c r="M283" t="n">
        <v>0.0</v>
      </c>
      <c r="N283" t="inlineStr">
        <is>
          <t/>
        </is>
      </c>
      <c r="O283" t="n">
        <v>0.0</v>
      </c>
      <c r="P283" t="n">
        <v>0.0</v>
      </c>
      <c r="Q283" t="inlineStr">
        <is>
          <t/>
        </is>
      </c>
      <c r="R283" t="inlineStr">
        <is>
          <t/>
        </is>
      </c>
      <c r="S283" t="n">
        <v>0.0</v>
      </c>
      <c r="T283" t="n">
        <v>0.0</v>
      </c>
      <c r="U283" t="n">
        <v>0.0</v>
      </c>
      <c r="V283" t="n">
        <v>0.0</v>
      </c>
      <c r="W283" t="inlineStr">
        <is>
          <t/>
        </is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inlineStr">
        <is>
          <t/>
        </is>
      </c>
      <c r="AL283" t="inlineStr">
        <is>
          <t/>
        </is>
      </c>
    </row>
    <row r="284">
      <c r="A284" t="inlineStr">
        <is>
          <t>5分钟搞定减脂餐 这大虾我能吃一辈子</t>
        </is>
      </c>
      <c r="B284" t="inlineStr">
        <is>
          <t>693cd4d3000000001e0326b5</t>
        </is>
      </c>
      <c r="C284" s="283" t="n">
        <f>HYPERLINK("https://www.xiaohongshu.com/explore/693cd4d3000000001e0326b5?xsec_token=TBby_8TUlAJfj-jHsmZvLUDVGN2j296rWGPtLCBOEDqd0=&amp;xsec_source=pc_trdark","https://www.xiaohongshu.com/explore/693cd4d3000000001e0326b5?xsec_token=TBby_8TUlAJfj-jHsmZvLUDVGN2j296rWGPtLCBOEDqd0=&amp;xsec_source=pc_trdark")</f>
        <v>0.0</v>
      </c>
      <c r="D284" t="inlineStr">
        <is>
          <t>鲜水湾</t>
        </is>
      </c>
      <c r="E284" t="inlineStr">
        <is>
          <t>49316638994</t>
        </is>
      </c>
      <c r="F284" t="inlineStr">
        <is>
          <t>2025-12-13 10:52:03</t>
        </is>
      </c>
      <c r="G284" t="inlineStr">
        <is>
          <t>图文</t>
        </is>
      </c>
      <c r="H284" t="inlineStr">
        <is>
          <t>大虾基围虾王牌大虾厄瓜多尔白虾盐冻虾仁海洋大虾送礼顺丰包邮</t>
        </is>
      </c>
      <c r="I284" t="inlineStr">
        <is>
          <t>690aeb7be379430001e686ac</t>
        </is>
      </c>
      <c r="J284" t="inlineStr">
        <is>
          <t/>
        </is>
      </c>
      <c r="K284" t="n">
        <v>0.0</v>
      </c>
      <c r="L284" t="n">
        <v>0.0</v>
      </c>
      <c r="M284" t="n">
        <v>0.0</v>
      </c>
      <c r="N284" t="inlineStr">
        <is>
          <t/>
        </is>
      </c>
      <c r="O284" t="n">
        <v>0.0</v>
      </c>
      <c r="P284" t="n">
        <v>0.0</v>
      </c>
      <c r="Q284" t="inlineStr">
        <is>
          <t/>
        </is>
      </c>
      <c r="R284" t="inlineStr">
        <is>
          <t/>
        </is>
      </c>
      <c r="S284" t="n">
        <v>0.0</v>
      </c>
      <c r="T284" t="n">
        <v>0.0</v>
      </c>
      <c r="U284" t="n">
        <v>0.0</v>
      </c>
      <c r="V284" t="n">
        <v>0.0</v>
      </c>
      <c r="W284" t="inlineStr">
        <is>
          <t/>
        </is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inlineStr">
        <is>
          <t/>
        </is>
      </c>
      <c r="AL284" t="inlineStr">
        <is>
          <t/>
        </is>
      </c>
    </row>
    <row r="285">
      <c r="A285" t="inlineStr">
        <is>
          <t>瘦都是我应得的</t>
        </is>
      </c>
      <c r="B285" t="inlineStr">
        <is>
          <t>693be0e4000000001e0245e6</t>
        </is>
      </c>
      <c r="C285" s="284" t="n">
        <f>HYPERLINK("https://www.xiaohongshu.com/explore/693be0e4000000001e0245e6?xsec_token=TBehUwc4QxLaaQbLqKc-ieHp1Lou3gSbUdzlo5u-TNukQ=&amp;xsec_source=pc_trdark","https://www.xiaohongshu.com/explore/693be0e4000000001e0245e6?xsec_token=TBehUwc4QxLaaQbLqKc-ieHp1Lou3gSbUdzlo5u-TNukQ=&amp;xsec_source=pc_trdark")</f>
        <v>0.0</v>
      </c>
      <c r="D285" t="inlineStr">
        <is>
          <t>鲜水湾</t>
        </is>
      </c>
      <c r="E285" t="inlineStr">
        <is>
          <t>49316638994</t>
        </is>
      </c>
      <c r="F285" t="inlineStr">
        <is>
          <t>2025-12-12 17:31:16</t>
        </is>
      </c>
      <c r="G285" t="inlineStr">
        <is>
          <t>图文</t>
        </is>
      </c>
      <c r="H285" t="inlineStr">
        <is>
          <t>大虾基围虾王牌大虾厄瓜多尔白虾盐冻虾仁海洋大虾送礼顺丰包邮</t>
        </is>
      </c>
      <c r="I285" t="inlineStr">
        <is>
          <t>690aeb7be379430001e686ac</t>
        </is>
      </c>
      <c r="J285" t="inlineStr">
        <is>
          <t/>
        </is>
      </c>
      <c r="K285" t="n">
        <v>0.0</v>
      </c>
      <c r="L285" t="n">
        <v>0.0</v>
      </c>
      <c r="M285" t="n">
        <v>0.0</v>
      </c>
      <c r="N285" t="inlineStr">
        <is>
          <t/>
        </is>
      </c>
      <c r="O285" t="n">
        <v>0.0</v>
      </c>
      <c r="P285" t="n">
        <v>0.0</v>
      </c>
      <c r="Q285" t="inlineStr">
        <is>
          <t/>
        </is>
      </c>
      <c r="R285" t="inlineStr">
        <is>
          <t/>
        </is>
      </c>
      <c r="S285" t="n">
        <v>0.0</v>
      </c>
      <c r="T285" t="n">
        <v>0.0</v>
      </c>
      <c r="U285" t="n">
        <v>0.0</v>
      </c>
      <c r="V285" t="n">
        <v>0.0</v>
      </c>
      <c r="W285" t="inlineStr">
        <is>
          <t/>
        </is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inlineStr">
        <is>
          <t/>
        </is>
      </c>
      <c r="AL285" t="inlineStr">
        <is>
          <t/>
        </is>
      </c>
    </row>
    <row r="286">
      <c r="A286" t="inlineStr">
        <is>
          <t>我妈：你就23一斤卖总会出单的</t>
        </is>
      </c>
      <c r="B286" t="inlineStr">
        <is>
          <t>693bd331000000001e022bdc</t>
        </is>
      </c>
      <c r="C286" s="285" t="n">
        <f>HYPERLINK("https://www.xiaohongshu.com/explore/693bd331000000001e022bdc?xsec_token=TBehUwc4QxLaaQbLqKc-ieHh7DcpQrXqUtPXPYaGddM4s=&amp;xsec_source=pc_trdark","https://www.xiaohongshu.com/explore/693bd331000000001e022bdc?xsec_token=TBehUwc4QxLaaQbLqKc-ieHh7DcpQrXqUtPXPYaGddM4s=&amp;xsec_source=pc_trdark")</f>
        <v>0.0</v>
      </c>
      <c r="D286" t="inlineStr">
        <is>
          <t>鲜水湾</t>
        </is>
      </c>
      <c r="E286" t="inlineStr">
        <is>
          <t>49316638994</t>
        </is>
      </c>
      <c r="F286" t="inlineStr">
        <is>
          <t>2025-12-12 16:32:49</t>
        </is>
      </c>
      <c r="G286" t="inlineStr">
        <is>
          <t>图文</t>
        </is>
      </c>
      <c r="H286" t="inlineStr">
        <is>
          <t>大虾基围虾王牌大虾厄瓜多尔白虾盐冻虾仁海洋大虾送礼顺丰包邮</t>
        </is>
      </c>
      <c r="I286" t="inlineStr">
        <is>
          <t>690aeb7be379430001e686ac</t>
        </is>
      </c>
      <c r="J286" t="inlineStr">
        <is>
          <t/>
        </is>
      </c>
      <c r="K286" t="n">
        <v>0.0</v>
      </c>
      <c r="L286" t="n">
        <v>0.0</v>
      </c>
      <c r="M286" t="n">
        <v>0.0</v>
      </c>
      <c r="N286" t="inlineStr">
        <is>
          <t/>
        </is>
      </c>
      <c r="O286" t="n">
        <v>0.0</v>
      </c>
      <c r="P286" t="n">
        <v>0.0</v>
      </c>
      <c r="Q286" t="inlineStr">
        <is>
          <t/>
        </is>
      </c>
      <c r="R286" t="inlineStr">
        <is>
          <t/>
        </is>
      </c>
      <c r="S286" t="n">
        <v>0.0</v>
      </c>
      <c r="T286" t="n">
        <v>0.0</v>
      </c>
      <c r="U286" t="n">
        <v>0.0</v>
      </c>
      <c r="V286" t="n">
        <v>0.0</v>
      </c>
      <c r="W286" t="inlineStr">
        <is>
          <t/>
        </is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inlineStr">
        <is>
          <t/>
        </is>
      </c>
      <c r="AL286" t="inlineStr">
        <is>
          <t/>
        </is>
      </c>
    </row>
    <row r="287">
      <c r="A287" t="inlineStr">
        <is>
          <t>我妈让我抓紧宣传下，40来块一斤还包邮</t>
        </is>
      </c>
      <c r="B287" t="inlineStr">
        <is>
          <t>693bc2f0000000001e03b9ab</t>
        </is>
      </c>
      <c r="C287" s="286" t="n">
        <f>HYPERLINK("https://www.xiaohongshu.com/explore/693bc2f0000000001e03b9ab?xsec_token=TBehUwc4QxLaaQbLqKc-ieHr6izQXYwFqEiKFOzdPmOkI=&amp;xsec_source=pc_trdark","https://www.xiaohongshu.com/explore/693bc2f0000000001e03b9ab?xsec_token=TBehUwc4QxLaaQbLqKc-ieHr6izQXYwFqEiKFOzdPmOkI=&amp;xsec_source=pc_trdark")</f>
        <v>0.0</v>
      </c>
      <c r="D287" t="inlineStr">
        <is>
          <t>鲜水湾</t>
        </is>
      </c>
      <c r="E287" t="inlineStr">
        <is>
          <t>49316638994</t>
        </is>
      </c>
      <c r="F287" t="inlineStr">
        <is>
          <t>2025-12-12 15:23:28</t>
        </is>
      </c>
      <c r="G287" t="inlineStr">
        <is>
          <t>图文</t>
        </is>
      </c>
      <c r="H287" t="inlineStr">
        <is>
          <t>智利三文鱼切块·整条三文鱼·深海鱼一人食健康饮食</t>
        </is>
      </c>
      <c r="I287" t="inlineStr">
        <is>
          <t>691ac562a524ee0001b51d7b</t>
        </is>
      </c>
      <c r="J287" t="inlineStr">
        <is>
          <t/>
        </is>
      </c>
      <c r="K287" t="n">
        <v>0.0</v>
      </c>
      <c r="L287" t="n">
        <v>0.0</v>
      </c>
      <c r="M287" t="n">
        <v>0.0</v>
      </c>
      <c r="N287" t="inlineStr">
        <is>
          <t/>
        </is>
      </c>
      <c r="O287" t="n">
        <v>0.0</v>
      </c>
      <c r="P287" t="n">
        <v>0.0</v>
      </c>
      <c r="Q287" t="inlineStr">
        <is>
          <t/>
        </is>
      </c>
      <c r="R287" t="inlineStr">
        <is>
          <t/>
        </is>
      </c>
      <c r="S287" t="n">
        <v>0.0</v>
      </c>
      <c r="T287" t="n">
        <v>0.0</v>
      </c>
      <c r="U287" t="n">
        <v>0.0</v>
      </c>
      <c r="V287" t="n">
        <v>0.0</v>
      </c>
      <c r="W287" t="inlineStr">
        <is>
          <t/>
        </is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inlineStr">
        <is>
          <t/>
        </is>
      </c>
      <c r="AL287" t="inlineStr">
        <is>
          <t/>
        </is>
      </c>
    </row>
    <row r="288">
      <c r="A288" t="inlineStr">
        <is>
          <t>越吃越瘦的快乐，是整条三文鱼给的</t>
        </is>
      </c>
      <c r="B288" t="inlineStr">
        <is>
          <t>6937e457000000001e038158</t>
        </is>
      </c>
      <c r="C288" s="287" t="n">
        <f>HYPERLINK("https://www.xiaohongshu.com/explore/6937e457000000001e038158?xsec_token=TBm581DxyfKxLtHTMgt_7Xf1z8c1RGdlZUOUUVoH73L7c=&amp;xsec_source=pc_trdark","https://www.xiaohongshu.com/explore/6937e457000000001e038158?xsec_token=TBm581DxyfKxLtHTMgt_7Xf1z8c1RGdlZUOUUVoH73L7c=&amp;xsec_source=pc_trdark")</f>
        <v>0.0</v>
      </c>
      <c r="D288" t="inlineStr">
        <is>
          <t>鲜水湾</t>
        </is>
      </c>
      <c r="E288" t="inlineStr">
        <is>
          <t>49316638994</t>
        </is>
      </c>
      <c r="F288" t="inlineStr">
        <is>
          <t>2025-12-09 16:56:55</t>
        </is>
      </c>
      <c r="G288" t="inlineStr">
        <is>
          <t>图文</t>
        </is>
      </c>
      <c r="H288" t="inlineStr">
        <is>
          <t>智利三文鱼切块·整条三文鱼·深海鱼一人食健康饮食</t>
        </is>
      </c>
      <c r="I288" t="inlineStr">
        <is>
          <t>691ac562a524ee0001b51d7b</t>
        </is>
      </c>
      <c r="J288" t="inlineStr">
        <is>
          <t/>
        </is>
      </c>
      <c r="K288" t="n">
        <v>0.0</v>
      </c>
      <c r="L288" t="n">
        <v>0.0</v>
      </c>
      <c r="M288" t="n">
        <v>0.0</v>
      </c>
      <c r="N288" t="inlineStr">
        <is>
          <t/>
        </is>
      </c>
      <c r="O288" t="n">
        <v>0.0</v>
      </c>
      <c r="P288" t="n">
        <v>0.0</v>
      </c>
      <c r="Q288" t="inlineStr">
        <is>
          <t/>
        </is>
      </c>
      <c r="R288" t="inlineStr">
        <is>
          <t/>
        </is>
      </c>
      <c r="S288" t="n">
        <v>0.0</v>
      </c>
      <c r="T288" t="n">
        <v>0.0</v>
      </c>
      <c r="U288" t="n">
        <v>0.0</v>
      </c>
      <c r="V288" t="n">
        <v>0.0</v>
      </c>
      <c r="W288" t="inlineStr">
        <is>
          <t/>
        </is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inlineStr">
        <is>
          <t/>
        </is>
      </c>
      <c r="AL288" t="inlineStr">
        <is>
          <t/>
        </is>
      </c>
    </row>
    <row r="289">
      <c r="A289" t="inlineStr">
        <is>
          <t>69💰看着不起眼 实际够我吃一个周</t>
        </is>
      </c>
      <c r="B289" t="inlineStr">
        <is>
          <t>6935948e000000001f004a65</t>
        </is>
      </c>
      <c r="C289" s="288" t="n">
        <f>HYPERLINK("https://www.xiaohongshu.com/explore/6935948e000000001f004a65?xsec_token=TBVD2oNyykPWo5AeaDpfHB-spXXPzORjROCJhBE0vFZuE=&amp;xsec_source=pc_trdark","https://www.xiaohongshu.com/explore/6935948e000000001f004a65?xsec_token=TBVD2oNyykPWo5AeaDpfHB-spXXPzORjROCJhBE0vFZuE=&amp;xsec_source=pc_trdark")</f>
        <v>0.0</v>
      </c>
      <c r="D289" t="inlineStr">
        <is>
          <t>鲜水湾</t>
        </is>
      </c>
      <c r="E289" t="inlineStr">
        <is>
          <t>49316638994</t>
        </is>
      </c>
      <c r="F289" t="inlineStr">
        <is>
          <t>2025-12-07 22:51:58</t>
        </is>
      </c>
      <c r="G289" t="inlineStr">
        <is>
          <t>图文</t>
        </is>
      </c>
      <c r="H289" t="inlineStr">
        <is>
          <t>大虾基围虾王牌大虾厄瓜多尔白虾盐冻虾仁海洋大虾送礼顺丰包邮</t>
        </is>
      </c>
      <c r="I289" t="inlineStr">
        <is>
          <t>690aeb7be379430001e686ac</t>
        </is>
      </c>
      <c r="J289" t="inlineStr">
        <is>
          <t/>
        </is>
      </c>
      <c r="K289" t="n">
        <v>0.0</v>
      </c>
      <c r="L289" t="n">
        <v>0.0</v>
      </c>
      <c r="M289" t="n">
        <v>0.0</v>
      </c>
      <c r="N289" t="inlineStr">
        <is>
          <t/>
        </is>
      </c>
      <c r="O289" t="n">
        <v>0.0</v>
      </c>
      <c r="P289" t="n">
        <v>0.0</v>
      </c>
      <c r="Q289" t="inlineStr">
        <is>
          <t/>
        </is>
      </c>
      <c r="R289" t="inlineStr">
        <is>
          <t/>
        </is>
      </c>
      <c r="S289" t="n">
        <v>0.0</v>
      </c>
      <c r="T289" t="n">
        <v>0.0</v>
      </c>
      <c r="U289" t="n">
        <v>0.0</v>
      </c>
      <c r="V289" t="n">
        <v>0.0</v>
      </c>
      <c r="W289" t="inlineStr">
        <is>
          <t/>
        </is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inlineStr">
        <is>
          <t/>
        </is>
      </c>
      <c r="AL289" t="inlineStr">
        <is>
          <t/>
        </is>
      </c>
    </row>
    <row r="290">
      <c r="A290" t="inlineStr">
        <is>
          <t>爸妈对我每天吃虾表示很奢侈</t>
        </is>
      </c>
      <c r="B290" t="inlineStr">
        <is>
          <t>693397b8000000001d03918c</t>
        </is>
      </c>
      <c r="C290" s="289" t="n">
        <f>HYPERLINK("https://www.xiaohongshu.com/explore/693397b8000000001d03918c?xsec_token=TBtLw60d0rN_yGhfj7_ewzhZQrEH49D2EswsFkD3n_bkY=&amp;xsec_source=pc_trdark","https://www.xiaohongshu.com/explore/693397b8000000001d03918c?xsec_token=TBtLw60d0rN_yGhfj7_ewzhZQrEH49D2EswsFkD3n_bkY=&amp;xsec_source=pc_trdark")</f>
        <v>0.0</v>
      </c>
      <c r="D290" t="inlineStr">
        <is>
          <t>鲜水湾甄选</t>
        </is>
      </c>
      <c r="E290" t="inlineStr">
        <is>
          <t>27401929161</t>
        </is>
      </c>
      <c r="F290" t="inlineStr">
        <is>
          <t>2025-12-06 10:40:56</t>
        </is>
      </c>
      <c r="G290" t="inlineStr">
        <is>
          <t>图文</t>
        </is>
      </c>
      <c r="H290" t="inlineStr">
        <is>
          <t>大虾基围虾王牌大虾厄瓜多尔白虾盐冻虾仁海洋大虾送礼顺丰包邮</t>
        </is>
      </c>
      <c r="I290" t="inlineStr">
        <is>
          <t>690aeb7be379430001e686ac</t>
        </is>
      </c>
      <c r="J290" t="inlineStr">
        <is>
          <t/>
        </is>
      </c>
      <c r="K290" t="n">
        <v>0.0</v>
      </c>
      <c r="L290" t="n">
        <v>0.0</v>
      </c>
      <c r="M290" t="n">
        <v>0.0</v>
      </c>
      <c r="N290" t="inlineStr">
        <is>
          <t/>
        </is>
      </c>
      <c r="O290" t="n">
        <v>0.0</v>
      </c>
      <c r="P290" t="n">
        <v>0.0</v>
      </c>
      <c r="Q290" t="inlineStr">
        <is>
          <t/>
        </is>
      </c>
      <c r="R290" t="inlineStr">
        <is>
          <t/>
        </is>
      </c>
      <c r="S290" t="n">
        <v>0.0</v>
      </c>
      <c r="T290" t="n">
        <v>0.0</v>
      </c>
      <c r="U290" t="n">
        <v>0.0</v>
      </c>
      <c r="V290" t="n">
        <v>0.0</v>
      </c>
      <c r="W290" t="inlineStr">
        <is>
          <t/>
        </is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inlineStr">
        <is>
          <t/>
        </is>
      </c>
      <c r="AL290" t="inlineStr">
        <is>
          <t/>
        </is>
      </c>
    </row>
    <row r="291">
      <c r="A291" t="inlineStr">
        <is>
          <t>马上元旦了，都来囤我家大虾吧！！</t>
        </is>
      </c>
      <c r="B291" t="inlineStr">
        <is>
          <t>69328cb8000000001f0062ce</t>
        </is>
      </c>
      <c r="C291" s="290" t="n">
        <f>HYPERLINK("https://www.xiaohongshu.com/explore/69328cb8000000001f0062ce?xsec_token=TBpgGkEYDo_gVOMrYT9wIn94nVVTjcLT2GuGmQI9u37lQ=&amp;xsec_source=pc_trdark","https://www.xiaohongshu.com/explore/69328cb8000000001f0062ce?xsec_token=TBpgGkEYDo_gVOMrYT9wIn94nVVTjcLT2GuGmQI9u37lQ=&amp;xsec_source=pc_trdark")</f>
        <v>0.0</v>
      </c>
      <c r="D291" t="inlineStr">
        <is>
          <t>鲜水湾</t>
        </is>
      </c>
      <c r="E291" t="inlineStr">
        <is>
          <t>49316638994</t>
        </is>
      </c>
      <c r="F291" t="inlineStr">
        <is>
          <t>2025-12-05 15:41:44</t>
        </is>
      </c>
      <c r="G291" t="inlineStr">
        <is>
          <t>图文</t>
        </is>
      </c>
      <c r="H291" t="inlineStr">
        <is>
          <t>大虾基围虾王牌大虾厄瓜多尔白虾盐冻虾仁海洋大虾送礼顺丰包邮</t>
        </is>
      </c>
      <c r="I291" t="inlineStr">
        <is>
          <t>690aeb7be379430001e686ac</t>
        </is>
      </c>
      <c r="J291" t="inlineStr">
        <is>
          <t/>
        </is>
      </c>
      <c r="K291" t="n">
        <v>0.0</v>
      </c>
      <c r="L291" t="n">
        <v>0.0</v>
      </c>
      <c r="M291" t="n">
        <v>0.0</v>
      </c>
      <c r="N291" t="inlineStr">
        <is>
          <t/>
        </is>
      </c>
      <c r="O291" t="n">
        <v>0.0</v>
      </c>
      <c r="P291" t="n">
        <v>0.0</v>
      </c>
      <c r="Q291" t="inlineStr">
        <is>
          <t/>
        </is>
      </c>
      <c r="R291" t="inlineStr">
        <is>
          <t/>
        </is>
      </c>
      <c r="S291" t="n">
        <v>0.0</v>
      </c>
      <c r="T291" t="n">
        <v>0.0</v>
      </c>
      <c r="U291" t="n">
        <v>0.0</v>
      </c>
      <c r="V291" t="n">
        <v>0.0</v>
      </c>
      <c r="W291" t="inlineStr">
        <is>
          <t/>
        </is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inlineStr">
        <is>
          <t/>
        </is>
      </c>
      <c r="AL291" t="inlineStr">
        <is>
          <t/>
        </is>
      </c>
    </row>
    <row r="292">
      <c r="A292" t="inlineStr">
        <is>
          <t>79块钱💰以为没多少，实际够我吃半个月</t>
        </is>
      </c>
      <c r="B292" t="inlineStr">
        <is>
          <t>69313a79000000001f008142</t>
        </is>
      </c>
      <c r="C292" s="291" t="n">
        <f>HYPERLINK("https://www.xiaohongshu.com/explore/69313a79000000001f008142?xsec_token=TBE4JBHwTJxKVcqB99kbkXOCfjHVAQel4Nyp_x1ucs2EQ=&amp;xsec_source=pc_trdark","https://www.xiaohongshu.com/explore/69313a79000000001f008142?xsec_token=TBE4JBHwTJxKVcqB99kbkXOCfjHVAQel4Nyp_x1ucs2EQ=&amp;xsec_source=pc_trdark")</f>
        <v>0.0</v>
      </c>
      <c r="D292" t="inlineStr">
        <is>
          <t>鲜水湾</t>
        </is>
      </c>
      <c r="E292" t="inlineStr">
        <is>
          <t>49316638994</t>
        </is>
      </c>
      <c r="F292" t="inlineStr">
        <is>
          <t>2025-12-04 15:38:33</t>
        </is>
      </c>
      <c r="G292" t="inlineStr">
        <is>
          <t>图文</t>
        </is>
      </c>
      <c r="H292" t="inlineStr">
        <is>
          <t>大虾基围虾王牌大虾厄瓜多尔白虾盐冻虾仁海洋大虾送礼顺丰包邮</t>
        </is>
      </c>
      <c r="I292" t="inlineStr">
        <is>
          <t>690aeb7be379430001e686ac</t>
        </is>
      </c>
      <c r="J292" t="inlineStr">
        <is>
          <t/>
        </is>
      </c>
      <c r="K292" t="n">
        <v>0.0</v>
      </c>
      <c r="L292" t="n">
        <v>0.0</v>
      </c>
      <c r="M292" t="n">
        <v>0.0</v>
      </c>
      <c r="N292" t="inlineStr">
        <is>
          <t/>
        </is>
      </c>
      <c r="O292" t="n">
        <v>0.0</v>
      </c>
      <c r="P292" t="n">
        <v>0.0</v>
      </c>
      <c r="Q292" t="inlineStr">
        <is>
          <t/>
        </is>
      </c>
      <c r="R292" t="inlineStr">
        <is>
          <t/>
        </is>
      </c>
      <c r="S292" t="n">
        <v>0.0</v>
      </c>
      <c r="T292" t="n">
        <v>0.0</v>
      </c>
      <c r="U292" t="n">
        <v>0.0</v>
      </c>
      <c r="V292" t="n">
        <v>0.0</v>
      </c>
      <c r="W292" t="inlineStr">
        <is>
          <t/>
        </is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inlineStr">
        <is>
          <t/>
        </is>
      </c>
      <c r="AL292" t="inlineStr">
        <is>
          <t/>
        </is>
      </c>
    </row>
    <row r="293">
      <c r="A293" t="inlineStr">
        <is>
          <t>误以为很贵，实际80块够吃一周的大虾</t>
        </is>
      </c>
      <c r="B293" t="inlineStr">
        <is>
          <t>692c173c000000001e0263ff</t>
        </is>
      </c>
      <c r="C293" s="292" t="n">
        <f>HYPERLINK("https://www.xiaohongshu.com/explore/692c173c000000001e0263ff?xsec_token=TBH8WU3GpU8LFNJoNsVUYXEq2iwAL-tVREG-1oFvuX0eQ=&amp;xsec_source=pc_trdark","https://www.xiaohongshu.com/explore/692c173c000000001e0263ff?xsec_token=TBH8WU3GpU8LFNJoNsVUYXEq2iwAL-tVREG-1oFvuX0eQ=&amp;xsec_source=pc_trdark")</f>
        <v>0.0</v>
      </c>
      <c r="D293" t="inlineStr">
        <is>
          <t>鲜水湾</t>
        </is>
      </c>
      <c r="E293" t="inlineStr">
        <is>
          <t>49316638994</t>
        </is>
      </c>
      <c r="F293" t="inlineStr">
        <is>
          <t>2025-11-30 18:06:52</t>
        </is>
      </c>
      <c r="G293" t="inlineStr">
        <is>
          <t>图文</t>
        </is>
      </c>
      <c r="H293" t="inlineStr">
        <is>
          <t>大虾基围虾王牌大虾厄瓜多尔白虾盐冻虾仁海洋大虾送礼顺丰包邮</t>
        </is>
      </c>
      <c r="I293" t="inlineStr">
        <is>
          <t>690aeb7be379430001e686ac</t>
        </is>
      </c>
      <c r="J293" t="inlineStr">
        <is>
          <t/>
        </is>
      </c>
      <c r="K293" t="n">
        <v>0.0</v>
      </c>
      <c r="L293" t="n">
        <v>0.0</v>
      </c>
      <c r="M293" t="n">
        <v>0.0</v>
      </c>
      <c r="N293" t="inlineStr">
        <is>
          <t/>
        </is>
      </c>
      <c r="O293" t="n">
        <v>0.0</v>
      </c>
      <c r="P293" t="n">
        <v>0.0</v>
      </c>
      <c r="Q293" t="inlineStr">
        <is>
          <t/>
        </is>
      </c>
      <c r="R293" t="inlineStr">
        <is>
          <t/>
        </is>
      </c>
      <c r="S293" t="n">
        <v>0.0</v>
      </c>
      <c r="T293" t="n">
        <v>0.0</v>
      </c>
      <c r="U293" t="n">
        <v>0.0</v>
      </c>
      <c r="V293" t="n">
        <v>0.0</v>
      </c>
      <c r="W293" t="inlineStr">
        <is>
          <t/>
        </is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inlineStr">
        <is>
          <t/>
        </is>
      </c>
      <c r="AL293" t="inlineStr">
        <is>
          <t/>
        </is>
      </c>
    </row>
    <row r="294">
      <c r="A294" t="inlineStr">
        <is>
          <t>女孩们！真别小瞧这70块💰的威力</t>
        </is>
      </c>
      <c r="B294" t="inlineStr">
        <is>
          <t>692beb46000000001e021366</t>
        </is>
      </c>
      <c r="C294" s="293" t="n">
        <f>HYPERLINK("https://www.xiaohongshu.com/explore/692beb46000000001e021366?xsec_token=TBUOFn-dFmGFNcsP81XucxO926N8Yk-ONCECYkkO9-u5c=&amp;xsec_source=pc_trdark","https://www.xiaohongshu.com/explore/692beb46000000001e021366?xsec_token=TBUOFn-dFmGFNcsP81XucxO926N8Yk-ONCECYkkO9-u5c=&amp;xsec_source=pc_trdark")</f>
        <v>0.0</v>
      </c>
      <c r="D294" t="inlineStr">
        <is>
          <t>鲜水湾</t>
        </is>
      </c>
      <c r="E294" t="inlineStr">
        <is>
          <t>49316638994</t>
        </is>
      </c>
      <c r="F294" t="inlineStr">
        <is>
          <t>2025-11-30 14:59:18</t>
        </is>
      </c>
      <c r="G294" t="inlineStr">
        <is>
          <t>图文</t>
        </is>
      </c>
      <c r="H294" t="inlineStr">
        <is>
          <t>大虾基围虾王牌大虾厄瓜多尔白虾盐冻虾仁海洋大虾送礼顺丰包邮</t>
        </is>
      </c>
      <c r="I294" t="inlineStr">
        <is>
          <t>690aeb7be379430001e686ac</t>
        </is>
      </c>
      <c r="J294" t="inlineStr">
        <is>
          <t/>
        </is>
      </c>
      <c r="K294" t="n">
        <v>0.0</v>
      </c>
      <c r="L294" t="n">
        <v>0.0</v>
      </c>
      <c r="M294" t="n">
        <v>0.0</v>
      </c>
      <c r="N294" t="inlineStr">
        <is>
          <t/>
        </is>
      </c>
      <c r="O294" t="n">
        <v>0.0</v>
      </c>
      <c r="P294" t="n">
        <v>0.0</v>
      </c>
      <c r="Q294" t="inlineStr">
        <is>
          <t/>
        </is>
      </c>
      <c r="R294" t="inlineStr">
        <is>
          <t/>
        </is>
      </c>
      <c r="S294" t="n">
        <v>0.0</v>
      </c>
      <c r="T294" t="n">
        <v>0.0</v>
      </c>
      <c r="U294" t="n">
        <v>0.0</v>
      </c>
      <c r="V294" t="n">
        <v>0.0</v>
      </c>
      <c r="W294" t="inlineStr">
        <is>
          <t/>
        </is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inlineStr">
        <is>
          <t/>
        </is>
      </c>
      <c r="AL294" t="inlineStr">
        <is>
          <t/>
        </is>
      </c>
    </row>
    <row r="295">
      <c r="A295" t="inlineStr">
        <is>
          <t>我也不想买呀！可是69.9到手3斤大虾</t>
        </is>
      </c>
      <c r="B295" t="inlineStr">
        <is>
          <t>6922b439000000001f00ac21</t>
        </is>
      </c>
      <c r="C295" s="294" t="n">
        <f>HYPERLINK("https://www.xiaohongshu.com/explore/6922b439000000001f00ac21?xsec_token=TBE5pHIrkzq8Q5V7PHhpUNB7O-q2p2v632ElZ9GF1hITk=&amp;xsec_source=pc_trdark","https://www.xiaohongshu.com/explore/6922b439000000001f00ac21?xsec_token=TBE5pHIrkzq8Q5V7PHhpUNB7O-q2p2v632ElZ9GF1hITk=&amp;xsec_source=pc_trdark")</f>
        <v>0.0</v>
      </c>
      <c r="D295" t="inlineStr">
        <is>
          <t>鲜水湾</t>
        </is>
      </c>
      <c r="E295" t="inlineStr">
        <is>
          <t>49316638994</t>
        </is>
      </c>
      <c r="F295" t="inlineStr">
        <is>
          <t>2025-11-23 15:14:01</t>
        </is>
      </c>
      <c r="G295" t="inlineStr">
        <is>
          <t>图文</t>
        </is>
      </c>
      <c r="H295" t="inlineStr">
        <is>
          <t>大虾基围虾王牌大虾厄瓜多尔白虾盐冻虾仁海洋大虾送礼顺丰包邮</t>
        </is>
      </c>
      <c r="I295" t="inlineStr">
        <is>
          <t>690aeb7be379430001e686ac</t>
        </is>
      </c>
      <c r="J295" t="inlineStr">
        <is>
          <t/>
        </is>
      </c>
      <c r="K295" t="n">
        <v>0.0</v>
      </c>
      <c r="L295" t="n">
        <v>0.0</v>
      </c>
      <c r="M295" t="n">
        <v>0.0</v>
      </c>
      <c r="N295" t="inlineStr">
        <is>
          <t/>
        </is>
      </c>
      <c r="O295" t="n">
        <v>0.0</v>
      </c>
      <c r="P295" t="n">
        <v>0.0</v>
      </c>
      <c r="Q295" t="inlineStr">
        <is>
          <t/>
        </is>
      </c>
      <c r="R295" t="inlineStr">
        <is>
          <t/>
        </is>
      </c>
      <c r="S295" t="n">
        <v>0.0</v>
      </c>
      <c r="T295" t="n">
        <v>0.0</v>
      </c>
      <c r="U295" t="n">
        <v>0.0</v>
      </c>
      <c r="V295" t="n">
        <v>0.0</v>
      </c>
      <c r="W295" t="inlineStr">
        <is>
          <t/>
        </is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inlineStr">
        <is>
          <t/>
        </is>
      </c>
      <c r="AL295" t="inlineStr">
        <is>
          <t/>
        </is>
      </c>
    </row>
    <row r="296">
      <c r="A296" t="inlineStr">
        <is>
          <t>太香了！60几块就能解决一周减脂餐</t>
        </is>
      </c>
      <c r="B296" t="inlineStr">
        <is>
          <t>6921cbae000000001e030d05</t>
        </is>
      </c>
      <c r="C296" s="295" t="n">
        <f>HYPERLINK("https://www.xiaohongshu.com/explore/6921cbae000000001e030d05?xsec_token=TBXRRyp7npeNirIt6SRYXfK_xDIww_vNSnp-NhdF1eW8k=&amp;xsec_source=pc_trdark","https://www.xiaohongshu.com/explore/6921cbae000000001e030d05?xsec_token=TBXRRyp7npeNirIt6SRYXfK_xDIww_vNSnp-NhdF1eW8k=&amp;xsec_source=pc_trdark")</f>
        <v>0.0</v>
      </c>
      <c r="D296" t="inlineStr">
        <is>
          <t>鲜水湾</t>
        </is>
      </c>
      <c r="E296" t="inlineStr">
        <is>
          <t>49316638994</t>
        </is>
      </c>
      <c r="F296" t="inlineStr">
        <is>
          <t>2025-11-22 22:41:50</t>
        </is>
      </c>
      <c r="G296" t="inlineStr">
        <is>
          <t>图文</t>
        </is>
      </c>
      <c r="H296" t="inlineStr">
        <is>
          <t>大虾基围虾王牌大虾厄瓜多尔白虾盐冻虾仁海洋大虾送礼顺丰包邮</t>
        </is>
      </c>
      <c r="I296" t="inlineStr">
        <is>
          <t>690aeb7be379430001e686ac</t>
        </is>
      </c>
      <c r="J296" t="inlineStr">
        <is>
          <t/>
        </is>
      </c>
      <c r="K296" t="n">
        <v>0.0</v>
      </c>
      <c r="L296" t="n">
        <v>0.0</v>
      </c>
      <c r="M296" t="n">
        <v>0.0</v>
      </c>
      <c r="N296" t="inlineStr">
        <is>
          <t/>
        </is>
      </c>
      <c r="O296" t="n">
        <v>0.0</v>
      </c>
      <c r="P296" t="n">
        <v>0.0</v>
      </c>
      <c r="Q296" t="inlineStr">
        <is>
          <t/>
        </is>
      </c>
      <c r="R296" t="inlineStr">
        <is>
          <t/>
        </is>
      </c>
      <c r="S296" t="n">
        <v>0.0</v>
      </c>
      <c r="T296" t="n">
        <v>0.0</v>
      </c>
      <c r="U296" t="n">
        <v>0.0</v>
      </c>
      <c r="V296" t="n">
        <v>0.0</v>
      </c>
      <c r="W296" t="inlineStr">
        <is>
          <t/>
        </is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inlineStr">
        <is>
          <t/>
        </is>
      </c>
      <c r="AL296" t="inlineStr">
        <is>
          <t/>
        </is>
      </c>
    </row>
    <row r="297">
      <c r="A297" t="inlineStr">
        <is>
          <t>70块承包半月夜宵！这虾比泡面还值😭</t>
        </is>
      </c>
      <c r="B297" t="inlineStr">
        <is>
          <t>6920750f000000001f00bac4</t>
        </is>
      </c>
      <c r="C297" s="296" t="n">
        <f>HYPERLINK("https://www.xiaohongshu.com/explore/6920750f000000001f00bac4?xsec_token=TBcFPi-sXQaNHkCFFlo4RRGUWWKBNJpCXMFlBfgp8VVvE=&amp;xsec_source=pc_trdark","https://www.xiaohongshu.com/explore/6920750f000000001f00bac4?xsec_token=TBcFPi-sXQaNHkCFFlo4RRGUWWKBNJpCXMFlBfgp8VVvE=&amp;xsec_source=pc_trdark")</f>
        <v>0.0</v>
      </c>
      <c r="D297" t="inlineStr">
        <is>
          <t>鲜水湾</t>
        </is>
      </c>
      <c r="E297" t="inlineStr">
        <is>
          <t>49316638994</t>
        </is>
      </c>
      <c r="F297" t="inlineStr">
        <is>
          <t>2025-11-21 22:19:59</t>
        </is>
      </c>
      <c r="G297" t="inlineStr">
        <is>
          <t>图文</t>
        </is>
      </c>
      <c r="H297" t="inlineStr">
        <is>
          <t>大虾基围虾王牌大虾厄瓜多尔白虾盐冻虾仁海洋大虾送礼顺丰包邮</t>
        </is>
      </c>
      <c r="I297" t="inlineStr">
        <is>
          <t>690aeb7be379430001e686ac</t>
        </is>
      </c>
      <c r="J297" t="inlineStr">
        <is>
          <t/>
        </is>
      </c>
      <c r="K297" t="n">
        <v>0.0</v>
      </c>
      <c r="L297" t="n">
        <v>0.0</v>
      </c>
      <c r="M297" t="n">
        <v>0.0</v>
      </c>
      <c r="N297" t="inlineStr">
        <is>
          <t/>
        </is>
      </c>
      <c r="O297" t="n">
        <v>0.0</v>
      </c>
      <c r="P297" t="n">
        <v>0.0</v>
      </c>
      <c r="Q297" t="inlineStr">
        <is>
          <t/>
        </is>
      </c>
      <c r="R297" t="inlineStr">
        <is>
          <t/>
        </is>
      </c>
      <c r="S297" t="n">
        <v>0.0</v>
      </c>
      <c r="T297" t="n">
        <v>0.0</v>
      </c>
      <c r="U297" t="n">
        <v>0.0</v>
      </c>
      <c r="V297" t="n">
        <v>0.0</v>
      </c>
      <c r="W297" t="inlineStr">
        <is>
          <t/>
        </is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inlineStr">
        <is>
          <t/>
        </is>
      </c>
      <c r="AL297" t="inlineStr">
        <is>
          <t/>
        </is>
      </c>
    </row>
    <row r="298">
      <c r="A298" t="inlineStr">
        <is>
          <t>吃完一箱接着一箱！边吃边叟的快乐谁懂！</t>
        </is>
      </c>
      <c r="B298" t="inlineStr">
        <is>
          <t>691d8a01000000001f00e76d</t>
        </is>
      </c>
      <c r="C298" s="297" t="n">
        <f>HYPERLINK("https://www.xiaohongshu.com/explore/691d8a01000000001f00e76d?xsec_token=TBfJie4P5Jl9AylR95m8dPVGAoGaCz8bdb17x6g-MVeIE=&amp;xsec_source=pc_trdark","https://www.xiaohongshu.com/explore/691d8a01000000001f00e76d?xsec_token=TBfJie4P5Jl9AylR95m8dPVGAoGaCz8bdb17x6g-MVeIE=&amp;xsec_source=pc_trdark")</f>
        <v>0.0</v>
      </c>
      <c r="D298" t="inlineStr">
        <is>
          <t>鲜水湾</t>
        </is>
      </c>
      <c r="E298" t="inlineStr">
        <is>
          <t>49316638994</t>
        </is>
      </c>
      <c r="F298" t="inlineStr">
        <is>
          <t>2025-11-19 17:12:33</t>
        </is>
      </c>
      <c r="G298" t="inlineStr">
        <is>
          <t>图文</t>
        </is>
      </c>
      <c r="H298" t="inlineStr">
        <is>
          <t>大虾基围虾王牌大虾厄瓜多尔白虾盐冻虾仁海洋大虾送礼顺丰包邮</t>
        </is>
      </c>
      <c r="I298" t="inlineStr">
        <is>
          <t>690aeb7be379430001e686ac</t>
        </is>
      </c>
      <c r="J298" t="inlineStr">
        <is>
          <t/>
        </is>
      </c>
      <c r="K298" t="n">
        <v>0.0</v>
      </c>
      <c r="L298" t="n">
        <v>0.0</v>
      </c>
      <c r="M298" t="n">
        <v>0.0</v>
      </c>
      <c r="N298" t="inlineStr">
        <is>
          <t/>
        </is>
      </c>
      <c r="O298" t="n">
        <v>0.0</v>
      </c>
      <c r="P298" t="n">
        <v>0.0</v>
      </c>
      <c r="Q298" t="inlineStr">
        <is>
          <t/>
        </is>
      </c>
      <c r="R298" t="inlineStr">
        <is>
          <t/>
        </is>
      </c>
      <c r="S298" t="n">
        <v>0.0</v>
      </c>
      <c r="T298" t="n">
        <v>0.0</v>
      </c>
      <c r="U298" t="n">
        <v>0.0</v>
      </c>
      <c r="V298" t="n">
        <v>0.0</v>
      </c>
      <c r="W298" t="inlineStr">
        <is>
          <t/>
        </is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inlineStr">
        <is>
          <t/>
        </is>
      </c>
      <c r="AL298" t="inlineStr">
        <is>
          <t/>
        </is>
      </c>
    </row>
    <row r="299">
      <c r="A299" t="inlineStr">
        <is>
          <t>爸妈眼里的奢侈品，我的平价大虾😂</t>
        </is>
      </c>
      <c r="B299" t="inlineStr">
        <is>
          <t>691d6969000000001d03a42c</t>
        </is>
      </c>
      <c r="C299" s="298" t="n">
        <f>HYPERLINK("https://www.xiaohongshu.com/explore/691d6969000000001d03a42c?xsec_token=TBfJie4P5Jl9AylR95m8dPVMenHpSgXv-v868LiyyHrgU=&amp;xsec_source=pc_trdark","https://www.xiaohongshu.com/explore/691d6969000000001d03a42c?xsec_token=TBfJie4P5Jl9AylR95m8dPVMenHpSgXv-v868LiyyHrgU=&amp;xsec_source=pc_trdark")</f>
        <v>0.0</v>
      </c>
      <c r="D299" t="inlineStr">
        <is>
          <t>鲜水湾甄选</t>
        </is>
      </c>
      <c r="E299" t="inlineStr">
        <is>
          <t>27401929161</t>
        </is>
      </c>
      <c r="F299" t="inlineStr">
        <is>
          <t>2025-11-19 14:53:29</t>
        </is>
      </c>
      <c r="G299" t="inlineStr">
        <is>
          <t>图文</t>
        </is>
      </c>
      <c r="H299" t="inlineStr">
        <is>
          <t>大虾基围虾王牌大虾厄瓜多尔白虾盐冻虾仁海洋大虾送礼顺丰包邮</t>
        </is>
      </c>
      <c r="I299" t="inlineStr">
        <is>
          <t>690aeb7be379430001e686ac</t>
        </is>
      </c>
      <c r="J299" t="inlineStr">
        <is>
          <t/>
        </is>
      </c>
      <c r="K299" t="n">
        <v>0.0</v>
      </c>
      <c r="L299" t="n">
        <v>0.0</v>
      </c>
      <c r="M299" t="n">
        <v>0.0</v>
      </c>
      <c r="N299" t="inlineStr">
        <is>
          <t/>
        </is>
      </c>
      <c r="O299" t="n">
        <v>0.0</v>
      </c>
      <c r="P299" t="n">
        <v>0.0</v>
      </c>
      <c r="Q299" t="inlineStr">
        <is>
          <t/>
        </is>
      </c>
      <c r="R299" t="inlineStr">
        <is>
          <t/>
        </is>
      </c>
      <c r="S299" t="n">
        <v>0.0</v>
      </c>
      <c r="T299" t="n">
        <v>0.0</v>
      </c>
      <c r="U299" t="n">
        <v>0.0</v>
      </c>
      <c r="V299" t="n">
        <v>0.0</v>
      </c>
      <c r="W299" t="inlineStr">
        <is>
          <t/>
        </is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inlineStr">
        <is>
          <t/>
        </is>
      </c>
      <c r="AL299" t="inlineStr">
        <is>
          <t/>
        </is>
      </c>
    </row>
    <row r="300">
      <c r="A300" t="inlineStr">
        <is>
          <t>剥壳停不下来！Q弹鲜甜的大虾太绝了</t>
        </is>
      </c>
      <c r="B300" t="inlineStr">
        <is>
          <t>691d5e13000000001e032699</t>
        </is>
      </c>
      <c r="C300" s="299" t="n">
        <f>HYPERLINK("https://www.xiaohongshu.com/explore/691d5e13000000001e032699?xsec_token=TBfJie4P5Jl9AylR95m8dPVE7EZuDaB2Ew_HLIS6mqC7Y=&amp;xsec_source=pc_trdark","https://www.xiaohongshu.com/explore/691d5e13000000001e032699?xsec_token=TBfJie4P5Jl9AylR95m8dPVE7EZuDaB2Ew_HLIS6mqC7Y=&amp;xsec_source=pc_trdark")</f>
        <v>0.0</v>
      </c>
      <c r="D300" t="inlineStr">
        <is>
          <t>鲜水湾</t>
        </is>
      </c>
      <c r="E300" t="inlineStr">
        <is>
          <t>49316638994</t>
        </is>
      </c>
      <c r="F300" t="inlineStr">
        <is>
          <t>2025-11-19 14:05:07</t>
        </is>
      </c>
      <c r="G300" t="inlineStr">
        <is>
          <t>图文</t>
        </is>
      </c>
      <c r="H300" t="inlineStr">
        <is>
          <t>大虾基围虾王牌大虾厄瓜多尔白虾盐冻虾仁海洋大虾送礼顺丰包邮</t>
        </is>
      </c>
      <c r="I300" t="inlineStr">
        <is>
          <t>690aeb7be379430001e686ac</t>
        </is>
      </c>
      <c r="J300" t="inlineStr">
        <is>
          <t/>
        </is>
      </c>
      <c r="K300" t="n">
        <v>0.0</v>
      </c>
      <c r="L300" t="n">
        <v>0.0</v>
      </c>
      <c r="M300" t="n">
        <v>0.0</v>
      </c>
      <c r="N300" t="inlineStr">
        <is>
          <t/>
        </is>
      </c>
      <c r="O300" t="n">
        <v>0.0</v>
      </c>
      <c r="P300" t="n">
        <v>0.0</v>
      </c>
      <c r="Q300" t="inlineStr">
        <is>
          <t/>
        </is>
      </c>
      <c r="R300" t="inlineStr">
        <is>
          <t/>
        </is>
      </c>
      <c r="S300" t="n">
        <v>0.0</v>
      </c>
      <c r="T300" t="n">
        <v>0.0</v>
      </c>
      <c r="U300" t="n">
        <v>0.0</v>
      </c>
      <c r="V300" t="n">
        <v>0.0</v>
      </c>
      <c r="W300" t="inlineStr">
        <is>
          <t/>
        </is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inlineStr">
        <is>
          <t/>
        </is>
      </c>
      <c r="AL300" t="inlineStr">
        <is>
          <t/>
        </is>
      </c>
    </row>
    <row r="301">
      <c r="A301" t="inlineStr">
        <is>
          <t>我承认它是冷冻虾，但口感依旧吊打活虾</t>
        </is>
      </c>
      <c r="B301" t="inlineStr">
        <is>
          <t>691d3244000000001e022987</t>
        </is>
      </c>
      <c r="C301" s="300" t="n">
        <f>HYPERLINK("https://www.xiaohongshu.com/explore/691d3244000000001e022987?xsec_token=TBfJie4P5Jl9AylR95m8dPVCh6Mg80LBBLw3XEH6DNBDs=&amp;xsec_source=pc_trdark","https://www.xiaohongshu.com/explore/691d3244000000001e022987?xsec_token=TBfJie4P5Jl9AylR95m8dPVCh6Mg80LBBLw3XEH6DNBDs=&amp;xsec_source=pc_trdark")</f>
        <v>0.0</v>
      </c>
      <c r="D301" t="inlineStr">
        <is>
          <t>鲜水湾</t>
        </is>
      </c>
      <c r="E301" t="inlineStr">
        <is>
          <t>49316638994</t>
        </is>
      </c>
      <c r="F301" t="inlineStr">
        <is>
          <t>2025-11-19 10:58:12</t>
        </is>
      </c>
      <c r="G301" t="inlineStr">
        <is>
          <t>图文</t>
        </is>
      </c>
      <c r="H301" t="inlineStr">
        <is>
          <t>大虾基围虾王牌大虾厄瓜多尔白虾盐冻虾仁海洋大虾送礼顺丰包邮</t>
        </is>
      </c>
      <c r="I301" t="inlineStr">
        <is>
          <t>690aeb7be379430001e686ac</t>
        </is>
      </c>
      <c r="J301" t="inlineStr">
        <is>
          <t/>
        </is>
      </c>
      <c r="K301" t="n">
        <v>0.0</v>
      </c>
      <c r="L301" t="n">
        <v>0.0</v>
      </c>
      <c r="M301" t="n">
        <v>0.0</v>
      </c>
      <c r="N301" t="inlineStr">
        <is>
          <t/>
        </is>
      </c>
      <c r="O301" t="n">
        <v>0.0</v>
      </c>
      <c r="P301" t="n">
        <v>0.0</v>
      </c>
      <c r="Q301" t="inlineStr">
        <is>
          <t/>
        </is>
      </c>
      <c r="R301" t="inlineStr">
        <is>
          <t/>
        </is>
      </c>
      <c r="S301" t="n">
        <v>0.0</v>
      </c>
      <c r="T301" t="n">
        <v>0.0</v>
      </c>
      <c r="U301" t="n">
        <v>0.0</v>
      </c>
      <c r="V301" t="n">
        <v>0.0</v>
      </c>
      <c r="W301" t="inlineStr">
        <is>
          <t/>
        </is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inlineStr">
        <is>
          <t/>
        </is>
      </c>
      <c r="AL301" t="inlineStr">
        <is>
          <t/>
        </is>
      </c>
    </row>
    <row r="302">
      <c r="A302" t="inlineStr">
        <is>
          <t>一周回购2/3次，老公让我多囤点</t>
        </is>
      </c>
      <c r="B302" t="inlineStr">
        <is>
          <t>691c87a3000000001e02bcd0</t>
        </is>
      </c>
      <c r="C302" s="301" t="n">
        <f>HYPERLINK("https://www.xiaohongshu.com/explore/691c87a3000000001e02bcd0?xsec_token=TBIS8v-01Optb7rxCGgHk_CX8MEj4lfHt9FklCXsLSsoA=&amp;xsec_source=pc_trdark","https://www.xiaohongshu.com/explore/691c87a3000000001e02bcd0?xsec_token=TBIS8v-01Optb7rxCGgHk_CX8MEj4lfHt9FklCXsLSsoA=&amp;xsec_source=pc_trdark")</f>
        <v>0.0</v>
      </c>
      <c r="D302" t="inlineStr">
        <is>
          <t>鲜水湾</t>
        </is>
      </c>
      <c r="E302" t="inlineStr">
        <is>
          <t>49316638994</t>
        </is>
      </c>
      <c r="F302" t="inlineStr">
        <is>
          <t>2025-11-18 22:50:11</t>
        </is>
      </c>
      <c r="G302" t="inlineStr">
        <is>
          <t>图文</t>
        </is>
      </c>
      <c r="H302" t="inlineStr">
        <is>
          <t>虾仁冷冻虾仁去虾线新鲜速冻海鲜顺丰包邮</t>
        </is>
      </c>
      <c r="I302" t="inlineStr">
        <is>
          <t>691147a442726100013c7289</t>
        </is>
      </c>
      <c r="J302" t="inlineStr">
        <is>
          <t/>
        </is>
      </c>
      <c r="K302" t="n">
        <v>0.0</v>
      </c>
      <c r="L302" t="n">
        <v>0.0</v>
      </c>
      <c r="M302" t="n">
        <v>0.0</v>
      </c>
      <c r="N302" t="inlineStr">
        <is>
          <t/>
        </is>
      </c>
      <c r="O302" t="n">
        <v>0.0</v>
      </c>
      <c r="P302" t="n">
        <v>0.0</v>
      </c>
      <c r="Q302" t="inlineStr">
        <is>
          <t/>
        </is>
      </c>
      <c r="R302" t="inlineStr">
        <is>
          <t/>
        </is>
      </c>
      <c r="S302" t="n">
        <v>0.0</v>
      </c>
      <c r="T302" t="n">
        <v>0.0</v>
      </c>
      <c r="U302" t="n">
        <v>0.0</v>
      </c>
      <c r="V302" t="n">
        <v>0.0</v>
      </c>
      <c r="W302" t="inlineStr">
        <is>
          <t/>
        </is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inlineStr">
        <is>
          <t/>
        </is>
      </c>
      <c r="AL302" t="inlineStr">
        <is>
          <t/>
        </is>
      </c>
    </row>
    <row r="303">
      <c r="A303" t="inlineStr">
        <is>
          <t>有姐妹愿意试吃吗？5斤59.9，给地址就发顺丰</t>
        </is>
      </c>
      <c r="B303" t="inlineStr">
        <is>
          <t>691c3be3000000001e020c56</t>
        </is>
      </c>
      <c r="C303" s="302" t="n">
        <f>HYPERLINK("https://www.xiaohongshu.com/explore/691c3be3000000001e020c56?xsec_token=TBIS8v-01Optb7rxCGgHk_CSP4tPgm4H9-dXw-EPKuvaI=&amp;xsec_source=pc_trdark","https://www.xiaohongshu.com/explore/691c3be3000000001e020c56?xsec_token=TBIS8v-01Optb7rxCGgHk_CSP4tPgm4H9-dXw-EPKuvaI=&amp;xsec_source=pc_trdark")</f>
        <v>0.0</v>
      </c>
      <c r="D303" t="inlineStr">
        <is>
          <t>婉婉上班吃什么</t>
        </is>
      </c>
      <c r="E303" t="inlineStr">
        <is>
          <t>11434449706</t>
        </is>
      </c>
      <c r="F303" t="inlineStr">
        <is>
          <t>2025-11-18 17:26:59</t>
        </is>
      </c>
      <c r="G303" t="inlineStr">
        <is>
          <t>图文</t>
        </is>
      </c>
      <c r="H303" t="inlineStr">
        <is>
          <t>生蚝乳山生蚝海蛎子顺丰包邮</t>
        </is>
      </c>
      <c r="I303" t="inlineStr">
        <is>
          <t>690c70971b787900010866cc</t>
        </is>
      </c>
      <c r="J303" t="inlineStr">
        <is>
          <t/>
        </is>
      </c>
      <c r="K303" t="n">
        <v>0.0</v>
      </c>
      <c r="L303" t="n">
        <v>0.0</v>
      </c>
      <c r="M303" t="n">
        <v>0.0</v>
      </c>
      <c r="N303" t="inlineStr">
        <is>
          <t/>
        </is>
      </c>
      <c r="O303" t="n">
        <v>0.0</v>
      </c>
      <c r="P303" t="n">
        <v>0.0</v>
      </c>
      <c r="Q303" t="inlineStr">
        <is>
          <t/>
        </is>
      </c>
      <c r="R303" t="inlineStr">
        <is>
          <t/>
        </is>
      </c>
      <c r="S303" t="n">
        <v>0.0</v>
      </c>
      <c r="T303" t="n">
        <v>0.0</v>
      </c>
      <c r="U303" t="n">
        <v>0.0</v>
      </c>
      <c r="V303" t="n">
        <v>0.0</v>
      </c>
      <c r="W303" t="inlineStr">
        <is>
          <t/>
        </is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inlineStr">
        <is>
          <t/>
        </is>
      </c>
      <c r="AL303" t="inlineStr">
        <is>
          <t/>
        </is>
      </c>
    </row>
    <row r="304">
      <c r="A304" t="inlineStr">
        <is>
          <t>不愧是10w网友认证过的减重餐？？太绝了‼️</t>
        </is>
      </c>
      <c r="B304" t="inlineStr">
        <is>
          <t>691a8ff8000000000402b2b6</t>
        </is>
      </c>
      <c r="C304" s="303" t="n">
        <f>HYPERLINK("https://www.xiaohongshu.com/explore/691a8ff8000000000402b2b6?xsec_token=TB7_xX17zVvyJQL8hbcdzoIKGb5aaUt1KEEMh2gAbuHz0=&amp;xsec_source=pc_trdark","https://www.xiaohongshu.com/explore/691a8ff8000000000402b2b6?xsec_token=TB7_xX17zVvyJQL8hbcdzoIKGb5aaUt1KEEMh2gAbuHz0=&amp;xsec_source=pc_trdark")</f>
        <v>0.0</v>
      </c>
      <c r="D304" t="inlineStr">
        <is>
          <t>鲜水湾</t>
        </is>
      </c>
      <c r="E304" t="inlineStr">
        <is>
          <t>49316638994</t>
        </is>
      </c>
      <c r="F304" t="inlineStr">
        <is>
          <t>2025-11-17 11:01:12</t>
        </is>
      </c>
      <c r="G304" t="inlineStr">
        <is>
          <t>图文</t>
        </is>
      </c>
      <c r="H304" t="inlineStr">
        <is>
          <t>大虾基围虾王牌大虾厄瓜多尔白虾盐冻虾仁海洋大虾送礼顺丰包邮</t>
        </is>
      </c>
      <c r="I304" t="inlineStr">
        <is>
          <t>690aeb7be379430001e686ac</t>
        </is>
      </c>
      <c r="J304" t="inlineStr">
        <is>
          <t/>
        </is>
      </c>
      <c r="K304" t="n">
        <v>0.0</v>
      </c>
      <c r="L304" t="n">
        <v>0.0</v>
      </c>
      <c r="M304" t="n">
        <v>0.0</v>
      </c>
      <c r="N304" t="inlineStr">
        <is>
          <t/>
        </is>
      </c>
      <c r="O304" t="n">
        <v>0.0</v>
      </c>
      <c r="P304" t="n">
        <v>0.0</v>
      </c>
      <c r="Q304" t="inlineStr">
        <is>
          <t/>
        </is>
      </c>
      <c r="R304" t="inlineStr">
        <is>
          <t/>
        </is>
      </c>
      <c r="S304" t="n">
        <v>0.0</v>
      </c>
      <c r="T304" t="n">
        <v>0.0</v>
      </c>
      <c r="U304" t="n">
        <v>0.0</v>
      </c>
      <c r="V304" t="n">
        <v>0.0</v>
      </c>
      <c r="W304" t="inlineStr">
        <is>
          <t/>
        </is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inlineStr">
        <is>
          <t/>
        </is>
      </c>
      <c r="AL304" t="inlineStr">
        <is>
          <t/>
        </is>
      </c>
    </row>
    <row r="305">
      <c r="A305" t="inlineStr">
        <is>
          <t>控体人看到了嘛！上班带饭真的超简单</t>
        </is>
      </c>
      <c r="B305" t="inlineStr">
        <is>
          <t>691988350000000005039d0a</t>
        </is>
      </c>
      <c r="C305" s="304" t="n">
        <f>HYPERLINK("https://www.xiaohongshu.com/explore/691988350000000005039d0a?xsec_token=TB2xQZ9GExXu1-ypvMpLTYcAi3PmHc60D8TJtvFnEXAVU=&amp;xsec_source=pc_trdark","https://www.xiaohongshu.com/explore/691988350000000005039d0a?xsec_token=TB2xQZ9GExXu1-ypvMpLTYcAi3PmHc60D8TJtvFnEXAVU=&amp;xsec_source=pc_trdark")</f>
        <v>0.0</v>
      </c>
      <c r="D305" t="inlineStr">
        <is>
          <t>鲜水湾</t>
        </is>
      </c>
      <c r="E305" t="inlineStr">
        <is>
          <t>49316638994</t>
        </is>
      </c>
      <c r="F305" t="inlineStr">
        <is>
          <t>2025-11-16 16:15:49</t>
        </is>
      </c>
      <c r="G305" t="inlineStr">
        <is>
          <t>图文</t>
        </is>
      </c>
      <c r="H305" t="inlineStr">
        <is>
          <t>大虾基围虾王牌大虾厄瓜多尔白虾盐冻虾仁海洋大虾送礼顺丰包邮</t>
        </is>
      </c>
      <c r="I305" t="inlineStr">
        <is>
          <t>690aeb7be379430001e686ac</t>
        </is>
      </c>
      <c r="J305" t="inlineStr">
        <is>
          <t/>
        </is>
      </c>
      <c r="K305" t="n">
        <v>0.0</v>
      </c>
      <c r="L305" t="n">
        <v>0.0</v>
      </c>
      <c r="M305" t="n">
        <v>0.0</v>
      </c>
      <c r="N305" t="inlineStr">
        <is>
          <t/>
        </is>
      </c>
      <c r="O305" t="n">
        <v>0.0</v>
      </c>
      <c r="P305" t="n">
        <v>0.0</v>
      </c>
      <c r="Q305" t="inlineStr">
        <is>
          <t/>
        </is>
      </c>
      <c r="R305" t="inlineStr">
        <is>
          <t/>
        </is>
      </c>
      <c r="S305" t="n">
        <v>0.0</v>
      </c>
      <c r="T305" t="n">
        <v>0.0</v>
      </c>
      <c r="U305" t="n">
        <v>0.0</v>
      </c>
      <c r="V305" t="n">
        <v>0.0</v>
      </c>
      <c r="W305" t="inlineStr">
        <is>
          <t/>
        </is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inlineStr">
        <is>
          <t/>
        </is>
      </c>
      <c r="AL305" t="inlineStr">
        <is>
          <t/>
        </is>
      </c>
    </row>
    <row r="306">
      <c r="A306" t="inlineStr">
        <is>
          <t>连不爱网购的老妈都催我囤大虾！</t>
        </is>
      </c>
      <c r="B306" t="inlineStr">
        <is>
          <t>691837c30000000004017464</t>
        </is>
      </c>
      <c r="C306" s="305" t="n">
        <f>HYPERLINK("https://www.xiaohongshu.com/explore/691837c30000000004017464?xsec_token=TB2jG8LClQLNxZisl2ii_FqJK3qqI7shX4ABma525rQKY=&amp;xsec_source=pc_trdark","https://www.xiaohongshu.com/explore/691837c30000000004017464?xsec_token=TB2jG8LClQLNxZisl2ii_FqJK3qqI7shX4ABma525rQKY=&amp;xsec_source=pc_trdark")</f>
        <v>0.0</v>
      </c>
      <c r="D306" t="inlineStr">
        <is>
          <t>鲜水湾</t>
        </is>
      </c>
      <c r="E306" t="inlineStr">
        <is>
          <t>49316638994</t>
        </is>
      </c>
      <c r="F306" t="inlineStr">
        <is>
          <t>2025-11-15 16:20:19</t>
        </is>
      </c>
      <c r="G306" t="inlineStr">
        <is>
          <t>图文</t>
        </is>
      </c>
      <c r="H306" t="inlineStr">
        <is>
          <t>大虾基围虾王牌大虾厄瓜多尔白虾盐冻虾仁海洋大虾送礼顺丰包邮</t>
        </is>
      </c>
      <c r="I306" t="inlineStr">
        <is>
          <t>690aeb7be379430001e686ac</t>
        </is>
      </c>
      <c r="J306" t="inlineStr">
        <is>
          <t/>
        </is>
      </c>
      <c r="K306" t="n">
        <v>0.0</v>
      </c>
      <c r="L306" t="n">
        <v>0.0</v>
      </c>
      <c r="M306" t="n">
        <v>0.0</v>
      </c>
      <c r="N306" t="inlineStr">
        <is>
          <t/>
        </is>
      </c>
      <c r="O306" t="n">
        <v>0.0</v>
      </c>
      <c r="P306" t="n">
        <v>0.0</v>
      </c>
      <c r="Q306" t="inlineStr">
        <is>
          <t/>
        </is>
      </c>
      <c r="R306" t="inlineStr">
        <is>
          <t/>
        </is>
      </c>
      <c r="S306" t="n">
        <v>0.0</v>
      </c>
      <c r="T306" t="n">
        <v>0.0</v>
      </c>
      <c r="U306" t="n">
        <v>0.0</v>
      </c>
      <c r="V306" t="n">
        <v>0.0</v>
      </c>
      <c r="W306" t="inlineStr">
        <is>
          <t/>
        </is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inlineStr">
        <is>
          <t/>
        </is>
      </c>
      <c r="AL306" t="inlineStr">
        <is>
          <t/>
        </is>
      </c>
    </row>
    <row r="307">
      <c r="A307" t="inlineStr">
        <is>
          <t>误以为很贵，实际60多三大斤真的过瘾！</t>
        </is>
      </c>
      <c r="B307" t="inlineStr">
        <is>
          <t>691746070000000005032d43</t>
        </is>
      </c>
      <c r="C307" s="306" t="n">
        <f>HYPERLINK("https://www.xiaohongshu.com/explore/691746070000000005032d43?xsec_token=TBLSBfqZexCmmruTMJXuhniyb3522Q1EebKfRQ6O65R4I=&amp;xsec_source=pc_trdark","https://www.xiaohongshu.com/explore/691746070000000005032d43?xsec_token=TBLSBfqZexCmmruTMJXuhniyb3522Q1EebKfRQ6O65R4I=&amp;xsec_source=pc_trdark")</f>
        <v>0.0</v>
      </c>
      <c r="D307" t="inlineStr">
        <is>
          <t>鲜水湾</t>
        </is>
      </c>
      <c r="E307" t="inlineStr">
        <is>
          <t>49316638994</t>
        </is>
      </c>
      <c r="F307" t="inlineStr">
        <is>
          <t>2025-11-14 23:08:55</t>
        </is>
      </c>
      <c r="G307" t="inlineStr">
        <is>
          <t>图文</t>
        </is>
      </c>
      <c r="H307" t="inlineStr">
        <is>
          <t>大虾基围虾王牌大虾厄瓜多尔白虾盐冻虾仁海洋大虾送礼顺丰包邮</t>
        </is>
      </c>
      <c r="I307" t="inlineStr">
        <is>
          <t>690aeb7be379430001e686ac</t>
        </is>
      </c>
      <c r="J307" t="inlineStr">
        <is>
          <t/>
        </is>
      </c>
      <c r="K307" t="n">
        <v>0.0</v>
      </c>
      <c r="L307" t="n">
        <v>0.0</v>
      </c>
      <c r="M307" t="n">
        <v>0.0</v>
      </c>
      <c r="N307" t="inlineStr">
        <is>
          <t/>
        </is>
      </c>
      <c r="O307" t="n">
        <v>0.0</v>
      </c>
      <c r="P307" t="n">
        <v>0.0</v>
      </c>
      <c r="Q307" t="inlineStr">
        <is>
          <t/>
        </is>
      </c>
      <c r="R307" t="inlineStr">
        <is>
          <t/>
        </is>
      </c>
      <c r="S307" t="n">
        <v>0.0</v>
      </c>
      <c r="T307" t="n">
        <v>0.0</v>
      </c>
      <c r="U307" t="n">
        <v>0.0</v>
      </c>
      <c r="V307" t="n">
        <v>0.0</v>
      </c>
      <c r="W307" t="inlineStr">
        <is>
          <t/>
        </is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inlineStr">
        <is>
          <t/>
        </is>
      </c>
      <c r="AL307" t="inlineStr">
        <is>
          <t/>
        </is>
      </c>
    </row>
    <row r="308">
      <c r="A308" t="inlineStr">
        <is>
          <t>60+💰很适合上班族带饭的虾</t>
        </is>
      </c>
      <c r="B308" t="inlineStr">
        <is>
          <t>6916fd440000000004002b06</t>
        </is>
      </c>
      <c r="C308" s="307" t="n">
        <f>HYPERLINK("https://www.xiaohongshu.com/explore/6916fd440000000004002b06?xsec_token=TBHZiehrAOyLGw_5sWYDTDSSV1nrgE7qguoH2JB5X9l5I=&amp;xsec_source=pc_trdark","https://www.xiaohongshu.com/explore/6916fd440000000004002b06?xsec_token=TBHZiehrAOyLGw_5sWYDTDSSV1nrgE7qguoH2JB5X9l5I=&amp;xsec_source=pc_trdark")</f>
        <v>0.0</v>
      </c>
      <c r="D308" t="inlineStr">
        <is>
          <t>鲜水湾</t>
        </is>
      </c>
      <c r="E308" t="inlineStr">
        <is>
          <t>49316638994</t>
        </is>
      </c>
      <c r="F308" t="inlineStr">
        <is>
          <t>2025-11-14 17:58:28</t>
        </is>
      </c>
      <c r="G308" t="inlineStr">
        <is>
          <t>图文</t>
        </is>
      </c>
      <c r="H308" t="inlineStr">
        <is>
          <t>大虾基围虾王牌大虾厄瓜多尔白虾盐冻虾仁海洋大虾送礼顺丰包邮</t>
        </is>
      </c>
      <c r="I308" t="inlineStr">
        <is>
          <t>690aeb7be379430001e686ac</t>
        </is>
      </c>
      <c r="J308" t="inlineStr">
        <is>
          <t/>
        </is>
      </c>
      <c r="K308" t="n">
        <v>0.0</v>
      </c>
      <c r="L308" t="n">
        <v>0.0</v>
      </c>
      <c r="M308" t="n">
        <v>0.0</v>
      </c>
      <c r="N308" t="inlineStr">
        <is>
          <t/>
        </is>
      </c>
      <c r="O308" t="n">
        <v>0.0</v>
      </c>
      <c r="P308" t="n">
        <v>0.0</v>
      </c>
      <c r="Q308" t="inlineStr">
        <is>
          <t/>
        </is>
      </c>
      <c r="R308" t="inlineStr">
        <is>
          <t/>
        </is>
      </c>
      <c r="S308" t="n">
        <v>0.0</v>
      </c>
      <c r="T308" t="n">
        <v>0.0</v>
      </c>
      <c r="U308" t="n">
        <v>0.0</v>
      </c>
      <c r="V308" t="n">
        <v>0.0</v>
      </c>
      <c r="W308" t="inlineStr">
        <is>
          <t/>
        </is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inlineStr">
        <is>
          <t/>
        </is>
      </c>
      <c r="AL308" t="inlineStr">
        <is>
          <t/>
        </is>
      </c>
    </row>
    <row r="309">
      <c r="A309" t="inlineStr">
        <is>
          <t>看着平平无奇，大虾减酯吃属实高调</t>
        </is>
      </c>
      <c r="B309" t="inlineStr">
        <is>
          <t>6915f2e80000000004011f79</t>
        </is>
      </c>
      <c r="C309" s="308" t="n">
        <f>HYPERLINK("https://www.xiaohongshu.com/explore/6915f2e80000000004011f79?xsec_token=TBAg-veJq-9HvX6LdnoJFXatNOHb01KWFRfK1Xd1kSRNA=&amp;xsec_source=pc_trdark","https://www.xiaohongshu.com/explore/6915f2e80000000004011f79?xsec_token=TBAg-veJq-9HvX6LdnoJFXatNOHb01KWFRfK1Xd1kSRNA=&amp;xsec_source=pc_trdark")</f>
        <v>0.0</v>
      </c>
      <c r="D309" t="inlineStr">
        <is>
          <t>鲜水湾</t>
        </is>
      </c>
      <c r="E309" t="inlineStr">
        <is>
          <t>49316638994</t>
        </is>
      </c>
      <c r="F309" t="inlineStr">
        <is>
          <t>2025-11-13 23:02:00</t>
        </is>
      </c>
      <c r="G309" t="inlineStr">
        <is>
          <t>图文</t>
        </is>
      </c>
      <c r="H309" t="inlineStr">
        <is>
          <t>大虾基围虾王牌大虾厄瓜多尔白虾盐冻虾仁海洋大虾送礼顺丰包邮</t>
        </is>
      </c>
      <c r="I309" t="inlineStr">
        <is>
          <t>690aeb7be379430001e686ac</t>
        </is>
      </c>
      <c r="J309" t="inlineStr">
        <is>
          <t/>
        </is>
      </c>
      <c r="K309" t="n">
        <v>0.0</v>
      </c>
      <c r="L309" t="n">
        <v>0.0</v>
      </c>
      <c r="M309" t="n">
        <v>0.0</v>
      </c>
      <c r="N309" t="inlineStr">
        <is>
          <t/>
        </is>
      </c>
      <c r="O309" t="n">
        <v>0.0</v>
      </c>
      <c r="P309" t="n">
        <v>0.0</v>
      </c>
      <c r="Q309" t="inlineStr">
        <is>
          <t/>
        </is>
      </c>
      <c r="R309" t="inlineStr">
        <is>
          <t/>
        </is>
      </c>
      <c r="S309" t="n">
        <v>0.0</v>
      </c>
      <c r="T309" t="n">
        <v>0.0</v>
      </c>
      <c r="U309" t="n">
        <v>0.0</v>
      </c>
      <c r="V309" t="n">
        <v>0.0</v>
      </c>
      <c r="W309" t="inlineStr">
        <is>
          <t/>
        </is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inlineStr">
        <is>
          <t/>
        </is>
      </c>
      <c r="AL309" t="inlineStr">
        <is>
          <t/>
        </is>
      </c>
    </row>
    <row r="310">
      <c r="A310" t="inlineStr">
        <is>
          <t>不要低估60+💰的购买力，敞开吃吧…</t>
        </is>
      </c>
      <c r="B310" t="inlineStr">
        <is>
          <t>6915a71900000000050315c1</t>
        </is>
      </c>
      <c r="C310" s="309" t="n">
        <f>HYPERLINK("https://www.xiaohongshu.com/explore/6915a71900000000050315c1?xsec_token=TBAg-veJq-9HvX6LdnoJFXam1UmZ7vP4SKjS-YNGARor4=&amp;xsec_source=pc_trdark","https://www.xiaohongshu.com/explore/6915a71900000000050315c1?xsec_token=TBAg-veJq-9HvX6LdnoJFXam1UmZ7vP4SKjS-YNGARor4=&amp;xsec_source=pc_trdark")</f>
        <v>0.0</v>
      </c>
      <c r="D310" t="inlineStr">
        <is>
          <t>鲜水湾</t>
        </is>
      </c>
      <c r="E310" t="inlineStr">
        <is>
          <t>49316638994</t>
        </is>
      </c>
      <c r="F310" t="inlineStr">
        <is>
          <t>2025-11-13 17:38:33</t>
        </is>
      </c>
      <c r="G310" t="inlineStr">
        <is>
          <t>图文</t>
        </is>
      </c>
      <c r="H310" t="inlineStr">
        <is>
          <t>大虾基围虾王牌大虾厄瓜多尔白虾盐冻虾仁海洋大虾送礼顺丰包邮</t>
        </is>
      </c>
      <c r="I310" t="inlineStr">
        <is>
          <t>690aeb7be379430001e686ac</t>
        </is>
      </c>
      <c r="J310" t="inlineStr">
        <is>
          <t/>
        </is>
      </c>
      <c r="K310" t="n">
        <v>0.0</v>
      </c>
      <c r="L310" t="n">
        <v>0.0</v>
      </c>
      <c r="M310" t="n">
        <v>0.0</v>
      </c>
      <c r="N310" t="inlineStr">
        <is>
          <t/>
        </is>
      </c>
      <c r="O310" t="n">
        <v>0.0</v>
      </c>
      <c r="P310" t="n">
        <v>0.0</v>
      </c>
      <c r="Q310" t="inlineStr">
        <is>
          <t/>
        </is>
      </c>
      <c r="R310" t="inlineStr">
        <is>
          <t/>
        </is>
      </c>
      <c r="S310" t="n">
        <v>0.0</v>
      </c>
      <c r="T310" t="n">
        <v>0.0</v>
      </c>
      <c r="U310" t="n">
        <v>0.0</v>
      </c>
      <c r="V310" t="n">
        <v>0.0</v>
      </c>
      <c r="W310" t="inlineStr">
        <is>
          <t/>
        </is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inlineStr">
        <is>
          <t/>
        </is>
      </c>
      <c r="AL310" t="inlineStr">
        <is>
          <t/>
        </is>
      </c>
    </row>
    <row r="311">
      <c r="A311" t="inlineStr">
        <is>
          <t>太香了！60多就能买满满一箱大虾！</t>
        </is>
      </c>
      <c r="B311" t="inlineStr">
        <is>
          <t>6915760a0000000004013483</t>
        </is>
      </c>
      <c r="C311" s="310" t="n">
        <f>HYPERLINK("https://www.xiaohongshu.com/explore/6915760a0000000004013483?xsec_token=TBAg-veJq-9HvX6LdnoJFXanh0ElIUwIIMEaByNHvqITs=&amp;xsec_source=pc_trdark","https://www.xiaohongshu.com/explore/6915760a0000000004013483?xsec_token=TBAg-veJq-9HvX6LdnoJFXanh0ElIUwIIMEaByNHvqITs=&amp;xsec_source=pc_trdark")</f>
        <v>0.0</v>
      </c>
      <c r="D311" t="inlineStr">
        <is>
          <t>鲜水湾</t>
        </is>
      </c>
      <c r="E311" t="inlineStr">
        <is>
          <t>49316638994</t>
        </is>
      </c>
      <c r="F311" t="inlineStr">
        <is>
          <t>2025-11-13 14:09:14</t>
        </is>
      </c>
      <c r="G311" t="inlineStr">
        <is>
          <t>图文</t>
        </is>
      </c>
      <c r="H311" t="inlineStr">
        <is>
          <t>大虾基围虾王牌大虾厄瓜多尔白虾盐冻虾仁海洋大虾送礼顺丰包邮</t>
        </is>
      </c>
      <c r="I311" t="inlineStr">
        <is>
          <t>690aeb7be379430001e686ac</t>
        </is>
      </c>
      <c r="J311" t="inlineStr">
        <is>
          <t/>
        </is>
      </c>
      <c r="K311" t="n">
        <v>0.0</v>
      </c>
      <c r="L311" t="n">
        <v>0.0</v>
      </c>
      <c r="M311" t="n">
        <v>0.0</v>
      </c>
      <c r="N311" t="inlineStr">
        <is>
          <t/>
        </is>
      </c>
      <c r="O311" t="n">
        <v>0.0</v>
      </c>
      <c r="P311" t="n">
        <v>0.0</v>
      </c>
      <c r="Q311" t="inlineStr">
        <is>
          <t/>
        </is>
      </c>
      <c r="R311" t="inlineStr">
        <is>
          <t/>
        </is>
      </c>
      <c r="S311" t="n">
        <v>0.0</v>
      </c>
      <c r="T311" t="n">
        <v>0.0</v>
      </c>
      <c r="U311" t="n">
        <v>0.0</v>
      </c>
      <c r="V311" t="n">
        <v>0.0</v>
      </c>
      <c r="W311" t="inlineStr">
        <is>
          <t/>
        </is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inlineStr">
        <is>
          <t/>
        </is>
      </c>
      <c r="AL311" t="inlineStr">
        <is>
          <t/>
        </is>
      </c>
    </row>
    <row r="312">
      <c r="A312" t="inlineStr">
        <is>
          <t>在办公室吃虾，结果整个公司都被种草了🥺</t>
        </is>
      </c>
      <c r="B312" t="inlineStr">
        <is>
          <t>69154f1a0000000004011889</t>
        </is>
      </c>
      <c r="C312" s="311" t="n">
        <f>HYPERLINK("https://www.xiaohongshu.com/explore/69154f1a0000000004011889?xsec_token=TBAg-veJq-9HvX6LdnoJFXasyK0CljA2XvM9Bauv3uBSI=&amp;xsec_source=pc_trdark","https://www.xiaohongshu.com/explore/69154f1a0000000004011889?xsec_token=TBAg-veJq-9HvX6LdnoJFXasyK0CljA2XvM9Bauv3uBSI=&amp;xsec_source=pc_trdark")</f>
        <v>0.0</v>
      </c>
      <c r="D312" t="inlineStr">
        <is>
          <t>鲜水湾</t>
        </is>
      </c>
      <c r="E312" t="inlineStr">
        <is>
          <t>49316638994</t>
        </is>
      </c>
      <c r="F312" t="inlineStr">
        <is>
          <t>2025-11-13 11:23:06</t>
        </is>
      </c>
      <c r="G312" t="inlineStr">
        <is>
          <t>图文</t>
        </is>
      </c>
      <c r="H312" t="inlineStr">
        <is>
          <t>大虾基围虾王牌大虾厄瓜多尔白虾盐冻虾仁海洋大虾送礼顺丰包邮</t>
        </is>
      </c>
      <c r="I312" t="inlineStr">
        <is>
          <t>690aeb7be379430001e686ac</t>
        </is>
      </c>
      <c r="J312" t="inlineStr">
        <is>
          <t/>
        </is>
      </c>
      <c r="K312" t="n">
        <v>0.0</v>
      </c>
      <c r="L312" t="n">
        <v>0.0</v>
      </c>
      <c r="M312" t="n">
        <v>0.0</v>
      </c>
      <c r="N312" t="inlineStr">
        <is>
          <t/>
        </is>
      </c>
      <c r="O312" t="n">
        <v>0.0</v>
      </c>
      <c r="P312" t="n">
        <v>0.0</v>
      </c>
      <c r="Q312" t="inlineStr">
        <is>
          <t/>
        </is>
      </c>
      <c r="R312" t="inlineStr">
        <is>
          <t/>
        </is>
      </c>
      <c r="S312" t="n">
        <v>0.0</v>
      </c>
      <c r="T312" t="n">
        <v>0.0</v>
      </c>
      <c r="U312" t="n">
        <v>0.0</v>
      </c>
      <c r="V312" t="n">
        <v>0.0</v>
      </c>
      <c r="W312" t="inlineStr">
        <is>
          <t/>
        </is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inlineStr">
        <is>
          <t/>
        </is>
      </c>
      <c r="AL312" t="inlineStr">
        <is>
          <t/>
        </is>
      </c>
    </row>
    <row r="313">
      <c r="A313" t="inlineStr">
        <is>
          <t>一个撑死人，但热量很低的东西</t>
        </is>
      </c>
      <c r="B313" t="inlineStr">
        <is>
          <t>691536610000000005038349</t>
        </is>
      </c>
      <c r="C313" s="312" t="n">
        <f>HYPERLINK("https://www.xiaohongshu.com/explore/691536610000000005038349?xsec_token=TBAg-veJq-9HvX6LdnoJFXarZMzV1DxcevWIzpzDNO-ZI=&amp;xsec_source=pc_trdark","https://www.xiaohongshu.com/explore/691536610000000005038349?xsec_token=TBAg-veJq-9HvX6LdnoJFXarZMzV1DxcevWIzpzDNO-ZI=&amp;xsec_source=pc_trdark")</f>
        <v>0.0</v>
      </c>
      <c r="D313" t="inlineStr">
        <is>
          <t>鲜水湾</t>
        </is>
      </c>
      <c r="E313" t="inlineStr">
        <is>
          <t>49316638994</t>
        </is>
      </c>
      <c r="F313" t="inlineStr">
        <is>
          <t>2025-11-13 09:37:37</t>
        </is>
      </c>
      <c r="G313" t="inlineStr">
        <is>
          <t>图文</t>
        </is>
      </c>
      <c r="H313" t="inlineStr">
        <is>
          <t>大虾基围虾王牌大虾厄瓜多尔白虾盐冻虾仁海洋大虾送礼顺丰包邮</t>
        </is>
      </c>
      <c r="I313" t="inlineStr">
        <is>
          <t>690aeb7be379430001e686ac</t>
        </is>
      </c>
      <c r="J313" t="inlineStr">
        <is>
          <t/>
        </is>
      </c>
      <c r="K313" t="n">
        <v>0.0</v>
      </c>
      <c r="L313" t="n">
        <v>0.0</v>
      </c>
      <c r="M313" t="n">
        <v>0.0</v>
      </c>
      <c r="N313" t="inlineStr">
        <is>
          <t/>
        </is>
      </c>
      <c r="O313" t="n">
        <v>0.0</v>
      </c>
      <c r="P313" t="n">
        <v>0.0</v>
      </c>
      <c r="Q313" t="inlineStr">
        <is>
          <t/>
        </is>
      </c>
      <c r="R313" t="inlineStr">
        <is>
          <t/>
        </is>
      </c>
      <c r="S313" t="n">
        <v>0.0</v>
      </c>
      <c r="T313" t="n">
        <v>0.0</v>
      </c>
      <c r="U313" t="n">
        <v>0.0</v>
      </c>
      <c r="V313" t="n">
        <v>0.0</v>
      </c>
      <c r="W313" t="inlineStr">
        <is>
          <t/>
        </is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inlineStr">
        <is>
          <t/>
        </is>
      </c>
      <c r="AL313" t="inlineStr">
        <is>
          <t/>
        </is>
      </c>
    </row>
    <row r="314">
      <c r="A314" t="inlineStr">
        <is>
          <t>对不起，减酯人的白月光，真的不踩雷</t>
        </is>
      </c>
      <c r="B314" t="inlineStr">
        <is>
          <t>6914588500000000040292dc</t>
        </is>
      </c>
      <c r="C314" s="313" t="n">
        <f>HYPERLINK("https://www.xiaohongshu.com/explore/6914588500000000040292dc?xsec_token=TBaXvlcWwd_4ttBIqZOUWAk0YJ_nBpwGV4KfCEu0alswI=&amp;xsec_source=pc_trdark","https://www.xiaohongshu.com/explore/6914588500000000040292dc?xsec_token=TBaXvlcWwd_4ttBIqZOUWAk0YJ_nBpwGV4KfCEu0alswI=&amp;xsec_source=pc_trdark")</f>
        <v>0.0</v>
      </c>
      <c r="D314" t="inlineStr">
        <is>
          <t>鲜水湾</t>
        </is>
      </c>
      <c r="E314" t="inlineStr">
        <is>
          <t>49316638994</t>
        </is>
      </c>
      <c r="F314" t="inlineStr">
        <is>
          <t>2025-11-12 17:51:01</t>
        </is>
      </c>
      <c r="G314" t="inlineStr">
        <is>
          <t>图文</t>
        </is>
      </c>
      <c r="H314" t="inlineStr">
        <is>
          <t>大虾基围虾王牌大虾厄瓜多尔白虾盐冻虾仁海洋大虾送礼顺丰包邮</t>
        </is>
      </c>
      <c r="I314" t="inlineStr">
        <is>
          <t>690aeb7be379430001e686ac</t>
        </is>
      </c>
      <c r="J314" t="inlineStr">
        <is>
          <t/>
        </is>
      </c>
      <c r="K314" t="n">
        <v>0.0</v>
      </c>
      <c r="L314" t="n">
        <v>0.0</v>
      </c>
      <c r="M314" t="n">
        <v>0.0</v>
      </c>
      <c r="N314" t="inlineStr">
        <is>
          <t/>
        </is>
      </c>
      <c r="O314" t="n">
        <v>0.0</v>
      </c>
      <c r="P314" t="n">
        <v>0.0</v>
      </c>
      <c r="Q314" t="inlineStr">
        <is>
          <t/>
        </is>
      </c>
      <c r="R314" t="inlineStr">
        <is>
          <t/>
        </is>
      </c>
      <c r="S314" t="n">
        <v>0.0</v>
      </c>
      <c r="T314" t="n">
        <v>0.0</v>
      </c>
      <c r="U314" t="n">
        <v>0.0</v>
      </c>
      <c r="V314" t="n">
        <v>0.0</v>
      </c>
      <c r="W314" t="inlineStr">
        <is>
          <t/>
        </is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inlineStr">
        <is>
          <t/>
        </is>
      </c>
      <c r="AL314" t="inlineStr">
        <is>
          <t/>
        </is>
      </c>
    </row>
    <row r="315">
      <c r="A315" t="inlineStr">
        <is>
          <t>60几块钱的购买力，远比我想得多得多</t>
        </is>
      </c>
      <c r="B315" t="inlineStr">
        <is>
          <t>691441d10000000005030f68</t>
        </is>
      </c>
      <c r="C315" s="314" t="n">
        <f>HYPERLINK("https://www.xiaohongshu.com/explore/691441d10000000005030f68?xsec_token=TBaXvlcWwd_4ttBIqZOUWAk4TCcJLygE0Kvb13kaLE6xU=&amp;xsec_source=pc_trdark","https://www.xiaohongshu.com/explore/691441d10000000005030f68?xsec_token=TBaXvlcWwd_4ttBIqZOUWAk4TCcJLygE0Kvb13kaLE6xU=&amp;xsec_source=pc_trdark")</f>
        <v>0.0</v>
      </c>
      <c r="D315" t="inlineStr">
        <is>
          <t>鲜水湾</t>
        </is>
      </c>
      <c r="E315" t="inlineStr">
        <is>
          <t>49316638994</t>
        </is>
      </c>
      <c r="F315" t="inlineStr">
        <is>
          <t>2025-11-12 16:14:09</t>
        </is>
      </c>
      <c r="G315" t="inlineStr">
        <is>
          <t>图文</t>
        </is>
      </c>
      <c r="H315" t="inlineStr">
        <is>
          <t>大虾基围虾王牌大虾厄瓜多尔白虾盐冻虾仁海洋大虾送礼顺丰包邮</t>
        </is>
      </c>
      <c r="I315" t="inlineStr">
        <is>
          <t>690aeb7be379430001e686ac</t>
        </is>
      </c>
      <c r="J315" t="inlineStr">
        <is>
          <t/>
        </is>
      </c>
      <c r="K315" t="n">
        <v>0.0</v>
      </c>
      <c r="L315" t="n">
        <v>0.0</v>
      </c>
      <c r="M315" t="n">
        <v>0.0</v>
      </c>
      <c r="N315" t="inlineStr">
        <is>
          <t/>
        </is>
      </c>
      <c r="O315" t="n">
        <v>0.0</v>
      </c>
      <c r="P315" t="n">
        <v>0.0</v>
      </c>
      <c r="Q315" t="inlineStr">
        <is>
          <t/>
        </is>
      </c>
      <c r="R315" t="inlineStr">
        <is>
          <t/>
        </is>
      </c>
      <c r="S315" t="n">
        <v>0.0</v>
      </c>
      <c r="T315" t="n">
        <v>0.0</v>
      </c>
      <c r="U315" t="n">
        <v>0.0</v>
      </c>
      <c r="V315" t="n">
        <v>0.0</v>
      </c>
      <c r="W315" t="inlineStr">
        <is>
          <t/>
        </is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inlineStr">
        <is>
          <t/>
        </is>
      </c>
      <c r="AL315" t="inlineStr">
        <is>
          <t/>
        </is>
      </c>
    </row>
    <row r="316">
      <c r="A316" t="inlineStr">
        <is>
          <t>凭一己之力带动办公室回购了10箱</t>
        </is>
      </c>
      <c r="B316" t="inlineStr">
        <is>
          <t>69142b920000000004001b6b</t>
        </is>
      </c>
      <c r="C316" s="315" t="n">
        <f>HYPERLINK("https://www.xiaohongshu.com/explore/69142b920000000004001b6b?xsec_token=TBaXvlcWwd_4ttBIqZOUWAk9vdzY8ohUSZj3BrEk9v42s=&amp;xsec_source=pc_trdark","https://www.xiaohongshu.com/explore/69142b920000000004001b6b?xsec_token=TBaXvlcWwd_4ttBIqZOUWAk9vdzY8ohUSZj3BrEk9v42s=&amp;xsec_source=pc_trdark")</f>
        <v>0.0</v>
      </c>
      <c r="D316" t="inlineStr">
        <is>
          <t>鲜水湾</t>
        </is>
      </c>
      <c r="E316" t="inlineStr">
        <is>
          <t>49316638994</t>
        </is>
      </c>
      <c r="F316" t="inlineStr">
        <is>
          <t>2025-11-12 14:39:14</t>
        </is>
      </c>
      <c r="G316" t="inlineStr">
        <is>
          <t>图文</t>
        </is>
      </c>
      <c r="H316" t="inlineStr">
        <is>
          <t>大虾基围虾王牌大虾厄瓜多尔白虾盐冻虾仁海洋大虾送礼顺丰包邮</t>
        </is>
      </c>
      <c r="I316" t="inlineStr">
        <is>
          <t>690aeb7be379430001e686ac</t>
        </is>
      </c>
      <c r="J316" t="inlineStr">
        <is>
          <t/>
        </is>
      </c>
      <c r="K316" t="n">
        <v>0.0</v>
      </c>
      <c r="L316" t="n">
        <v>0.0</v>
      </c>
      <c r="M316" t="n">
        <v>0.0</v>
      </c>
      <c r="N316" t="inlineStr">
        <is>
          <t/>
        </is>
      </c>
      <c r="O316" t="n">
        <v>0.0</v>
      </c>
      <c r="P316" t="n">
        <v>0.0</v>
      </c>
      <c r="Q316" t="inlineStr">
        <is>
          <t/>
        </is>
      </c>
      <c r="R316" t="inlineStr">
        <is>
          <t/>
        </is>
      </c>
      <c r="S316" t="n">
        <v>0.0</v>
      </c>
      <c r="T316" t="n">
        <v>0.0</v>
      </c>
      <c r="U316" t="n">
        <v>0.0</v>
      </c>
      <c r="V316" t="n">
        <v>0.0</v>
      </c>
      <c r="W316" t="inlineStr">
        <is>
          <t/>
        </is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inlineStr">
        <is>
          <t/>
        </is>
      </c>
      <c r="AL316" t="inlineStr">
        <is>
          <t/>
        </is>
      </c>
    </row>
    <row r="317">
      <c r="A317" t="inlineStr">
        <is>
          <t>女孩们，千万别小瞧60块的购买力</t>
        </is>
      </c>
      <c r="B317" t="inlineStr">
        <is>
          <t>691426fb0000000007039a15</t>
        </is>
      </c>
      <c r="C317" s="316" t="n">
        <f>HYPERLINK("https://www.xiaohongshu.com/explore/691426fb0000000007039a15?xsec_token=TBaXvlcWwd_4ttBIqZOUWAk-rRiUTIHwOdDE-46MSMzQs=&amp;xsec_source=pc_trdark","https://www.xiaohongshu.com/explore/691426fb0000000007039a15?xsec_token=TBaXvlcWwd_4ttBIqZOUWAk-rRiUTIHwOdDE-46MSMzQs=&amp;xsec_source=pc_trdark")</f>
        <v>0.0</v>
      </c>
      <c r="D317" t="inlineStr">
        <is>
          <t>鲜水湾甄选</t>
        </is>
      </c>
      <c r="E317" t="inlineStr">
        <is>
          <t>27401929161</t>
        </is>
      </c>
      <c r="F317" t="inlineStr">
        <is>
          <t>2025-11-12 14:19:39</t>
        </is>
      </c>
      <c r="G317" t="inlineStr">
        <is>
          <t>图文</t>
        </is>
      </c>
      <c r="H317" t="inlineStr">
        <is>
          <t>大虾基围虾王牌大虾厄瓜多尔白虾盐冻虾仁海洋大虾送礼顺丰包邮</t>
        </is>
      </c>
      <c r="I317" t="inlineStr">
        <is>
          <t>690aeb7be379430001e686ac</t>
        </is>
      </c>
      <c r="J317" t="inlineStr">
        <is>
          <t/>
        </is>
      </c>
      <c r="K317" t="n">
        <v>0.0</v>
      </c>
      <c r="L317" t="n">
        <v>0.0</v>
      </c>
      <c r="M317" t="n">
        <v>0.0</v>
      </c>
      <c r="N317" t="inlineStr">
        <is>
          <t/>
        </is>
      </c>
      <c r="O317" t="n">
        <v>0.0</v>
      </c>
      <c r="P317" t="n">
        <v>0.0</v>
      </c>
      <c r="Q317" t="inlineStr">
        <is>
          <t/>
        </is>
      </c>
      <c r="R317" t="inlineStr">
        <is>
          <t/>
        </is>
      </c>
      <c r="S317" t="n">
        <v>0.0</v>
      </c>
      <c r="T317" t="n">
        <v>0.0</v>
      </c>
      <c r="U317" t="n">
        <v>0.0</v>
      </c>
      <c r="V317" t="n">
        <v>0.0</v>
      </c>
      <c r="W317" t="inlineStr">
        <is>
          <t/>
        </is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inlineStr">
        <is>
          <t/>
        </is>
      </c>
      <c r="AL317" t="inlineStr">
        <is>
          <t/>
        </is>
      </c>
    </row>
    <row r="318">
      <c r="A318" t="inlineStr">
        <is>
          <t>好吃我已经说累了，没看到就随缘吧！</t>
        </is>
      </c>
      <c r="B318" t="inlineStr">
        <is>
          <t>691417bd0000000005030f0d</t>
        </is>
      </c>
      <c r="C318" s="317" t="n">
        <f>HYPERLINK("https://www.xiaohongshu.com/explore/691417bd0000000005030f0d?xsec_token=TBaXvlcWwd_4ttBIqZOUWAk7TEQNKjvFHsyZ2f00p00MU=&amp;xsec_source=pc_trdark","https://www.xiaohongshu.com/explore/691417bd0000000005030f0d?xsec_token=TBaXvlcWwd_4ttBIqZOUWAk7TEQNKjvFHsyZ2f00p00MU=&amp;xsec_source=pc_trdark")</f>
        <v>0.0</v>
      </c>
      <c r="D318" t="inlineStr">
        <is>
          <t>鲜水湾</t>
        </is>
      </c>
      <c r="E318" t="inlineStr">
        <is>
          <t>49316638994</t>
        </is>
      </c>
      <c r="F318" t="inlineStr">
        <is>
          <t>2025-11-12 13:14:37</t>
        </is>
      </c>
      <c r="G318" t="inlineStr">
        <is>
          <t>图文</t>
        </is>
      </c>
      <c r="H318" t="inlineStr">
        <is>
          <t>大虾基围虾王牌大虾厄瓜多尔白虾盐冻虾仁海洋大虾送礼顺丰包邮</t>
        </is>
      </c>
      <c r="I318" t="inlineStr">
        <is>
          <t>690aeb7be379430001e686ac</t>
        </is>
      </c>
      <c r="J318" t="inlineStr">
        <is>
          <t/>
        </is>
      </c>
      <c r="K318" t="n">
        <v>0.0</v>
      </c>
      <c r="L318" t="n">
        <v>0.0</v>
      </c>
      <c r="M318" t="n">
        <v>0.0</v>
      </c>
      <c r="N318" t="inlineStr">
        <is>
          <t/>
        </is>
      </c>
      <c r="O318" t="n">
        <v>0.0</v>
      </c>
      <c r="P318" t="n">
        <v>0.0</v>
      </c>
      <c r="Q318" t="inlineStr">
        <is>
          <t/>
        </is>
      </c>
      <c r="R318" t="inlineStr">
        <is>
          <t/>
        </is>
      </c>
      <c r="S318" t="n">
        <v>0.0</v>
      </c>
      <c r="T318" t="n">
        <v>0.0</v>
      </c>
      <c r="U318" t="n">
        <v>0.0</v>
      </c>
      <c r="V318" t="n">
        <v>0.0</v>
      </c>
      <c r="W318" t="inlineStr">
        <is>
          <t/>
        </is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inlineStr">
        <is>
          <t/>
        </is>
      </c>
      <c r="AL318" t="inlineStr">
        <is>
          <t/>
        </is>
      </c>
    </row>
    <row r="319">
      <c r="A319" t="inlineStr">
        <is>
          <t>感谢小红书，让我感受到69.9吃一周的快乐！</t>
        </is>
      </c>
      <c r="B319" t="inlineStr">
        <is>
          <t>6913ee9d0000000007016882</t>
        </is>
      </c>
      <c r="C319" s="318" t="n">
        <f>HYPERLINK("https://www.xiaohongshu.com/explore/6913ee9d0000000007016882?xsec_token=TBuRf-kx9cRMi3U9rbAm1Pe8DVCyJ3Zxqwm_4r98psAvs=&amp;xsec_source=pc_trdark","https://www.xiaohongshu.com/explore/6913ee9d0000000007016882?xsec_token=TBuRf-kx9cRMi3U9rbAm1Pe8DVCyJ3Zxqwm_4r98psAvs=&amp;xsec_source=pc_trdark")</f>
        <v>0.0</v>
      </c>
      <c r="D319" t="inlineStr">
        <is>
          <t>鲜水湾甄选</t>
        </is>
      </c>
      <c r="E319" t="inlineStr">
        <is>
          <t>27401929161</t>
        </is>
      </c>
      <c r="F319" t="inlineStr">
        <is>
          <t>2025-11-12 10:19:09</t>
        </is>
      </c>
      <c r="G319" t="inlineStr">
        <is>
          <t>图文</t>
        </is>
      </c>
      <c r="H319" t="inlineStr">
        <is>
          <t>大虾基围虾王牌大虾厄瓜多尔白虾盐冻虾仁海洋大虾送礼顺丰包邮</t>
        </is>
      </c>
      <c r="I319" t="inlineStr">
        <is>
          <t>690aeb7be379430001e686ac</t>
        </is>
      </c>
      <c r="J319" t="inlineStr">
        <is>
          <t/>
        </is>
      </c>
      <c r="K319" t="n">
        <v>0.0</v>
      </c>
      <c r="L319" t="n">
        <v>0.0</v>
      </c>
      <c r="M319" t="n">
        <v>0.0</v>
      </c>
      <c r="N319" t="inlineStr">
        <is>
          <t/>
        </is>
      </c>
      <c r="O319" t="n">
        <v>0.0</v>
      </c>
      <c r="P319" t="n">
        <v>0.0</v>
      </c>
      <c r="Q319" t="inlineStr">
        <is>
          <t/>
        </is>
      </c>
      <c r="R319" t="inlineStr">
        <is>
          <t/>
        </is>
      </c>
      <c r="S319" t="n">
        <v>0.0</v>
      </c>
      <c r="T319" t="n">
        <v>0.0</v>
      </c>
      <c r="U319" t="n">
        <v>0.0</v>
      </c>
      <c r="V319" t="n">
        <v>0.0</v>
      </c>
      <c r="W319" t="inlineStr">
        <is>
          <t/>
        </is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inlineStr">
        <is>
          <t/>
        </is>
      </c>
      <c r="AL319" t="inlineStr">
        <is>
          <t/>
        </is>
      </c>
    </row>
    <row r="320">
      <c r="A320" t="inlineStr">
        <is>
          <t>健身党的优质蛋白！60多的大虾超划算</t>
        </is>
      </c>
      <c r="B320" t="inlineStr">
        <is>
          <t>6913e42a00000000050133fc</t>
        </is>
      </c>
      <c r="C320" s="319" t="n">
        <f>HYPERLINK("https://www.xiaohongshu.com/explore/6913e42a00000000050133fc?xsec_token=TBuRf-kx9cRMi3U9rbAm1Pe6WLdTVG4Xw6AsmAU7FAU5w=&amp;xsec_source=pc_trdark","https://www.xiaohongshu.com/explore/6913e42a00000000050133fc?xsec_token=TBuRf-kx9cRMi3U9rbAm1Pe6WLdTVG4Xw6AsmAU7FAU5w=&amp;xsec_source=pc_trdark")</f>
        <v>0.0</v>
      </c>
      <c r="D320" t="inlineStr">
        <is>
          <t>鲜水湾</t>
        </is>
      </c>
      <c r="E320" t="inlineStr">
        <is>
          <t>49316638994</t>
        </is>
      </c>
      <c r="F320" t="inlineStr">
        <is>
          <t>2025-11-12 09:34:34</t>
        </is>
      </c>
      <c r="G320" t="inlineStr">
        <is>
          <t>图文</t>
        </is>
      </c>
      <c r="H320" t="inlineStr">
        <is>
          <t>大虾基围虾王牌大虾厄瓜多尔白虾盐冻虾仁海洋大虾送礼顺丰包邮</t>
        </is>
      </c>
      <c r="I320" t="inlineStr">
        <is>
          <t>690aeb7be379430001e686ac</t>
        </is>
      </c>
      <c r="J320" t="inlineStr">
        <is>
          <t/>
        </is>
      </c>
      <c r="K320" t="n">
        <v>0.0</v>
      </c>
      <c r="L320" t="n">
        <v>0.0</v>
      </c>
      <c r="M320" t="n">
        <v>0.0</v>
      </c>
      <c r="N320" t="inlineStr">
        <is>
          <t/>
        </is>
      </c>
      <c r="O320" t="n">
        <v>0.0</v>
      </c>
      <c r="P320" t="n">
        <v>0.0</v>
      </c>
      <c r="Q320" t="inlineStr">
        <is>
          <t/>
        </is>
      </c>
      <c r="R320" t="inlineStr">
        <is>
          <t/>
        </is>
      </c>
      <c r="S320" t="n">
        <v>0.0</v>
      </c>
      <c r="T320" t="n">
        <v>0.0</v>
      </c>
      <c r="U320" t="n">
        <v>0.0</v>
      </c>
      <c r="V320" t="n">
        <v>0.0</v>
      </c>
      <c r="W320" t="inlineStr">
        <is>
          <t/>
        </is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inlineStr">
        <is>
          <t/>
        </is>
      </c>
      <c r="AL320" t="inlineStr">
        <is>
          <t/>
        </is>
      </c>
    </row>
    <row r="321">
      <c r="A321" t="inlineStr">
        <is>
          <t>60多块的购买力解决上班族十天的优质蛋白</t>
        </is>
      </c>
      <c r="B321" t="inlineStr">
        <is>
          <t>6913498d0000000004003e56</t>
        </is>
      </c>
      <c r="C321" s="320" t="n">
        <f>HYPERLINK("https://www.xiaohongshu.com/explore/6913498d0000000004003e56?xsec_token=TBuRf-kx9cRMi3U9rbAm1Pe6Y7t0mc0gMNlSQ5U3k5_mc=&amp;xsec_source=pc_trdark","https://www.xiaohongshu.com/explore/6913498d0000000004003e56?xsec_token=TBuRf-kx9cRMi3U9rbAm1Pe6Y7t0mc0gMNlSQ5U3k5_mc=&amp;xsec_source=pc_trdark")</f>
        <v>0.0</v>
      </c>
      <c r="D321" t="inlineStr">
        <is>
          <t>鲜水湾</t>
        </is>
      </c>
      <c r="E321" t="inlineStr">
        <is>
          <t>49316638994</t>
        </is>
      </c>
      <c r="F321" t="inlineStr">
        <is>
          <t>2025-11-11 22:34:53</t>
        </is>
      </c>
      <c r="G321" t="inlineStr">
        <is>
          <t>图文</t>
        </is>
      </c>
      <c r="H321" t="inlineStr">
        <is>
          <t>大虾基围虾王牌大虾厄瓜多尔白虾盐冻虾仁海洋大虾送礼顺丰包邮</t>
        </is>
      </c>
      <c r="I321" t="inlineStr">
        <is>
          <t>690aeb7be379430001e686ac</t>
        </is>
      </c>
      <c r="J321" t="inlineStr">
        <is>
          <t/>
        </is>
      </c>
      <c r="K321" t="n">
        <v>0.0</v>
      </c>
      <c r="L321" t="n">
        <v>0.0</v>
      </c>
      <c r="M321" t="n">
        <v>0.0</v>
      </c>
      <c r="N321" t="inlineStr">
        <is>
          <t/>
        </is>
      </c>
      <c r="O321" t="n">
        <v>0.0</v>
      </c>
      <c r="P321" t="n">
        <v>0.0</v>
      </c>
      <c r="Q321" t="inlineStr">
        <is>
          <t/>
        </is>
      </c>
      <c r="R321" t="inlineStr">
        <is>
          <t/>
        </is>
      </c>
      <c r="S321" t="n">
        <v>0.0</v>
      </c>
      <c r="T321" t="n">
        <v>0.0</v>
      </c>
      <c r="U321" t="n">
        <v>0.0</v>
      </c>
      <c r="V321" t="n">
        <v>0.0</v>
      </c>
      <c r="W321" t="inlineStr">
        <is>
          <t/>
        </is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inlineStr">
        <is>
          <t/>
        </is>
      </c>
      <c r="AL321" t="inlineStr">
        <is>
          <t/>
        </is>
      </c>
    </row>
    <row r="322">
      <c r="A322" t="inlineStr">
        <is>
          <t>说一个撑死人但热量很低的东西</t>
        </is>
      </c>
      <c r="B322" t="inlineStr">
        <is>
          <t>6912f5760000000005001201</t>
        </is>
      </c>
      <c r="C322" s="321" t="n">
        <f>HYPERLINK("https://www.xiaohongshu.com/explore/6912f5760000000005001201?xsec_token=TBnZN0DmKGIQMnPXPN25j7p8hJBwnFk_A2WnB_UFtZgSg=&amp;xsec_source=pc_trdark","https://www.xiaohongshu.com/explore/6912f5760000000005001201?xsec_token=TBnZN0DmKGIQMnPXPN25j7p8hJBwnFk_A2WnB_UFtZgSg=&amp;xsec_source=pc_trdark")</f>
        <v>0.0</v>
      </c>
      <c r="D322" t="inlineStr">
        <is>
          <t>鲜水湾</t>
        </is>
      </c>
      <c r="E322" t="inlineStr">
        <is>
          <t>49316638994</t>
        </is>
      </c>
      <c r="F322" t="inlineStr">
        <is>
          <t>2025-11-11 16:36:06</t>
        </is>
      </c>
      <c r="G322" t="inlineStr">
        <is>
          <t>图文</t>
        </is>
      </c>
      <c r="H322" t="inlineStr">
        <is>
          <t>大虾基围虾王牌大虾厄瓜多尔白虾盐冻虾仁海洋大虾送礼顺丰包邮</t>
        </is>
      </c>
      <c r="I322" t="inlineStr">
        <is>
          <t>690aeb7be379430001e686ac</t>
        </is>
      </c>
      <c r="J322" t="inlineStr">
        <is>
          <t/>
        </is>
      </c>
      <c r="K322" t="n">
        <v>0.0</v>
      </c>
      <c r="L322" t="n">
        <v>0.0</v>
      </c>
      <c r="M322" t="n">
        <v>0.0</v>
      </c>
      <c r="N322" t="inlineStr">
        <is>
          <t/>
        </is>
      </c>
      <c r="O322" t="n">
        <v>0.0</v>
      </c>
      <c r="P322" t="n">
        <v>0.0</v>
      </c>
      <c r="Q322" t="inlineStr">
        <is>
          <t/>
        </is>
      </c>
      <c r="R322" t="inlineStr">
        <is>
          <t/>
        </is>
      </c>
      <c r="S322" t="n">
        <v>0.0</v>
      </c>
      <c r="T322" t="n">
        <v>0.0</v>
      </c>
      <c r="U322" t="n">
        <v>0.0</v>
      </c>
      <c r="V322" t="n">
        <v>0.0</v>
      </c>
      <c r="W322" t="inlineStr">
        <is>
          <t/>
        </is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inlineStr">
        <is>
          <t/>
        </is>
      </c>
      <c r="AL322" t="inlineStr">
        <is>
          <t/>
        </is>
      </c>
    </row>
    <row r="323">
      <c r="A323" t="inlineStr">
        <is>
          <t>随手一买带动全办公室开始减酯</t>
        </is>
      </c>
      <c r="B323" t="inlineStr">
        <is>
          <t>6912ce19000000000401511c</t>
        </is>
      </c>
      <c r="C323" s="322" t="n">
        <f>HYPERLINK("https://www.xiaohongshu.com/explore/6912ce19000000000401511c?xsec_token=TBnZN0DmKGIQMnPXPN25j7p1p3SVu36K-RH3cJ0MoB2ls=&amp;xsec_source=pc_trdark","https://www.xiaohongshu.com/explore/6912ce19000000000401511c?xsec_token=TBnZN0DmKGIQMnPXPN25j7p1p3SVu36K-RH3cJ0MoB2ls=&amp;xsec_source=pc_trdark")</f>
        <v>0.0</v>
      </c>
      <c r="D323" t="inlineStr">
        <is>
          <t>鲜水湾</t>
        </is>
      </c>
      <c r="E323" t="inlineStr">
        <is>
          <t>49316638994</t>
        </is>
      </c>
      <c r="F323" t="inlineStr">
        <is>
          <t>2025-11-11 13:48:09</t>
        </is>
      </c>
      <c r="G323" t="inlineStr">
        <is>
          <t>图文</t>
        </is>
      </c>
      <c r="H323" t="inlineStr">
        <is>
          <t>大虾基围虾王牌大虾厄瓜多尔白虾盐冻虾仁海洋大虾送礼顺丰包邮</t>
        </is>
      </c>
      <c r="I323" t="inlineStr">
        <is>
          <t>690aeb7be379430001e686ac</t>
        </is>
      </c>
      <c r="J323" t="inlineStr">
        <is>
          <t/>
        </is>
      </c>
      <c r="K323" t="n">
        <v>0.0</v>
      </c>
      <c r="L323" t="n">
        <v>0.0</v>
      </c>
      <c r="M323" t="n">
        <v>0.0</v>
      </c>
      <c r="N323" t="inlineStr">
        <is>
          <t/>
        </is>
      </c>
      <c r="O323" t="n">
        <v>0.0</v>
      </c>
      <c r="P323" t="n">
        <v>0.0</v>
      </c>
      <c r="Q323" t="inlineStr">
        <is>
          <t/>
        </is>
      </c>
      <c r="R323" t="inlineStr">
        <is>
          <t/>
        </is>
      </c>
      <c r="S323" t="n">
        <v>0.0</v>
      </c>
      <c r="T323" t="n">
        <v>0.0</v>
      </c>
      <c r="U323" t="n">
        <v>0.0</v>
      </c>
      <c r="V323" t="n">
        <v>0.0</v>
      </c>
      <c r="W323" t="inlineStr">
        <is>
          <t/>
        </is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inlineStr">
        <is>
          <t/>
        </is>
      </c>
      <c r="AL323" t="inlineStr">
        <is>
          <t/>
        </is>
      </c>
    </row>
    <row r="324">
      <c r="A324" t="inlineStr">
        <is>
          <t>70块承包半月减酯晚餐，这虾比鸡胸肉还值！</t>
        </is>
      </c>
      <c r="B324" t="inlineStr">
        <is>
          <t>6912ace8000000000402b13c</t>
        </is>
      </c>
      <c r="C324" s="323" t="n">
        <f>HYPERLINK("https://www.xiaohongshu.com/explore/6912ace8000000000402b13c?xsec_token=TBnZN0DmKGIQMnPXPN25j7p5R48zN_711aWAsPlk28634=&amp;xsec_source=pc_trdark","https://www.xiaohongshu.com/explore/6912ace8000000000402b13c?xsec_token=TBnZN0DmKGIQMnPXPN25j7p5R48zN_711aWAsPlk28634=&amp;xsec_source=pc_trdark")</f>
        <v>0.0</v>
      </c>
      <c r="D324" t="inlineStr">
        <is>
          <t>鲜水湾</t>
        </is>
      </c>
      <c r="E324" t="inlineStr">
        <is>
          <t>49316638994</t>
        </is>
      </c>
      <c r="F324" t="inlineStr">
        <is>
          <t>2025-11-11 11:26:32</t>
        </is>
      </c>
      <c r="G324" t="inlineStr">
        <is>
          <t>图文</t>
        </is>
      </c>
      <c r="H324" t="inlineStr">
        <is>
          <t>大虾基围虾王牌大虾厄瓜多尔白虾盐冻虾仁海洋大虾送礼顺丰包邮</t>
        </is>
      </c>
      <c r="I324" t="inlineStr">
        <is>
          <t>690aeb7be379430001e686ac</t>
        </is>
      </c>
      <c r="J324" t="inlineStr">
        <is>
          <t/>
        </is>
      </c>
      <c r="K324" t="n">
        <v>0.0</v>
      </c>
      <c r="L324" t="n">
        <v>0.0</v>
      </c>
      <c r="M324" t="n">
        <v>0.0</v>
      </c>
      <c r="N324" t="inlineStr">
        <is>
          <t/>
        </is>
      </c>
      <c r="O324" t="n">
        <v>0.0</v>
      </c>
      <c r="P324" t="n">
        <v>0.0</v>
      </c>
      <c r="Q324" t="inlineStr">
        <is>
          <t/>
        </is>
      </c>
      <c r="R324" t="inlineStr">
        <is>
          <t/>
        </is>
      </c>
      <c r="S324" t="n">
        <v>0.0</v>
      </c>
      <c r="T324" t="n">
        <v>0.0</v>
      </c>
      <c r="U324" t="n">
        <v>0.0</v>
      </c>
      <c r="V324" t="n">
        <v>0.0</v>
      </c>
      <c r="W324" t="inlineStr">
        <is>
          <t/>
        </is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inlineStr">
        <is>
          <t/>
        </is>
      </c>
      <c r="AL324" t="inlineStr">
        <is>
          <t/>
        </is>
      </c>
    </row>
    <row r="325">
      <c r="A325" t="inlineStr">
        <is>
          <t>对60几块钱的概念越来越模糊了</t>
        </is>
      </c>
      <c r="B325" t="inlineStr">
        <is>
          <t>6911df3c00000000040159fe</t>
        </is>
      </c>
      <c r="C325" s="324" t="n">
        <f>HYPERLINK("https://www.xiaohongshu.com/explore/6911df3c00000000040159fe?xsec_token=TBrsrV1jnhRUA39f7gREfx-PBbjoMfE3SRuDJCCHpYba8=&amp;xsec_source=pc_trdark","https://www.xiaohongshu.com/explore/6911df3c00000000040159fe?xsec_token=TBrsrV1jnhRUA39f7gREfx-PBbjoMfE3SRuDJCCHpYba8=&amp;xsec_source=pc_trdark")</f>
        <v>0.0</v>
      </c>
      <c r="D325" t="inlineStr">
        <is>
          <t>鲜水湾</t>
        </is>
      </c>
      <c r="E325" t="inlineStr">
        <is>
          <t>49316638994</t>
        </is>
      </c>
      <c r="F325" t="inlineStr">
        <is>
          <t>2025-11-10 20:49:00</t>
        </is>
      </c>
      <c r="G325" t="inlineStr">
        <is>
          <t>图文</t>
        </is>
      </c>
      <c r="H325" t="inlineStr">
        <is>
          <t>大虾基围虾王牌大虾厄瓜多尔白虾盐冻虾仁海洋大虾送礼顺丰包邮</t>
        </is>
      </c>
      <c r="I325" t="inlineStr">
        <is>
          <t>690aeb7be379430001e686ac</t>
        </is>
      </c>
      <c r="J325" t="inlineStr">
        <is>
          <t/>
        </is>
      </c>
      <c r="K325" t="n">
        <v>0.0</v>
      </c>
      <c r="L325" t="n">
        <v>0.0</v>
      </c>
      <c r="M325" t="n">
        <v>0.0</v>
      </c>
      <c r="N325" t="inlineStr">
        <is>
          <t/>
        </is>
      </c>
      <c r="O325" t="n">
        <v>0.0</v>
      </c>
      <c r="P325" t="n">
        <v>0.0</v>
      </c>
      <c r="Q325" t="inlineStr">
        <is>
          <t/>
        </is>
      </c>
      <c r="R325" t="inlineStr">
        <is>
          <t/>
        </is>
      </c>
      <c r="S325" t="n">
        <v>0.0</v>
      </c>
      <c r="T325" t="n">
        <v>0.0</v>
      </c>
      <c r="U325" t="n">
        <v>0.0</v>
      </c>
      <c r="V325" t="n">
        <v>0.0</v>
      </c>
      <c r="W325" t="inlineStr">
        <is>
          <t/>
        </is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inlineStr">
        <is>
          <t/>
        </is>
      </c>
      <c r="AL325" t="inlineStr">
        <is>
          <t/>
        </is>
      </c>
    </row>
    <row r="326">
      <c r="A326" t="inlineStr">
        <is>
          <t>原以为不便宜，其实70多3斤大虾太过瘾</t>
        </is>
      </c>
      <c r="B326" t="inlineStr">
        <is>
          <t>6911a9ec000000000400776e</t>
        </is>
      </c>
      <c r="C326" s="325" t="n">
        <f>HYPERLINK("https://www.xiaohongshu.com/explore/6911a9ec000000000400776e?xsec_token=TBrsrV1jnhRUA39f7gREfx-NDMNdCUZoelquOKT1cOnP0=&amp;xsec_source=pc_trdark","https://www.xiaohongshu.com/explore/6911a9ec000000000400776e?xsec_token=TBrsrV1jnhRUA39f7gREfx-NDMNdCUZoelquOKT1cOnP0=&amp;xsec_source=pc_trdark")</f>
        <v>0.0</v>
      </c>
      <c r="D326" t="inlineStr">
        <is>
          <t>鲜水湾</t>
        </is>
      </c>
      <c r="E326" t="inlineStr">
        <is>
          <t>49316638994</t>
        </is>
      </c>
      <c r="F326" t="inlineStr">
        <is>
          <t>2025-11-10 17:01:32</t>
        </is>
      </c>
      <c r="G326" t="inlineStr">
        <is>
          <t>图文</t>
        </is>
      </c>
      <c r="H326" t="inlineStr">
        <is>
          <t>大虾基围虾王牌大虾厄瓜多尔白虾盐冻虾仁海洋大虾送礼顺丰包邮</t>
        </is>
      </c>
      <c r="I326" t="inlineStr">
        <is>
          <t>690aeb7be379430001e686ac</t>
        </is>
      </c>
      <c r="J326" t="inlineStr">
        <is>
          <t/>
        </is>
      </c>
      <c r="K326" t="n">
        <v>0.0</v>
      </c>
      <c r="L326" t="n">
        <v>0.0</v>
      </c>
      <c r="M326" t="n">
        <v>0.0</v>
      </c>
      <c r="N326" t="inlineStr">
        <is>
          <t/>
        </is>
      </c>
      <c r="O326" t="n">
        <v>0.0</v>
      </c>
      <c r="P326" t="n">
        <v>0.0</v>
      </c>
      <c r="Q326" t="inlineStr">
        <is>
          <t/>
        </is>
      </c>
      <c r="R326" t="inlineStr">
        <is>
          <t/>
        </is>
      </c>
      <c r="S326" t="n">
        <v>0.0</v>
      </c>
      <c r="T326" t="n">
        <v>0.0</v>
      </c>
      <c r="U326" t="n">
        <v>0.0</v>
      </c>
      <c r="V326" t="n">
        <v>0.0</v>
      </c>
      <c r="W326" t="inlineStr">
        <is>
          <t/>
        </is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inlineStr">
        <is>
          <t/>
        </is>
      </c>
      <c r="AL326" t="inlineStr">
        <is>
          <t/>
        </is>
      </c>
    </row>
    <row r="327">
      <c r="A327" t="inlineStr">
        <is>
          <t>终于知道年轻人爱大虾的理由了……</t>
        </is>
      </c>
      <c r="B327" t="inlineStr">
        <is>
          <t>691185f4000000000703b57a</t>
        </is>
      </c>
      <c r="C327" s="326" t="n">
        <f>HYPERLINK("https://www.xiaohongshu.com/explore/691185f4000000000703b57a?xsec_token=TBrsrV1jnhRUA39f7gREfx-NTLmV1A7aUV7O42PPhiFzo=&amp;xsec_source=pc_trdark","https://www.xiaohongshu.com/explore/691185f4000000000703b57a?xsec_token=TBrsrV1jnhRUA39f7gREfx-NTLmV1A7aUV7O42PPhiFzo=&amp;xsec_source=pc_trdark")</f>
        <v>0.0</v>
      </c>
      <c r="D327" t="inlineStr">
        <is>
          <t>鲜水湾甄选</t>
        </is>
      </c>
      <c r="E327" t="inlineStr">
        <is>
          <t>27401929161</t>
        </is>
      </c>
      <c r="F327" t="inlineStr">
        <is>
          <t>2025-11-10 14:28:04</t>
        </is>
      </c>
      <c r="G327" t="inlineStr">
        <is>
          <t>图文</t>
        </is>
      </c>
      <c r="H327" t="inlineStr">
        <is>
          <t>大虾基围虾王牌大虾厄瓜多尔白虾盐冻虾仁海洋大虾送礼顺丰包邮</t>
        </is>
      </c>
      <c r="I327" t="inlineStr">
        <is>
          <t>690aeb7be379430001e686ac</t>
        </is>
      </c>
      <c r="J327" t="inlineStr">
        <is>
          <t/>
        </is>
      </c>
      <c r="K327" t="n">
        <v>0.0</v>
      </c>
      <c r="L327" t="n">
        <v>0.0</v>
      </c>
      <c r="M327" t="n">
        <v>0.0</v>
      </c>
      <c r="N327" t="inlineStr">
        <is>
          <t/>
        </is>
      </c>
      <c r="O327" t="n">
        <v>0.0</v>
      </c>
      <c r="P327" t="n">
        <v>0.0</v>
      </c>
      <c r="Q327" t="inlineStr">
        <is>
          <t/>
        </is>
      </c>
      <c r="R327" t="inlineStr">
        <is>
          <t/>
        </is>
      </c>
      <c r="S327" t="n">
        <v>0.0</v>
      </c>
      <c r="T327" t="n">
        <v>0.0</v>
      </c>
      <c r="U327" t="n">
        <v>0.0</v>
      </c>
      <c r="V327" t="n">
        <v>0.0</v>
      </c>
      <c r="W327" t="inlineStr">
        <is>
          <t/>
        </is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inlineStr">
        <is>
          <t/>
        </is>
      </c>
      <c r="AL327" t="inlineStr">
        <is>
          <t/>
        </is>
      </c>
    </row>
    <row r="328">
      <c r="A328" t="inlineStr">
        <is>
          <t>真心建议身材管理期的姐妹试试我家的大虾</t>
        </is>
      </c>
      <c r="B328" t="inlineStr">
        <is>
          <t>69115c820000000004013603</t>
        </is>
      </c>
      <c r="C328" s="327" t="n">
        <f>HYPERLINK("https://www.xiaohongshu.com/explore/69115c820000000004013603?xsec_token=TBrsrV1jnhRUA39f7gREfx-CYy7YvpUJRJgs-N3LJGr5A=&amp;xsec_source=pc_trdark","https://www.xiaohongshu.com/explore/69115c820000000004013603?xsec_token=TBrsrV1jnhRUA39f7gREfx-CYy7YvpUJRJgs-N3LJGr5A=&amp;xsec_source=pc_trdark")</f>
        <v>0.0</v>
      </c>
      <c r="D328" t="inlineStr">
        <is>
          <t>鲜水湾</t>
        </is>
      </c>
      <c r="E328" t="inlineStr">
        <is>
          <t>49316638994</t>
        </is>
      </c>
      <c r="F328" t="inlineStr">
        <is>
          <t>2025-11-10 11:31:14</t>
        </is>
      </c>
      <c r="G328" t="inlineStr">
        <is>
          <t>图文</t>
        </is>
      </c>
      <c r="H328" t="inlineStr">
        <is>
          <t>大虾基围虾王牌大虾厄瓜多尔白虾盐冻虾仁海洋大虾送礼顺丰包邮</t>
        </is>
      </c>
      <c r="I328" t="inlineStr">
        <is>
          <t>690aeb7be379430001e686ac</t>
        </is>
      </c>
      <c r="J328" t="inlineStr">
        <is>
          <t/>
        </is>
      </c>
      <c r="K328" t="n">
        <v>0.0</v>
      </c>
      <c r="L328" t="n">
        <v>0.0</v>
      </c>
      <c r="M328" t="n">
        <v>0.0</v>
      </c>
      <c r="N328" t="inlineStr">
        <is>
          <t/>
        </is>
      </c>
      <c r="O328" t="n">
        <v>0.0</v>
      </c>
      <c r="P328" t="n">
        <v>0.0</v>
      </c>
      <c r="Q328" t="inlineStr">
        <is>
          <t/>
        </is>
      </c>
      <c r="R328" t="inlineStr">
        <is>
          <t/>
        </is>
      </c>
      <c r="S328" t="n">
        <v>0.0</v>
      </c>
      <c r="T328" t="n">
        <v>0.0</v>
      </c>
      <c r="U328" t="n">
        <v>0.0</v>
      </c>
      <c r="V328" t="n">
        <v>0.0</v>
      </c>
      <c r="W328" t="inlineStr">
        <is>
          <t/>
        </is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inlineStr">
        <is>
          <t/>
        </is>
      </c>
      <c r="AL328" t="inlineStr">
        <is>
          <t/>
        </is>
      </c>
    </row>
    <row r="329">
      <c r="A329" t="inlineStr">
        <is>
          <t>别再说60💰几块不经花！这购买力绝了</t>
        </is>
      </c>
      <c r="B329" t="inlineStr">
        <is>
          <t>69108c100000000005033662</t>
        </is>
      </c>
      <c r="C329" s="328" t="n">
        <f>HYPERLINK("https://www.xiaohongshu.com/explore/69108c100000000005033662?xsec_token=TBUjpd2w0LBMv9oJsd0xbTvDxNATomzkMcLkLP6lCwAbI=&amp;xsec_source=pc_trdark","https://www.xiaohongshu.com/explore/69108c100000000005033662?xsec_token=TBUjpd2w0LBMv9oJsd0xbTvDxNATomzkMcLkLP6lCwAbI=&amp;xsec_source=pc_trdark")</f>
        <v>0.0</v>
      </c>
      <c r="D329" t="inlineStr">
        <is>
          <t>鲜水湾</t>
        </is>
      </c>
      <c r="E329" t="inlineStr">
        <is>
          <t>49316638994</t>
        </is>
      </c>
      <c r="F329" t="inlineStr">
        <is>
          <t>2025-11-09 20:41:52</t>
        </is>
      </c>
      <c r="G329" t="inlineStr">
        <is>
          <t>图文</t>
        </is>
      </c>
      <c r="H329" t="inlineStr">
        <is>
          <t>大虾基围虾王牌大虾厄瓜多尔白虾盐冻虾仁海洋大虾送礼顺丰包邮</t>
        </is>
      </c>
      <c r="I329" t="inlineStr">
        <is>
          <t>690aeb7be379430001e686ac</t>
        </is>
      </c>
      <c r="J329" t="inlineStr">
        <is>
          <t/>
        </is>
      </c>
      <c r="K329" t="n">
        <v>0.0</v>
      </c>
      <c r="L329" t="n">
        <v>0.0</v>
      </c>
      <c r="M329" t="n">
        <v>0.0</v>
      </c>
      <c r="N329" t="inlineStr">
        <is>
          <t/>
        </is>
      </c>
      <c r="O329" t="n">
        <v>0.0</v>
      </c>
      <c r="P329" t="n">
        <v>0.0</v>
      </c>
      <c r="Q329" t="inlineStr">
        <is>
          <t/>
        </is>
      </c>
      <c r="R329" t="inlineStr">
        <is>
          <t/>
        </is>
      </c>
      <c r="S329" t="n">
        <v>0.0</v>
      </c>
      <c r="T329" t="n">
        <v>0.0</v>
      </c>
      <c r="U329" t="n">
        <v>0.0</v>
      </c>
      <c r="V329" t="n">
        <v>0.0</v>
      </c>
      <c r="W329" t="inlineStr">
        <is>
          <t/>
        </is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inlineStr">
        <is>
          <t/>
        </is>
      </c>
      <c r="AL329" t="inlineStr">
        <is>
          <t/>
        </is>
      </c>
    </row>
    <row r="330">
      <c r="A330" t="inlineStr">
        <is>
          <t>60多块的购买力解决打工人十天的优质蛋白</t>
        </is>
      </c>
      <c r="B330" t="inlineStr">
        <is>
          <t>690f64e500000000040016dd</t>
        </is>
      </c>
      <c r="C330" s="329" t="n">
        <f>HYPERLINK("https://www.xiaohongshu.com/explore/690f64e500000000040016dd?xsec_token=TBl1ZK_PAsBDZJiqFwt7hIYd0XsoKhBXGAE0V7Cj8yyHU=&amp;xsec_source=pc_trdark","https://www.xiaohongshu.com/explore/690f64e500000000040016dd?xsec_token=TBl1ZK_PAsBDZJiqFwt7hIYd0XsoKhBXGAE0V7Cj8yyHU=&amp;xsec_source=pc_trdark")</f>
        <v>0.0</v>
      </c>
      <c r="D330" t="inlineStr">
        <is>
          <t>鲜水湾</t>
        </is>
      </c>
      <c r="E330" t="inlineStr">
        <is>
          <t>49316638994</t>
        </is>
      </c>
      <c r="F330" t="inlineStr">
        <is>
          <t>2025-11-08 23:42:29</t>
        </is>
      </c>
      <c r="G330" t="inlineStr">
        <is>
          <t>图文</t>
        </is>
      </c>
      <c r="H330" t="inlineStr">
        <is>
          <t>大虾基围虾王牌大虾厄瓜多尔白虾盐冻虾仁海洋大虾送礼顺丰包邮</t>
        </is>
      </c>
      <c r="I330" t="inlineStr">
        <is>
          <t>690aeb7be379430001e686ac</t>
        </is>
      </c>
      <c r="J330" t="inlineStr">
        <is>
          <t/>
        </is>
      </c>
      <c r="K330" t="n">
        <v>0.0</v>
      </c>
      <c r="L330" t="n">
        <v>0.0</v>
      </c>
      <c r="M330" t="n">
        <v>0.0</v>
      </c>
      <c r="N330" t="inlineStr">
        <is>
          <t/>
        </is>
      </c>
      <c r="O330" t="n">
        <v>0.0</v>
      </c>
      <c r="P330" t="n">
        <v>0.0</v>
      </c>
      <c r="Q330" t="inlineStr">
        <is>
          <t/>
        </is>
      </c>
      <c r="R330" t="inlineStr">
        <is>
          <t/>
        </is>
      </c>
      <c r="S330" t="n">
        <v>0.0</v>
      </c>
      <c r="T330" t="n">
        <v>0.0</v>
      </c>
      <c r="U330" t="n">
        <v>0.0</v>
      </c>
      <c r="V330" t="n">
        <v>0.0</v>
      </c>
      <c r="W330" t="inlineStr">
        <is>
          <t/>
        </is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inlineStr">
        <is>
          <t/>
        </is>
      </c>
      <c r="AL330" t="inlineStr">
        <is>
          <t/>
        </is>
      </c>
    </row>
    <row r="331">
      <c r="A331" t="inlineStr">
        <is>
          <t>60几块钱吃一周！减脂党狂喜😋</t>
        </is>
      </c>
      <c r="B331" t="inlineStr">
        <is>
          <t>690eea290000000005010648</t>
        </is>
      </c>
      <c r="C331" s="330" t="n">
        <f>HYPERLINK("https://www.xiaohongshu.com/explore/690eea290000000005010648?xsec_token=TBJajQDaP2lymAuuRX7yQPUSNwrT9mYjhT3qSQpl_x9Kg=&amp;xsec_source=pc_trdark","https://www.xiaohongshu.com/explore/690eea290000000005010648?xsec_token=TBJajQDaP2lymAuuRX7yQPUSNwrT9mYjhT3qSQpl_x9Kg=&amp;xsec_source=pc_trdark")</f>
        <v>0.0</v>
      </c>
      <c r="D331" t="inlineStr">
        <is>
          <t>鲜水湾</t>
        </is>
      </c>
      <c r="E331" t="inlineStr">
        <is>
          <t>49316638994</t>
        </is>
      </c>
      <c r="F331" t="inlineStr">
        <is>
          <t>2025-11-08 14:58:49</t>
        </is>
      </c>
      <c r="G331" t="inlineStr">
        <is>
          <t>图文</t>
        </is>
      </c>
      <c r="H331" t="inlineStr">
        <is>
          <t>大虾基围虾王牌大虾厄瓜多尔白虾盐冻虾仁海洋大虾送礼顺丰包邮</t>
        </is>
      </c>
      <c r="I331" t="inlineStr">
        <is>
          <t>690aeb7be379430001e686ac</t>
        </is>
      </c>
      <c r="J331" t="inlineStr">
        <is>
          <t/>
        </is>
      </c>
      <c r="K331" t="n">
        <v>0.0</v>
      </c>
      <c r="L331" t="n">
        <v>0.0</v>
      </c>
      <c r="M331" t="n">
        <v>0.0</v>
      </c>
      <c r="N331" t="inlineStr">
        <is>
          <t/>
        </is>
      </c>
      <c r="O331" t="n">
        <v>0.0</v>
      </c>
      <c r="P331" t="n">
        <v>0.0</v>
      </c>
      <c r="Q331" t="inlineStr">
        <is>
          <t/>
        </is>
      </c>
      <c r="R331" t="inlineStr">
        <is>
          <t/>
        </is>
      </c>
      <c r="S331" t="n">
        <v>0.0</v>
      </c>
      <c r="T331" t="n">
        <v>0.0</v>
      </c>
      <c r="U331" t="n">
        <v>0.0</v>
      </c>
      <c r="V331" t="n">
        <v>0.0</v>
      </c>
      <c r="W331" t="inlineStr">
        <is>
          <t/>
        </is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inlineStr">
        <is>
          <t/>
        </is>
      </c>
      <c r="AL331" t="inlineStr">
        <is>
          <t/>
        </is>
      </c>
    </row>
    <row r="332">
      <c r="A332" t="inlineStr">
        <is>
          <t>自从碱脂买了这个大虾，一个月省好几百！</t>
        </is>
      </c>
      <c r="B332" t="inlineStr">
        <is>
          <t>690eb4c9000000000400296d</t>
        </is>
      </c>
      <c r="C332" s="331" t="n">
        <f>HYPERLINK("https://www.xiaohongshu.com/explore/690eb4c9000000000400296d?xsec_token=TBJajQDaP2lymAuuRX7yQPUfW1lw6BlFGaaTlJss229QE=&amp;xsec_source=pc_trdark","https://www.xiaohongshu.com/explore/690eb4c9000000000400296d?xsec_token=TBJajQDaP2lymAuuRX7yQPUfW1lw6BlFGaaTlJss229QE=&amp;xsec_source=pc_trdark")</f>
        <v>0.0</v>
      </c>
      <c r="D332" t="inlineStr">
        <is>
          <t>鲜水湾</t>
        </is>
      </c>
      <c r="E332" t="inlineStr">
        <is>
          <t>49316638994</t>
        </is>
      </c>
      <c r="F332" t="inlineStr">
        <is>
          <t>2025-11-08 11:11:05</t>
        </is>
      </c>
      <c r="G332" t="inlineStr">
        <is>
          <t>图文</t>
        </is>
      </c>
      <c r="H332" t="inlineStr">
        <is>
          <t>大虾基围虾王牌大虾厄瓜多尔白虾盐冻虾仁海洋大虾送礼顺丰包邮</t>
        </is>
      </c>
      <c r="I332" t="inlineStr">
        <is>
          <t>690aeb7be379430001e686ac</t>
        </is>
      </c>
      <c r="J332" t="inlineStr">
        <is>
          <t/>
        </is>
      </c>
      <c r="K332" t="n">
        <v>0.0</v>
      </c>
      <c r="L332" t="n">
        <v>0.0</v>
      </c>
      <c r="M332" t="n">
        <v>0.0</v>
      </c>
      <c r="N332" t="inlineStr">
        <is>
          <t/>
        </is>
      </c>
      <c r="O332" t="n">
        <v>0.0</v>
      </c>
      <c r="P332" t="n">
        <v>0.0</v>
      </c>
      <c r="Q332" t="inlineStr">
        <is>
          <t/>
        </is>
      </c>
      <c r="R332" t="inlineStr">
        <is>
          <t/>
        </is>
      </c>
      <c r="S332" t="n">
        <v>0.0</v>
      </c>
      <c r="T332" t="n">
        <v>0.0</v>
      </c>
      <c r="U332" t="n">
        <v>0.0</v>
      </c>
      <c r="V332" t="n">
        <v>0.0</v>
      </c>
      <c r="W332" t="inlineStr">
        <is>
          <t/>
        </is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inlineStr">
        <is>
          <t/>
        </is>
      </c>
      <c r="AL332" t="inlineStr">
        <is>
          <t/>
        </is>
      </c>
    </row>
    <row r="333">
      <c r="A333" t="inlineStr">
        <is>
          <t>70块💰承包半月夜宵，这虾比泡面还值！</t>
        </is>
      </c>
      <c r="B333" t="inlineStr">
        <is>
          <t>690e0ba400000000040036d1</t>
        </is>
      </c>
      <c r="C333" s="332" t="n">
        <f>HYPERLINK("https://www.xiaohongshu.com/explore/690e0ba400000000040036d1?xsec_token=TBJajQDaP2lymAuuRX7yQPUY3VOC-tszq6XPdiMtwpfcs=&amp;xsec_source=pc_trdark","https://www.xiaohongshu.com/explore/690e0ba400000000040036d1?xsec_token=TBJajQDaP2lymAuuRX7yQPUY3VOC-tszq6XPdiMtwpfcs=&amp;xsec_source=pc_trdark")</f>
        <v>0.0</v>
      </c>
      <c r="D333" t="inlineStr">
        <is>
          <t>鲜水湾</t>
        </is>
      </c>
      <c r="E333" t="inlineStr">
        <is>
          <t>49316638994</t>
        </is>
      </c>
      <c r="F333" t="inlineStr">
        <is>
          <t>2025-11-07 23:09:24</t>
        </is>
      </c>
      <c r="G333" t="inlineStr">
        <is>
          <t>图文</t>
        </is>
      </c>
      <c r="H333" t="inlineStr">
        <is>
          <t>大虾基围虾王牌大虾厄瓜多尔白虾盐冻虾仁海洋大虾送礼顺丰包邮</t>
        </is>
      </c>
      <c r="I333" t="inlineStr">
        <is>
          <t>690aeb7be379430001e686ac</t>
        </is>
      </c>
      <c r="J333" t="inlineStr">
        <is>
          <t/>
        </is>
      </c>
      <c r="K333" t="n">
        <v>0.0</v>
      </c>
      <c r="L333" t="n">
        <v>0.0</v>
      </c>
      <c r="M333" t="n">
        <v>0.0</v>
      </c>
      <c r="N333" t="inlineStr">
        <is>
          <t/>
        </is>
      </c>
      <c r="O333" t="n">
        <v>0.0</v>
      </c>
      <c r="P333" t="n">
        <v>0.0</v>
      </c>
      <c r="Q333" t="inlineStr">
        <is>
          <t/>
        </is>
      </c>
      <c r="R333" t="inlineStr">
        <is>
          <t/>
        </is>
      </c>
      <c r="S333" t="n">
        <v>0.0</v>
      </c>
      <c r="T333" t="n">
        <v>0.0</v>
      </c>
      <c r="U333" t="n">
        <v>0.0</v>
      </c>
      <c r="V333" t="n">
        <v>0.0</v>
      </c>
      <c r="W333" t="inlineStr">
        <is>
          <t/>
        </is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inlineStr">
        <is>
          <t/>
        </is>
      </c>
      <c r="AL333" t="inlineStr">
        <is>
          <t/>
        </is>
      </c>
    </row>
    <row r="334">
      <c r="A334" t="inlineStr">
        <is>
          <t>以为60💰很贵，结果够我一周减脂餐了！</t>
        </is>
      </c>
      <c r="B334" t="inlineStr">
        <is>
          <t>690d7e7d000000000700a650</t>
        </is>
      </c>
      <c r="C334" s="333" t="n">
        <f>HYPERLINK("https://www.xiaohongshu.com/explore/690d7e7d000000000700a650?xsec_token=TBD_zEgNllAsWvESEGX2jOc5UOMulaKQRz13FJ0B_8hhU=&amp;xsec_source=pc_trdark","https://www.xiaohongshu.com/explore/690d7e7d000000000700a650?xsec_token=TBD_zEgNllAsWvESEGX2jOc5UOMulaKQRz13FJ0B_8hhU=&amp;xsec_source=pc_trdark")</f>
        <v>0.0</v>
      </c>
      <c r="D334" t="inlineStr">
        <is>
          <t>鲜水湾甄选</t>
        </is>
      </c>
      <c r="E334" t="inlineStr">
        <is>
          <t>27401929161</t>
        </is>
      </c>
      <c r="F334" t="inlineStr">
        <is>
          <t>2025-11-07 13:07:09</t>
        </is>
      </c>
      <c r="G334" t="inlineStr">
        <is>
          <t>图文</t>
        </is>
      </c>
      <c r="H334" t="inlineStr">
        <is>
          <t>大虾基围虾王牌大虾厄瓜多尔白虾盐冻虾仁海洋大虾送礼顺丰包邮</t>
        </is>
      </c>
      <c r="I334" t="inlineStr">
        <is>
          <t>690aeb7be379430001e686ac</t>
        </is>
      </c>
      <c r="J334" t="inlineStr">
        <is>
          <t/>
        </is>
      </c>
      <c r="K334" t="n">
        <v>0.0</v>
      </c>
      <c r="L334" t="n">
        <v>0.0</v>
      </c>
      <c r="M334" t="n">
        <v>0.0</v>
      </c>
      <c r="N334" t="inlineStr">
        <is>
          <t/>
        </is>
      </c>
      <c r="O334" t="n">
        <v>0.0</v>
      </c>
      <c r="P334" t="n">
        <v>0.0</v>
      </c>
      <c r="Q334" t="inlineStr">
        <is>
          <t/>
        </is>
      </c>
      <c r="R334" t="inlineStr">
        <is>
          <t/>
        </is>
      </c>
      <c r="S334" t="n">
        <v>0.0</v>
      </c>
      <c r="T334" t="n">
        <v>0.0</v>
      </c>
      <c r="U334" t="n">
        <v>0.0</v>
      </c>
      <c r="V334" t="n">
        <v>0.0</v>
      </c>
      <c r="W334" t="inlineStr">
        <is>
          <t/>
        </is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inlineStr">
        <is>
          <t/>
        </is>
      </c>
      <c r="AL3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2026-08-22T09:39:52Z</dcterms:created>
  <dc:creator>Apache POI</dc:creator>
</cp:coreProperties>
</file>